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6\"/>
    </mc:Choice>
  </mc:AlternateContent>
  <xr:revisionPtr revIDLastSave="0" documentId="13_ncr:1_{3C530F86-BE7C-40D1-8172-9C87DDF49BA9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2" i="1"/>
  <c r="A3" i="2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T184" i="1" s="1"/>
  <c r="U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L192" i="1"/>
  <c r="M192" i="1"/>
  <c r="O192" i="1"/>
  <c r="P192" i="1"/>
  <c r="S192" i="1"/>
  <c r="T192" i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AZ227" i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AX232" i="1"/>
  <c r="AZ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Q246" i="1" s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M253" i="1" s="1"/>
  <c r="CN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/>
  <c r="CN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M255" i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M257" i="1"/>
  <c r="CN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L259" i="1"/>
  <c r="M259" i="1"/>
  <c r="O259" i="1"/>
  <c r="P259" i="1"/>
  <c r="S259" i="1"/>
  <c r="T259" i="1" s="1"/>
  <c r="V259" i="1"/>
  <c r="W259" i="1"/>
  <c r="Y259" i="1"/>
  <c r="Z259" i="1"/>
  <c r="AC259" i="1"/>
  <c r="AE259" i="1" s="1"/>
  <c r="AD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/>
  <c r="AO263" i="1"/>
  <c r="AP263" i="1"/>
  <c r="AQ263" i="1"/>
  <c r="AS263" i="1"/>
  <c r="AT263" i="1"/>
  <c r="AW263" i="1"/>
  <c r="BA263" i="1"/>
  <c r="BB263" i="1"/>
  <c r="BD263" i="1"/>
  <c r="BE263" i="1"/>
  <c r="BH263" i="1"/>
  <c r="BI263" i="1"/>
  <c r="BJ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N263" i="1" s="1"/>
  <c r="CM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J269" i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I272" i="1" s="1"/>
  <c r="BJ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W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/>
  <c r="BJ281" i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N282" i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 s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N299" i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M307" i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BT273" i="1" l="1"/>
  <c r="BS273" i="1"/>
  <c r="J4" i="1"/>
  <c r="J5" i="1"/>
  <c r="J6" i="1"/>
  <c r="J7" i="1"/>
  <c r="J8" i="1"/>
  <c r="J10" i="1"/>
  <c r="J12" i="1"/>
  <c r="J13" i="1"/>
  <c r="K14" i="1"/>
  <c r="K15" i="1"/>
  <c r="J16" i="1"/>
  <c r="J17" i="1"/>
  <c r="J18" i="1"/>
  <c r="J19" i="1"/>
  <c r="J20" i="1"/>
  <c r="J21" i="1"/>
  <c r="K22" i="1"/>
  <c r="K23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K46" i="1"/>
  <c r="J47" i="1"/>
  <c r="J48" i="1"/>
  <c r="J49" i="1"/>
  <c r="J51" i="1"/>
  <c r="J52" i="1"/>
  <c r="J54" i="1"/>
  <c r="J55" i="1"/>
  <c r="J57" i="1"/>
  <c r="J58" i="1"/>
  <c r="J59" i="1"/>
  <c r="J61" i="1"/>
  <c r="K62" i="1"/>
  <c r="J65" i="1"/>
  <c r="J67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101" i="1"/>
  <c r="J102" i="1"/>
  <c r="J103" i="1"/>
  <c r="J104" i="1"/>
  <c r="J105" i="1"/>
  <c r="K107" i="1"/>
  <c r="J108" i="1"/>
  <c r="J109" i="1"/>
  <c r="J110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K128" i="1"/>
  <c r="J129" i="1"/>
  <c r="J130" i="1"/>
  <c r="J132" i="1"/>
  <c r="J136" i="1"/>
  <c r="J137" i="1"/>
  <c r="J138" i="1"/>
  <c r="J139" i="1"/>
  <c r="J141" i="1"/>
  <c r="J143" i="1"/>
  <c r="J144" i="1"/>
  <c r="J146" i="1"/>
  <c r="J148" i="1"/>
  <c r="J150" i="1"/>
  <c r="J151" i="1"/>
  <c r="J154" i="1"/>
  <c r="J156" i="1"/>
  <c r="J157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80" i="1"/>
  <c r="J182" i="1"/>
  <c r="J188" i="1"/>
  <c r="K191" i="1"/>
  <c r="J192" i="1"/>
  <c r="J193" i="1"/>
  <c r="J196" i="1"/>
  <c r="J197" i="1"/>
  <c r="J198" i="1"/>
  <c r="J199" i="1"/>
  <c r="J201" i="1"/>
  <c r="J206" i="1"/>
  <c r="J207" i="1"/>
  <c r="J208" i="1"/>
  <c r="J209" i="1"/>
  <c r="J210" i="1"/>
  <c r="J211" i="1"/>
  <c r="J212" i="1"/>
  <c r="J213" i="1"/>
  <c r="J216" i="1"/>
  <c r="J217" i="1"/>
  <c r="J219" i="1"/>
  <c r="J220" i="1"/>
  <c r="J221" i="1"/>
  <c r="J222" i="1"/>
  <c r="J224" i="1"/>
  <c r="J225" i="1"/>
  <c r="J227" i="1"/>
  <c r="J229" i="1"/>
  <c r="J231" i="1"/>
  <c r="J233" i="1"/>
  <c r="J235" i="1"/>
  <c r="J239" i="1"/>
  <c r="J242" i="1"/>
  <c r="J244" i="1"/>
  <c r="J246" i="1"/>
  <c r="J248" i="1"/>
  <c r="J249" i="1"/>
  <c r="J251" i="1"/>
  <c r="J252" i="1"/>
  <c r="J254" i="1"/>
  <c r="J258" i="1"/>
  <c r="J259" i="1"/>
  <c r="J261" i="1"/>
  <c r="J262" i="1"/>
  <c r="J265" i="1"/>
  <c r="J266" i="1"/>
  <c r="J267" i="1"/>
  <c r="J268" i="1"/>
  <c r="J269" i="1"/>
  <c r="K271" i="1"/>
  <c r="J273" i="1"/>
  <c r="J274" i="1"/>
  <c r="J275" i="1"/>
  <c r="J278" i="1"/>
  <c r="BI278" i="1"/>
  <c r="BJ278" i="1"/>
  <c r="BM278" i="1" s="1"/>
  <c r="BP278" i="1" s="1"/>
  <c r="BQ278" i="1" s="1"/>
  <c r="J279" i="1"/>
  <c r="J280" i="1"/>
  <c r="J281" i="1"/>
  <c r="J283" i="1"/>
  <c r="J284" i="1"/>
  <c r="J285" i="1"/>
  <c r="J286" i="1"/>
  <c r="BI288" i="1"/>
  <c r="BJ288" i="1"/>
  <c r="BM288" i="1" s="1"/>
  <c r="J289" i="1"/>
  <c r="BI289" i="1"/>
  <c r="BM289" i="1" s="1"/>
  <c r="BJ289" i="1"/>
  <c r="J290" i="1"/>
  <c r="J291" i="1"/>
  <c r="J293" i="1"/>
  <c r="J294" i="1"/>
  <c r="J295" i="1"/>
  <c r="J296" i="1"/>
  <c r="J299" i="1"/>
  <c r="J301" i="1"/>
  <c r="K304" i="1"/>
  <c r="K305" i="1"/>
  <c r="J306" i="1"/>
  <c r="J307" i="1"/>
  <c r="J308" i="1"/>
  <c r="J309" i="1"/>
  <c r="J310" i="1"/>
  <c r="J312" i="1"/>
  <c r="BS264" i="1"/>
  <c r="BT264" i="1"/>
  <c r="BS275" i="1"/>
  <c r="BT275" i="1"/>
  <c r="CC276" i="1"/>
  <c r="CG276" i="1" s="1"/>
  <c r="CD276" i="1"/>
  <c r="BT279" i="1"/>
  <c r="BS279" i="1"/>
  <c r="CD282" i="1"/>
  <c r="CC282" i="1"/>
  <c r="CG282" i="1" s="1"/>
  <c r="CM71" i="1"/>
  <c r="CQ71" i="1" s="1"/>
  <c r="CT71" i="1" s="1"/>
  <c r="CU71" i="1" s="1"/>
  <c r="CN71" i="1"/>
  <c r="CN75" i="1"/>
  <c r="CM75" i="1"/>
  <c r="CQ75" i="1" s="1"/>
  <c r="CM89" i="1"/>
  <c r="CQ89" i="1" s="1"/>
  <c r="CT89" i="1" s="1"/>
  <c r="CN89" i="1"/>
  <c r="CM91" i="1"/>
  <c r="CQ91" i="1" s="1"/>
  <c r="CT91" i="1" s="1"/>
  <c r="CU91" i="1" s="1"/>
  <c r="CN91" i="1"/>
  <c r="CM134" i="1"/>
  <c r="CN134" i="1"/>
  <c r="AO39" i="1"/>
  <c r="AN39" i="1"/>
  <c r="AR39" i="1" s="1"/>
  <c r="AN45" i="1"/>
  <c r="AR45" i="1" s="1"/>
  <c r="AO45" i="1"/>
  <c r="CW41" i="1"/>
  <c r="DA41" i="1" s="1"/>
  <c r="CX41" i="1"/>
  <c r="CX42" i="1"/>
  <c r="CW42" i="1"/>
  <c r="DA42" i="1" s="1"/>
  <c r="BI43" i="1"/>
  <c r="BM43" i="1" s="1"/>
  <c r="BJ43" i="1"/>
  <c r="BI45" i="1"/>
  <c r="BM45" i="1" s="1"/>
  <c r="BP45" i="1" s="1"/>
  <c r="BQ45" i="1" s="1"/>
  <c r="BJ45" i="1"/>
  <c r="T295" i="1"/>
  <c r="X295" i="1" s="1"/>
  <c r="U295" i="1"/>
  <c r="BI295" i="1"/>
  <c r="BM295" i="1" s="1"/>
  <c r="BJ295" i="1"/>
  <c r="U296" i="1"/>
  <c r="T296" i="1"/>
  <c r="X296" i="1" s="1"/>
  <c r="BJ297" i="1"/>
  <c r="BI297" i="1"/>
  <c r="BM297" i="1" s="1"/>
  <c r="BP297" i="1" s="1"/>
  <c r="BQ297" i="1" s="1"/>
  <c r="BI298" i="1"/>
  <c r="BJ298" i="1"/>
  <c r="BM298" i="1" s="1"/>
  <c r="BP298" i="1" s="1"/>
  <c r="BQ298" i="1" s="1"/>
  <c r="BI301" i="1"/>
  <c r="BJ301" i="1"/>
  <c r="T302" i="1"/>
  <c r="X302" i="1" s="1"/>
  <c r="U302" i="1"/>
  <c r="EL223" i="1"/>
  <c r="ES223" i="1"/>
  <c r="ER223" i="1"/>
  <c r="FD223" i="1" s="1"/>
  <c r="FE223" i="1" s="1"/>
  <c r="F223" i="2" s="1"/>
  <c r="DR223" i="1"/>
  <c r="DQ223" i="1"/>
  <c r="DU223" i="1" s="1"/>
  <c r="DH223" i="1"/>
  <c r="DG223" i="1"/>
  <c r="DK223" i="1" s="1"/>
  <c r="CX223" i="1"/>
  <c r="CW223" i="1"/>
  <c r="DA223" i="1"/>
  <c r="CN223" i="1"/>
  <c r="CM223" i="1"/>
  <c r="CQ223" i="1" s="1"/>
  <c r="CD223" i="1"/>
  <c r="CC223" i="1"/>
  <c r="CG223" i="1"/>
  <c r="BT223" i="1"/>
  <c r="BS223" i="1"/>
  <c r="BW223" i="1" s="1"/>
  <c r="BJ223" i="1"/>
  <c r="BI223" i="1"/>
  <c r="BM223" i="1"/>
  <c r="AZ223" i="1"/>
  <c r="AX223" i="1"/>
  <c r="BC223" i="1" s="1"/>
  <c r="AO223" i="1"/>
  <c r="AN223" i="1"/>
  <c r="AR223" i="1"/>
  <c r="AE223" i="1"/>
  <c r="AD223" i="1"/>
  <c r="AH223" i="1" s="1"/>
  <c r="U223" i="1"/>
  <c r="T223" i="1"/>
  <c r="X223" i="1"/>
  <c r="K223" i="1"/>
  <c r="J223" i="1"/>
  <c r="CM121" i="1"/>
  <c r="CQ121" i="1" s="1"/>
  <c r="CN121" i="1"/>
  <c r="CM140" i="1"/>
  <c r="CQ140" i="1" s="1"/>
  <c r="CT140" i="1" s="1"/>
  <c r="CU140" i="1" s="1"/>
  <c r="CN140" i="1"/>
  <c r="BT36" i="1"/>
  <c r="BS36" i="1"/>
  <c r="BW36" i="1" s="1"/>
  <c r="CC253" i="1"/>
  <c r="CD253" i="1"/>
  <c r="CC271" i="1"/>
  <c r="CD271" i="1"/>
  <c r="AD8" i="1"/>
  <c r="AE8" i="1"/>
  <c r="J27" i="1"/>
  <c r="K27" i="1"/>
  <c r="AD138" i="1"/>
  <c r="AH138" i="1" s="1"/>
  <c r="AE138" i="1"/>
  <c r="J25" i="1"/>
  <c r="K25" i="1"/>
  <c r="N25" i="1" s="1"/>
  <c r="AO34" i="1"/>
  <c r="AN34" i="1"/>
  <c r="AR34" i="1" s="1"/>
  <c r="AX38" i="1"/>
  <c r="BC38" i="1" s="1"/>
  <c r="BF38" i="1" s="1"/>
  <c r="BG38" i="1" s="1"/>
  <c r="AZ38" i="1"/>
  <c r="AN40" i="1"/>
  <c r="AO40" i="1"/>
  <c r="AZ40" i="1"/>
  <c r="AX40" i="1"/>
  <c r="BC40" i="1" s="1"/>
  <c r="AN47" i="1"/>
  <c r="AO47" i="1"/>
  <c r="AR47" i="1" s="1"/>
  <c r="AO139" i="1"/>
  <c r="AN139" i="1"/>
  <c r="AR139" i="1" s="1"/>
  <c r="AX242" i="1"/>
  <c r="BC242" i="1" s="1"/>
  <c r="AZ242" i="1"/>
  <c r="AZ245" i="1"/>
  <c r="AX245" i="1"/>
  <c r="BC245" i="1" s="1"/>
  <c r="AZ34" i="1"/>
  <c r="AX34" i="1"/>
  <c r="BC34" i="1" s="1"/>
  <c r="AX36" i="1"/>
  <c r="AZ36" i="1"/>
  <c r="AX37" i="1"/>
  <c r="AZ37" i="1"/>
  <c r="DR5" i="1"/>
  <c r="DQ5" i="1"/>
  <c r="DU5" i="1" s="1"/>
  <c r="BI10" i="1"/>
  <c r="BM10" i="1" s="1"/>
  <c r="BJ10" i="1"/>
  <c r="BJ35" i="1"/>
  <c r="BI35" i="1"/>
  <c r="BM35" i="1" s="1"/>
  <c r="BP35" i="1" s="1"/>
  <c r="BQ35" i="1" s="1"/>
  <c r="BI37" i="1"/>
  <c r="BJ37" i="1"/>
  <c r="CW137" i="1"/>
  <c r="CX137" i="1"/>
  <c r="CW139" i="1"/>
  <c r="CX139" i="1"/>
  <c r="BJ230" i="1"/>
  <c r="BI230" i="1"/>
  <c r="BM230" i="1"/>
  <c r="BP230" i="1" s="1"/>
  <c r="BQ230" i="1" s="1"/>
  <c r="BI232" i="1"/>
  <c r="BM232" i="1" s="1"/>
  <c r="BJ232" i="1"/>
  <c r="BI233" i="1"/>
  <c r="BM233" i="1" s="1"/>
  <c r="BP233" i="1" s="1"/>
  <c r="BQ233" i="1" s="1"/>
  <c r="BJ233" i="1"/>
  <c r="T230" i="1"/>
  <c r="U230" i="1"/>
  <c r="T231" i="1"/>
  <c r="X231" i="1" s="1"/>
  <c r="U231" i="1"/>
  <c r="T242" i="1"/>
  <c r="X242" i="1" s="1"/>
  <c r="U242" i="1"/>
  <c r="U244" i="1"/>
  <c r="T244" i="1"/>
  <c r="X244" i="1" s="1"/>
  <c r="T246" i="1"/>
  <c r="X246" i="1" s="1"/>
  <c r="U246" i="1"/>
  <c r="T252" i="1"/>
  <c r="X252" i="1" s="1"/>
  <c r="U252" i="1"/>
  <c r="U263" i="1"/>
  <c r="T263" i="1"/>
  <c r="X263" i="1" s="1"/>
  <c r="T271" i="1"/>
  <c r="U271" i="1"/>
  <c r="U274" i="1"/>
  <c r="T274" i="1"/>
  <c r="X274" i="1" s="1"/>
  <c r="U47" i="1"/>
  <c r="T47" i="1"/>
  <c r="X47" i="1" s="1"/>
  <c r="CC47" i="1"/>
  <c r="CD47" i="1"/>
  <c r="CX47" i="1"/>
  <c r="CW47" i="1"/>
  <c r="DA47" i="1" s="1"/>
  <c r="DD47" i="1" s="1"/>
  <c r="AX49" i="1"/>
  <c r="BC49" i="1" s="1"/>
  <c r="BF49" i="1" s="1"/>
  <c r="BG49" i="1" s="1"/>
  <c r="AZ49" i="1"/>
  <c r="J56" i="1"/>
  <c r="K56" i="1"/>
  <c r="J60" i="1"/>
  <c r="K60" i="1"/>
  <c r="CM64" i="1"/>
  <c r="CN64" i="1"/>
  <c r="J66" i="1"/>
  <c r="K66" i="1"/>
  <c r="CN67" i="1"/>
  <c r="CM67" i="1"/>
  <c r="CQ67" i="1" s="1"/>
  <c r="AE81" i="1"/>
  <c r="AD81" i="1"/>
  <c r="AH81" i="1" s="1"/>
  <c r="AN81" i="1"/>
  <c r="AO81" i="1"/>
  <c r="AO82" i="1"/>
  <c r="AN82" i="1"/>
  <c r="AR82" i="1" s="1"/>
  <c r="AX82" i="1"/>
  <c r="BC82" i="1" s="1"/>
  <c r="BF82" i="1" s="1"/>
  <c r="BG82" i="1" s="1"/>
  <c r="AZ82" i="1"/>
  <c r="BS82" i="1"/>
  <c r="BT82" i="1"/>
  <c r="T83" i="1"/>
  <c r="U83" i="1"/>
  <c r="BS89" i="1"/>
  <c r="BT89" i="1"/>
  <c r="T90" i="1"/>
  <c r="U90" i="1"/>
  <c r="AN90" i="1"/>
  <c r="AR90" i="1" s="1"/>
  <c r="AO90" i="1"/>
  <c r="BS91" i="1"/>
  <c r="BT91" i="1"/>
  <c r="T92" i="1"/>
  <c r="U92" i="1"/>
  <c r="AN94" i="1"/>
  <c r="AR94" i="1" s="1"/>
  <c r="AO94" i="1"/>
  <c r="BS95" i="1"/>
  <c r="BT95" i="1"/>
  <c r="CC198" i="1"/>
  <c r="CD198" i="1"/>
  <c r="T4" i="1"/>
  <c r="X4" i="1" s="1"/>
  <c r="U4" i="1"/>
  <c r="AD4" i="1"/>
  <c r="AH4" i="1" s="1"/>
  <c r="AL4" i="1" s="1"/>
  <c r="AE4" i="1"/>
  <c r="CC4" i="1"/>
  <c r="CD4" i="1"/>
  <c r="CW4" i="1"/>
  <c r="CX4" i="1"/>
  <c r="BS33" i="1"/>
  <c r="BT33" i="1"/>
  <c r="CW45" i="1"/>
  <c r="CX45" i="1"/>
  <c r="DA45" i="1" s="1"/>
  <c r="J50" i="1"/>
  <c r="K50" i="1"/>
  <c r="AN50" i="1"/>
  <c r="AO50" i="1"/>
  <c r="CC52" i="1"/>
  <c r="CD52" i="1"/>
  <c r="CN68" i="1"/>
  <c r="CM68" i="1"/>
  <c r="CQ68" i="1" s="1"/>
  <c r="CN219" i="1"/>
  <c r="CM219" i="1"/>
  <c r="CQ219" i="1" s="1"/>
  <c r="CT219" i="1" s="1"/>
  <c r="CU219" i="1" s="1"/>
  <c r="AX220" i="1"/>
  <c r="BC220" i="1" s="1"/>
  <c r="BF220" i="1" s="1"/>
  <c r="BG220" i="1" s="1"/>
  <c r="AZ220" i="1"/>
  <c r="BJ220" i="1"/>
  <c r="BI220" i="1"/>
  <c r="BM220" i="1" s="1"/>
  <c r="BP220" i="1" s="1"/>
  <c r="BQ220" i="1" s="1"/>
  <c r="CM222" i="1"/>
  <c r="CQ222" i="1" s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G91" i="1" s="1"/>
  <c r="CC95" i="1"/>
  <c r="CD95" i="1"/>
  <c r="CM95" i="1"/>
  <c r="CN95" i="1"/>
  <c r="CM144" i="1"/>
  <c r="CN144" i="1"/>
  <c r="CN153" i="1"/>
  <c r="CM153" i="1"/>
  <c r="CQ153" i="1" s="1"/>
  <c r="CM158" i="1"/>
  <c r="CN158" i="1"/>
  <c r="CM168" i="1"/>
  <c r="CN168" i="1"/>
  <c r="CM170" i="1"/>
  <c r="CN170" i="1"/>
  <c r="J177" i="1"/>
  <c r="K177" i="1"/>
  <c r="J183" i="1"/>
  <c r="K183" i="1"/>
  <c r="J190" i="1"/>
  <c r="K190" i="1"/>
  <c r="AE191" i="1"/>
  <c r="AD191" i="1"/>
  <c r="AH191" i="1" s="1"/>
  <c r="AD200" i="1"/>
  <c r="AE200" i="1"/>
  <c r="J215" i="1"/>
  <c r="K215" i="1"/>
  <c r="AN16" i="1"/>
  <c r="AO16" i="1"/>
  <c r="AN197" i="1"/>
  <c r="AO197" i="1"/>
  <c r="AN213" i="1"/>
  <c r="AR213" i="1" s="1"/>
  <c r="AU213" i="1" s="1"/>
  <c r="AV213" i="1" s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DA276" i="1" s="1"/>
  <c r="DD276" i="1" s="1"/>
  <c r="DE276" i="1" s="1"/>
  <c r="CW281" i="1"/>
  <c r="CX281" i="1"/>
  <c r="AZ283" i="1"/>
  <c r="AX283" i="1"/>
  <c r="BC283" i="1" s="1"/>
  <c r="AX285" i="1"/>
  <c r="AZ285" i="1"/>
  <c r="CX285" i="1"/>
  <c r="CW285" i="1"/>
  <c r="DA285" i="1" s="1"/>
  <c r="DD285" i="1" s="1"/>
  <c r="DE285" i="1" s="1"/>
  <c r="AZ287" i="1"/>
  <c r="AX287" i="1"/>
  <c r="BC287" i="1" s="1"/>
  <c r="AZ288" i="1"/>
  <c r="AX288" i="1"/>
  <c r="BC288" i="1" s="1"/>
  <c r="BF288" i="1" s="1"/>
  <c r="BG288" i="1" s="1"/>
  <c r="CX292" i="1"/>
  <c r="CW292" i="1"/>
  <c r="DA292" i="1" s="1"/>
  <c r="DD292" i="1" s="1"/>
  <c r="DE292" i="1" s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J21" i="1"/>
  <c r="BI21" i="1"/>
  <c r="BM21" i="1" s="1"/>
  <c r="BJ27" i="1"/>
  <c r="BI27" i="1"/>
  <c r="BM27" i="1" s="1"/>
  <c r="BI55" i="1"/>
  <c r="BJ55" i="1"/>
  <c r="BJ139" i="1"/>
  <c r="BI139" i="1"/>
  <c r="BM139" i="1" s="1"/>
  <c r="BP139" i="1" s="1"/>
  <c r="BQ139" i="1" s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Q105" i="1" s="1"/>
  <c r="CM113" i="1"/>
  <c r="CN113" i="1"/>
  <c r="AX133" i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DA134" i="1" s="1"/>
  <c r="DD134" i="1" s="1"/>
  <c r="DE134" i="1" s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AR144" i="1" s="1"/>
  <c r="AU144" i="1" s="1"/>
  <c r="AV144" i="1" s="1"/>
  <c r="CM152" i="1"/>
  <c r="CN152" i="1"/>
  <c r="T204" i="1"/>
  <c r="U204" i="1"/>
  <c r="U209" i="1"/>
  <c r="T209" i="1"/>
  <c r="X209" i="1" s="1"/>
  <c r="U215" i="1"/>
  <c r="T215" i="1"/>
  <c r="X215" i="1" s="1"/>
  <c r="AE217" i="1"/>
  <c r="AD217" i="1"/>
  <c r="AH217" i="1" s="1"/>
  <c r="CW302" i="1"/>
  <c r="CX302" i="1"/>
  <c r="AX303" i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G65" i="1" s="1"/>
  <c r="CJ65" i="1" s="1"/>
  <c r="CK65" i="1" s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G112" i="1" s="1"/>
  <c r="CJ112" i="1" s="1"/>
  <c r="CK112" i="1" s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CG294" i="1" s="1"/>
  <c r="BS296" i="1"/>
  <c r="BT296" i="1"/>
  <c r="CC296" i="1"/>
  <c r="CD296" i="1"/>
  <c r="BS298" i="1"/>
  <c r="BT298" i="1"/>
  <c r="CD298" i="1"/>
  <c r="CC298" i="1"/>
  <c r="CG298" i="1" s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G312" i="1" s="1"/>
  <c r="CJ312" i="1" s="1"/>
  <c r="CK312" i="1" s="1"/>
  <c r="CN74" i="1"/>
  <c r="CM74" i="1"/>
  <c r="CQ74" i="1" s="1"/>
  <c r="AE83" i="1"/>
  <c r="AD83" i="1"/>
  <c r="AH83" i="1" s="1"/>
  <c r="AK83" i="1" s="1"/>
  <c r="AL83" i="1" s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E170" i="1"/>
  <c r="J71" i="1"/>
  <c r="K71" i="1"/>
  <c r="N71" i="1" s="1"/>
  <c r="J75" i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AR286" i="1" s="1"/>
  <c r="J297" i="1"/>
  <c r="K297" i="1"/>
  <c r="AO298" i="1"/>
  <c r="AN298" i="1"/>
  <c r="AR298" i="1" s="1"/>
  <c r="AU298" i="1" s="1"/>
  <c r="AV298" i="1" s="1"/>
  <c r="AO302" i="1"/>
  <c r="AN302" i="1"/>
  <c r="AR302" i="1" s="1"/>
  <c r="AU302" i="1" s="1"/>
  <c r="AV302" i="1" s="1"/>
  <c r="J303" i="1"/>
  <c r="K303" i="1"/>
  <c r="N303" i="1" s="1"/>
  <c r="AO308" i="1"/>
  <c r="AN308" i="1"/>
  <c r="AR308" i="1" s="1"/>
  <c r="AU308" i="1" s="1"/>
  <c r="AV308" i="1" s="1"/>
  <c r="AO310" i="1"/>
  <c r="AN310" i="1"/>
  <c r="AR310" i="1" s="1"/>
  <c r="AU310" i="1" s="1"/>
  <c r="AV310" i="1" s="1"/>
  <c r="AN5" i="1"/>
  <c r="AO5" i="1"/>
  <c r="AO6" i="1"/>
  <c r="AN6" i="1"/>
  <c r="AR6" i="1" s="1"/>
  <c r="AO11" i="1"/>
  <c r="AN11" i="1"/>
  <c r="AR11" i="1" s="1"/>
  <c r="AN12" i="1"/>
  <c r="AO12" i="1"/>
  <c r="AO19" i="1"/>
  <c r="AN19" i="1"/>
  <c r="AR19" i="1" s="1"/>
  <c r="AX19" i="1"/>
  <c r="AZ19" i="1"/>
  <c r="AO28" i="1"/>
  <c r="AN28" i="1"/>
  <c r="AR28" i="1" s="1"/>
  <c r="AX32" i="1"/>
  <c r="AZ32" i="1"/>
  <c r="AZ53" i="1"/>
  <c r="AX53" i="1"/>
  <c r="BC53" i="1" s="1"/>
  <c r="AO56" i="1"/>
  <c r="AN56" i="1"/>
  <c r="AR56" i="1" s="1"/>
  <c r="AU56" i="1" s="1"/>
  <c r="AV56" i="1" s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O68" i="1"/>
  <c r="AZ70" i="1"/>
  <c r="AX70" i="1"/>
  <c r="BC70" i="1" s="1"/>
  <c r="AN74" i="1"/>
  <c r="AO74" i="1"/>
  <c r="AR74" i="1" s="1"/>
  <c r="AX76" i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O113" i="1"/>
  <c r="AO117" i="1"/>
  <c r="AN117" i="1"/>
  <c r="AR117" i="1" s="1"/>
  <c r="AN121" i="1"/>
  <c r="AO121" i="1"/>
  <c r="AX145" i="1"/>
  <c r="AZ145" i="1"/>
  <c r="AX146" i="1"/>
  <c r="AZ146" i="1"/>
  <c r="AO161" i="1"/>
  <c r="AN161" i="1"/>
  <c r="AR161" i="1" s="1"/>
  <c r="AX210" i="1"/>
  <c r="AZ210" i="1"/>
  <c r="AZ213" i="1"/>
  <c r="AX213" i="1"/>
  <c r="BC213" i="1" s="1"/>
  <c r="AX216" i="1"/>
  <c r="AZ216" i="1"/>
  <c r="AX217" i="1"/>
  <c r="AZ217" i="1"/>
  <c r="AX163" i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DA25" i="1" s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BM308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C235" i="1"/>
  <c r="CD235" i="1"/>
  <c r="CC238" i="1"/>
  <c r="CD238" i="1"/>
  <c r="CC239" i="1"/>
  <c r="CD239" i="1"/>
  <c r="CD242" i="1"/>
  <c r="CC242" i="1"/>
  <c r="CG242" i="1" s="1"/>
  <c r="BT243" i="1"/>
  <c r="BS243" i="1"/>
  <c r="BW243" i="1" s="1"/>
  <c r="BZ243" i="1" s="1"/>
  <c r="CA243" i="1" s="1"/>
  <c r="BT246" i="1"/>
  <c r="BS246" i="1"/>
  <c r="BW246" i="1" s="1"/>
  <c r="CC247" i="1"/>
  <c r="CD247" i="1"/>
  <c r="CC252" i="1"/>
  <c r="CD252" i="1"/>
  <c r="BS260" i="1"/>
  <c r="BT260" i="1"/>
  <c r="CG226" i="1"/>
  <c r="CJ226" i="1" s="1"/>
  <c r="CK226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CQ296" i="1" s="1"/>
  <c r="CT296" i="1" s="1"/>
  <c r="CU296" i="1" s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K232" i="1"/>
  <c r="N232" i="1" s="1"/>
  <c r="Q232" i="1" s="1"/>
  <c r="R232" i="1" s="1"/>
  <c r="AD232" i="1"/>
  <c r="AE232" i="1"/>
  <c r="J234" i="1"/>
  <c r="K234" i="1"/>
  <c r="AD235" i="1"/>
  <c r="AE235" i="1"/>
  <c r="J236" i="1"/>
  <c r="K236" i="1"/>
  <c r="AD237" i="1"/>
  <c r="AE237" i="1"/>
  <c r="AE239" i="1"/>
  <c r="AD239" i="1"/>
  <c r="AH239" i="1" s="1"/>
  <c r="AD240" i="1"/>
  <c r="AE240" i="1"/>
  <c r="J241" i="1"/>
  <c r="K241" i="1"/>
  <c r="AD242" i="1"/>
  <c r="AE242" i="1"/>
  <c r="AE246" i="1"/>
  <c r="AD246" i="1"/>
  <c r="AH246" i="1" s="1"/>
  <c r="AK246" i="1" s="1"/>
  <c r="AL246" i="1" s="1"/>
  <c r="AD249" i="1"/>
  <c r="AE249" i="1"/>
  <c r="AH249" i="1" s="1"/>
  <c r="AK249" i="1" s="1"/>
  <c r="AL249" i="1" s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R253" i="1" s="1"/>
  <c r="AU253" i="1" s="1"/>
  <c r="AV253" i="1" s="1"/>
  <c r="AO256" i="1"/>
  <c r="AN256" i="1"/>
  <c r="AR256" i="1" s="1"/>
  <c r="AU256" i="1" s="1"/>
  <c r="AV256" i="1" s="1"/>
  <c r="AO257" i="1"/>
  <c r="AN257" i="1"/>
  <c r="AR257" i="1" s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M236" i="1" s="1"/>
  <c r="BP236" i="1" s="1"/>
  <c r="BQ236" i="1" s="1"/>
  <c r="BJ238" i="1"/>
  <c r="BI238" i="1"/>
  <c r="BM238" i="1" s="1"/>
  <c r="BP238" i="1" s="1"/>
  <c r="BQ238" i="1" s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BJ312" i="1"/>
  <c r="BI312" i="1"/>
  <c r="BM312" i="1" s="1"/>
  <c r="U52" i="1"/>
  <c r="T52" i="1"/>
  <c r="X52" i="1" s="1"/>
  <c r="T80" i="1"/>
  <c r="U80" i="1"/>
  <c r="X80" i="1" s="1"/>
  <c r="U106" i="1"/>
  <c r="T106" i="1"/>
  <c r="X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T236" i="1"/>
  <c r="U236" i="1"/>
  <c r="T278" i="1"/>
  <c r="U278" i="1"/>
  <c r="X278" i="1" s="1"/>
  <c r="U281" i="1"/>
  <c r="T281" i="1"/>
  <c r="X281" i="1" s="1"/>
  <c r="K268" i="1"/>
  <c r="N268" i="1" s="1"/>
  <c r="K150" i="1"/>
  <c r="N150" i="1" s="1"/>
  <c r="K102" i="1"/>
  <c r="K59" i="1"/>
  <c r="N59" i="1" s="1"/>
  <c r="Q59" i="1" s="1"/>
  <c r="R59" i="1" s="1"/>
  <c r="K55" i="1"/>
  <c r="N55" i="1" s="1"/>
  <c r="K108" i="1"/>
  <c r="N108" i="1" s="1"/>
  <c r="Q108" i="1" s="1"/>
  <c r="R108" i="1" s="1"/>
  <c r="K79" i="1"/>
  <c r="N79" i="1" s="1"/>
  <c r="K116" i="1"/>
  <c r="N116" i="1" s="1"/>
  <c r="Q116" i="1" s="1"/>
  <c r="R116" i="1" s="1"/>
  <c r="K17" i="1"/>
  <c r="N17" i="1" s="1"/>
  <c r="K5" i="1"/>
  <c r="N5" i="1" s="1"/>
  <c r="K235" i="1"/>
  <c r="N235" i="1" s="1"/>
  <c r="K221" i="1"/>
  <c r="N221" i="1" s="1"/>
  <c r="Q221" i="1" s="1"/>
  <c r="R221" i="1" s="1"/>
  <c r="K212" i="1"/>
  <c r="N212" i="1" s="1"/>
  <c r="Q212" i="1" s="1"/>
  <c r="R212" i="1" s="1"/>
  <c r="K309" i="1"/>
  <c r="N309" i="1" s="1"/>
  <c r="Q309" i="1" s="1"/>
  <c r="K174" i="1"/>
  <c r="N174" i="1" s="1"/>
  <c r="K65" i="1"/>
  <c r="N65" i="1" s="1"/>
  <c r="Q65" i="1" s="1"/>
  <c r="K13" i="1"/>
  <c r="N13" i="1" s="1"/>
  <c r="K136" i="1"/>
  <c r="N136" i="1" s="1"/>
  <c r="N102" i="1"/>
  <c r="K97" i="1"/>
  <c r="N97" i="1" s="1"/>
  <c r="K20" i="1"/>
  <c r="N20" i="1" s="1"/>
  <c r="ES206" i="1"/>
  <c r="K28" i="1"/>
  <c r="N28" i="1" s="1"/>
  <c r="K18" i="1"/>
  <c r="N18" i="1" s="1"/>
  <c r="K306" i="1"/>
  <c r="N306" i="1" s="1"/>
  <c r="Q306" i="1" s="1"/>
  <c r="R306" i="1" s="1"/>
  <c r="K283" i="1"/>
  <c r="N283" i="1" s="1"/>
  <c r="Q283" i="1" s="1"/>
  <c r="R283" i="1" s="1"/>
  <c r="K266" i="1"/>
  <c r="N266" i="1" s="1"/>
  <c r="K231" i="1"/>
  <c r="N231" i="1" s="1"/>
  <c r="K188" i="1"/>
  <c r="N188" i="1" s="1"/>
  <c r="K41" i="1"/>
  <c r="N41" i="1" s="1"/>
  <c r="K114" i="1"/>
  <c r="N114" i="1" s="1"/>
  <c r="Q114" i="1" s="1"/>
  <c r="R114" i="1" s="1"/>
  <c r="K105" i="1"/>
  <c r="N105" i="1" s="1"/>
  <c r="Q105" i="1" s="1"/>
  <c r="R105" i="1" s="1"/>
  <c r="K122" i="1"/>
  <c r="N122" i="1" s="1"/>
  <c r="K103" i="1"/>
  <c r="N103" i="1" s="1"/>
  <c r="Q103" i="1" s="1"/>
  <c r="R103" i="1" s="1"/>
  <c r="K89" i="1"/>
  <c r="N89" i="1" s="1"/>
  <c r="K124" i="1"/>
  <c r="N124" i="1" s="1"/>
  <c r="Q124" i="1" s="1"/>
  <c r="K112" i="1"/>
  <c r="N112" i="1" s="1"/>
  <c r="Q112" i="1" s="1"/>
  <c r="R112" i="1" s="1"/>
  <c r="K109" i="1"/>
  <c r="N109" i="1" s="1"/>
  <c r="Q109" i="1" s="1"/>
  <c r="R109" i="1" s="1"/>
  <c r="J15" i="1"/>
  <c r="K95" i="1"/>
  <c r="N95" i="1" s="1"/>
  <c r="K3" i="1"/>
  <c r="J14" i="1"/>
  <c r="K307" i="1"/>
  <c r="N307" i="1" s="1"/>
  <c r="Q307" i="1" s="1"/>
  <c r="K258" i="1"/>
  <c r="N258" i="1" s="1"/>
  <c r="K224" i="1"/>
  <c r="N224" i="1" s="1"/>
  <c r="K207" i="1"/>
  <c r="N207" i="1" s="1"/>
  <c r="Q207" i="1" s="1"/>
  <c r="R207" i="1" s="1"/>
  <c r="K129" i="1"/>
  <c r="N129" i="1" s="1"/>
  <c r="Q129" i="1" s="1"/>
  <c r="R129" i="1" s="1"/>
  <c r="K51" i="1"/>
  <c r="N51" i="1" s="1"/>
  <c r="K40" i="1"/>
  <c r="N40" i="1" s="1"/>
  <c r="Q40" i="1" s="1"/>
  <c r="R40" i="1" s="1"/>
  <c r="K7" i="1"/>
  <c r="N7" i="1" s="1"/>
  <c r="Q7" i="1" s="1"/>
  <c r="R7" i="1" s="1"/>
  <c r="J3" i="1"/>
  <c r="BM281" i="1"/>
  <c r="BP281" i="1" s="1"/>
  <c r="BQ281" i="1" s="1"/>
  <c r="DA263" i="1"/>
  <c r="DD263" i="1" s="1"/>
  <c r="DE263" i="1" s="1"/>
  <c r="X236" i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AH274" i="1" s="1"/>
  <c r="U259" i="1"/>
  <c r="X259" i="1" s="1"/>
  <c r="AO225" i="1"/>
  <c r="AR225" i="1" s="1"/>
  <c r="CC203" i="1"/>
  <c r="CD203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AR222" i="1" s="1"/>
  <c r="AU222" i="1" s="1"/>
  <c r="AV222" i="1" s="1"/>
  <c r="DR219" i="1"/>
  <c r="DU219" i="1" s="1"/>
  <c r="AO218" i="1"/>
  <c r="AR218" i="1" s="1"/>
  <c r="AU218" i="1" s="1"/>
  <c r="AV218" i="1" s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4" i="1"/>
  <c r="BP234" i="1" s="1"/>
  <c r="BQ234" i="1" s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DA189" i="1"/>
  <c r="DD189" i="1" s="1"/>
  <c r="DE189" i="1" s="1"/>
  <c r="AD185" i="1"/>
  <c r="AH185" i="1" s="1"/>
  <c r="AK185" i="1" s="1"/>
  <c r="AL185" i="1" s="1"/>
  <c r="U179" i="1"/>
  <c r="X179" i="1" s="1"/>
  <c r="BC284" i="1"/>
  <c r="BF284" i="1" s="1"/>
  <c r="BG284" i="1" s="1"/>
  <c r="X248" i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CN229" i="1"/>
  <c r="CM229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/>
  <c r="DQ261" i="1"/>
  <c r="DR261" i="1"/>
  <c r="AD252" i="1"/>
  <c r="AE252" i="1"/>
  <c r="J298" i="1"/>
  <c r="K298" i="1"/>
  <c r="CM279" i="1"/>
  <c r="CQ279" i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N305" i="1" s="1"/>
  <c r="AZ308" i="1"/>
  <c r="BC308" i="1"/>
  <c r="U312" i="1"/>
  <c r="X312" i="1" s="1"/>
  <c r="AX301" i="1"/>
  <c r="BC301" i="1" s="1"/>
  <c r="BT297" i="1"/>
  <c r="CW286" i="1"/>
  <c r="CX286" i="1"/>
  <c r="J270" i="1"/>
  <c r="K270" i="1"/>
  <c r="CX249" i="1"/>
  <c r="CW249" i="1"/>
  <c r="DA249" i="1" s="1"/>
  <c r="BT205" i="1"/>
  <c r="BS205" i="1"/>
  <c r="BW205" i="1" s="1"/>
  <c r="J304" i="1"/>
  <c r="N304" i="1" s="1"/>
  <c r="Q304" i="1" s="1"/>
  <c r="R304" i="1" s="1"/>
  <c r="T310" i="1"/>
  <c r="U310" i="1"/>
  <c r="CW284" i="1"/>
  <c r="DA284" i="1" s="1"/>
  <c r="DD284" i="1" s="1"/>
  <c r="DE284" i="1" s="1"/>
  <c r="BS297" i="1"/>
  <c r="BW297" i="1" s="1"/>
  <c r="AE270" i="1"/>
  <c r="AD270" i="1"/>
  <c r="AN269" i="1"/>
  <c r="AO269" i="1"/>
  <c r="CX266" i="1"/>
  <c r="CW266" i="1"/>
  <c r="DA266" i="1" s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K276" i="1"/>
  <c r="J276" i="1"/>
  <c r="CC269" i="1"/>
  <c r="CD269" i="1"/>
  <c r="AN267" i="1"/>
  <c r="AO267" i="1"/>
  <c r="AX264" i="1"/>
  <c r="BC264" i="1" s="1"/>
  <c r="AZ264" i="1"/>
  <c r="EL263" i="1"/>
  <c r="AH259" i="1"/>
  <c r="K257" i="1"/>
  <c r="J257" i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Q253" i="1"/>
  <c r="CT253" i="1" s="1"/>
  <c r="CU253" i="1" s="1"/>
  <c r="CN306" i="1"/>
  <c r="CQ306" i="1" s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K277" i="1"/>
  <c r="AZ276" i="1"/>
  <c r="BC276" i="1" s="1"/>
  <c r="CM273" i="1"/>
  <c r="CN273" i="1"/>
  <c r="J272" i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R217" i="1" s="1"/>
  <c r="AU217" i="1" s="1"/>
  <c r="AV217" i="1" s="1"/>
  <c r="AN208" i="1"/>
  <c r="AR208" i="1" s="1"/>
  <c r="U203" i="1"/>
  <c r="X203" i="1" s="1"/>
  <c r="J202" i="1"/>
  <c r="K202" i="1"/>
  <c r="U201" i="1"/>
  <c r="T201" i="1"/>
  <c r="X201" i="1" s="1"/>
  <c r="BI198" i="1"/>
  <c r="BJ198" i="1"/>
  <c r="J185" i="1"/>
  <c r="K185" i="1"/>
  <c r="EL184" i="1"/>
  <c r="AD181" i="1"/>
  <c r="AE181" i="1"/>
  <c r="EL282" i="1"/>
  <c r="K302" i="1"/>
  <c r="J302" i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K247" i="1"/>
  <c r="J247" i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K266" i="1" s="1"/>
  <c r="DH266" i="1"/>
  <c r="CW265" i="1"/>
  <c r="CX265" i="1"/>
  <c r="EL264" i="1"/>
  <c r="EL262" i="1"/>
  <c r="J238" i="1"/>
  <c r="K238" i="1"/>
  <c r="AD236" i="1"/>
  <c r="AE236" i="1"/>
  <c r="J230" i="1"/>
  <c r="K230" i="1"/>
  <c r="CQ215" i="1"/>
  <c r="CT215" i="1" s="1"/>
  <c r="CU215" i="1" s="1"/>
  <c r="AN210" i="1"/>
  <c r="AO210" i="1"/>
  <c r="EL196" i="1"/>
  <c r="U191" i="1"/>
  <c r="T191" i="1"/>
  <c r="K186" i="1"/>
  <c r="J186" i="1"/>
  <c r="CD182" i="1"/>
  <c r="CC182" i="1"/>
  <c r="CG182" i="1" s="1"/>
  <c r="BI182" i="1"/>
  <c r="BJ182" i="1"/>
  <c r="EL269" i="1"/>
  <c r="BI247" i="1"/>
  <c r="BJ247" i="1"/>
  <c r="BM247" i="1" s="1"/>
  <c r="AZ273" i="1"/>
  <c r="AX273" i="1"/>
  <c r="BC273" i="1" s="1"/>
  <c r="T265" i="1"/>
  <c r="X265" i="1" s="1"/>
  <c r="AZ234" i="1"/>
  <c r="AX234" i="1"/>
  <c r="BC234" i="1" s="1"/>
  <c r="DQ189" i="1"/>
  <c r="DR189" i="1"/>
  <c r="DU189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N291" i="1" s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N281" i="1" s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AR235" i="1" s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N284" i="1" s="1"/>
  <c r="Q284" i="1" s="1"/>
  <c r="R284" i="1" s="1"/>
  <c r="DH280" i="1"/>
  <c r="DK280" i="1" s="1"/>
  <c r="DN280" i="1" s="1"/>
  <c r="DO280" i="1" s="1"/>
  <c r="K278" i="1"/>
  <c r="N278" i="1" s="1"/>
  <c r="CD277" i="1"/>
  <c r="CG277" i="1" s="1"/>
  <c r="CK277" i="1" s="1"/>
  <c r="CX274" i="1"/>
  <c r="DA274" i="1" s="1"/>
  <c r="AO274" i="1"/>
  <c r="AO262" i="1"/>
  <c r="AN262" i="1"/>
  <c r="DQ257" i="1"/>
  <c r="DU257" i="1" s="1"/>
  <c r="U257" i="1"/>
  <c r="X257" i="1" s="1"/>
  <c r="CC244" i="1"/>
  <c r="CD244" i="1"/>
  <c r="CG244" i="1"/>
  <c r="BS236" i="1"/>
  <c r="BT236" i="1"/>
  <c r="CC234" i="1"/>
  <c r="CG234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K189" i="1"/>
  <c r="EL305" i="1"/>
  <c r="K300" i="1"/>
  <c r="J300" i="1"/>
  <c r="K292" i="1"/>
  <c r="J292" i="1"/>
  <c r="EL290" i="1"/>
  <c r="CM290" i="1"/>
  <c r="CN290" i="1"/>
  <c r="K288" i="1"/>
  <c r="J288" i="1"/>
  <c r="EL285" i="1"/>
  <c r="AD278" i="1"/>
  <c r="AE278" i="1"/>
  <c r="AR274" i="1"/>
  <c r="AU274" i="1" s="1"/>
  <c r="AV274" i="1" s="1"/>
  <c r="CC273" i="1"/>
  <c r="CD273" i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N229" i="1" s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K260" i="1"/>
  <c r="J260" i="1"/>
  <c r="EL255" i="1"/>
  <c r="K253" i="1"/>
  <c r="J253" i="1"/>
  <c r="EL250" i="1"/>
  <c r="AX246" i="1"/>
  <c r="BC246" i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DH177" i="1"/>
  <c r="DG177" i="1"/>
  <c r="EL275" i="1"/>
  <c r="BW275" i="1"/>
  <c r="BZ275" i="1" s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DA230" i="1" s="1"/>
  <c r="AX219" i="1"/>
  <c r="BC219" i="1" s="1"/>
  <c r="AD219" i="1"/>
  <c r="AH219" i="1" s="1"/>
  <c r="AK219" i="1" s="1"/>
  <c r="AL219" i="1" s="1"/>
  <c r="K219" i="1"/>
  <c r="N219" i="1" s="1"/>
  <c r="Q219" i="1" s="1"/>
  <c r="R219" i="1" s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6" i="1"/>
  <c r="EL283" i="1"/>
  <c r="BW279" i="1"/>
  <c r="EL276" i="1"/>
  <c r="K274" i="1"/>
  <c r="N274" i="1" s="1"/>
  <c r="K273" i="1"/>
  <c r="N273" i="1" s="1"/>
  <c r="Q273" i="1" s="1"/>
  <c r="R273" i="1" s="1"/>
  <c r="K269" i="1"/>
  <c r="N269" i="1" s="1"/>
  <c r="CM268" i="1"/>
  <c r="CQ268" i="1" s="1"/>
  <c r="BT268" i="1"/>
  <c r="BW268" i="1" s="1"/>
  <c r="AZ268" i="1"/>
  <c r="BC268" i="1" s="1"/>
  <c r="BF268" i="1" s="1"/>
  <c r="BG268" i="1" s="1"/>
  <c r="K267" i="1"/>
  <c r="N267" i="1" s="1"/>
  <c r="AZ266" i="1"/>
  <c r="BT265" i="1"/>
  <c r="BW265" i="1" s="1"/>
  <c r="DH264" i="1"/>
  <c r="DK264" i="1" s="1"/>
  <c r="CM264" i="1"/>
  <c r="CQ264" i="1" s="1"/>
  <c r="DH263" i="1"/>
  <c r="DK263" i="1" s="1"/>
  <c r="CQ254" i="1"/>
  <c r="CT254" i="1" s="1"/>
  <c r="CU254" i="1" s="1"/>
  <c r="BJ253" i="1"/>
  <c r="BM253" i="1" s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N271" i="1" s="1"/>
  <c r="Q271" i="1" s="1"/>
  <c r="R271" i="1" s="1"/>
  <c r="BC266" i="1"/>
  <c r="BF266" i="1" s="1"/>
  <c r="BG266" i="1" s="1"/>
  <c r="T261" i="1"/>
  <c r="X261" i="1" s="1"/>
  <c r="BI258" i="1"/>
  <c r="BJ258" i="1"/>
  <c r="BM258" i="1" s="1"/>
  <c r="BP258" i="1" s="1"/>
  <c r="BQ258" i="1" s="1"/>
  <c r="BI255" i="1"/>
  <c r="BJ255" i="1"/>
  <c r="BM255" i="1" s="1"/>
  <c r="EL254" i="1"/>
  <c r="BJ251" i="1"/>
  <c r="BM251" i="1" s="1"/>
  <c r="AN246" i="1"/>
  <c r="AR246" i="1" s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Q263" i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N213" i="1" s="1"/>
  <c r="Q213" i="1" s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ER252" i="1"/>
  <c r="EL205" i="1"/>
  <c r="K200" i="1"/>
  <c r="J200" i="1"/>
  <c r="CD196" i="1"/>
  <c r="CC196" i="1"/>
  <c r="CG196" i="1" s="1"/>
  <c r="CC191" i="1"/>
  <c r="CD191" i="1"/>
  <c r="J187" i="1"/>
  <c r="K187" i="1"/>
  <c r="DQ183" i="1"/>
  <c r="DR183" i="1"/>
  <c r="AN177" i="1"/>
  <c r="AO177" i="1"/>
  <c r="CQ247" i="1"/>
  <c r="CT247" i="1" s="1"/>
  <c r="CU247" i="1" s="1"/>
  <c r="J205" i="1"/>
  <c r="K205" i="1"/>
  <c r="AZ193" i="1"/>
  <c r="BC193" i="1" s="1"/>
  <c r="J191" i="1"/>
  <c r="N191" i="1" s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N246" i="1" s="1"/>
  <c r="EL243" i="1"/>
  <c r="AD243" i="1"/>
  <c r="AH243" i="1" s="1"/>
  <c r="AK243" i="1" s="1"/>
  <c r="AL243" i="1" s="1"/>
  <c r="K243" i="1"/>
  <c r="J243" i="1"/>
  <c r="K239" i="1"/>
  <c r="N239" i="1" s="1"/>
  <c r="K233" i="1"/>
  <c r="N233" i="1" s="1"/>
  <c r="T227" i="1"/>
  <c r="X227" i="1" s="1"/>
  <c r="K226" i="1"/>
  <c r="J226" i="1"/>
  <c r="CM221" i="1"/>
  <c r="U218" i="1"/>
  <c r="X218" i="1" s="1"/>
  <c r="DG208" i="1"/>
  <c r="DK208" i="1" s="1"/>
  <c r="K204" i="1"/>
  <c r="J204" i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K228" i="1"/>
  <c r="J228" i="1"/>
  <c r="BC226" i="1"/>
  <c r="BF226" i="1" s="1"/>
  <c r="BG226" i="1" s="1"/>
  <c r="EL225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CQ199" i="1"/>
  <c r="CT199" i="1" s="1"/>
  <c r="CU199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BJ167" i="1"/>
  <c r="AE164" i="1"/>
  <c r="BJ161" i="1"/>
  <c r="BM161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BI31" i="1"/>
  <c r="BJ31" i="1"/>
  <c r="DH171" i="1"/>
  <c r="DK171" i="1" s="1"/>
  <c r="DN171" i="1" s="1"/>
  <c r="DO171" i="1" s="1"/>
  <c r="X168" i="1"/>
  <c r="BM167" i="1"/>
  <c r="BP167" i="1" s="1"/>
  <c r="BQ167" i="1" s="1"/>
  <c r="AH164" i="1"/>
  <c r="AK164" i="1" s="1"/>
  <c r="AL164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N110" i="1" s="1"/>
  <c r="EL94" i="1"/>
  <c r="BJ80" i="1"/>
  <c r="BM80" i="1" s="1"/>
  <c r="AO80" i="1"/>
  <c r="AR80" i="1" s="1"/>
  <c r="K63" i="1"/>
  <c r="J63" i="1"/>
  <c r="CD33" i="1"/>
  <c r="CC33" i="1"/>
  <c r="CG33" i="1" s="1"/>
  <c r="CJ33" i="1" s="1"/>
  <c r="CK33" i="1" s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N77" i="1" s="1"/>
  <c r="AZ66" i="1"/>
  <c r="BC66" i="1" s="1"/>
  <c r="BF66" i="1" s="1"/>
  <c r="BG66" i="1" s="1"/>
  <c r="AX65" i="1"/>
  <c r="AZ65" i="1"/>
  <c r="AD56" i="1"/>
  <c r="AE56" i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DR169" i="1"/>
  <c r="DU169" i="1" s="1"/>
  <c r="AE168" i="1"/>
  <c r="AH168" i="1" s="1"/>
  <c r="K168" i="1"/>
  <c r="N168" i="1" s="1"/>
  <c r="EL164" i="1"/>
  <c r="T154" i="1"/>
  <c r="CD152" i="1"/>
  <c r="CC152" i="1"/>
  <c r="CG152" i="1" s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K68" i="1"/>
  <c r="J68" i="1"/>
  <c r="BT67" i="1"/>
  <c r="BS67" i="1"/>
  <c r="BW67" i="1" s="1"/>
  <c r="K57" i="1"/>
  <c r="N57" i="1" s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N126" i="1" s="1"/>
  <c r="AX125" i="1"/>
  <c r="BC125" i="1" s="1"/>
  <c r="K125" i="1"/>
  <c r="N125" i="1" s="1"/>
  <c r="BT124" i="1"/>
  <c r="BW124" i="1" s="1"/>
  <c r="DG123" i="1"/>
  <c r="DK123" i="1" s="1"/>
  <c r="CN123" i="1"/>
  <c r="CQ123" i="1" s="1"/>
  <c r="CT123" i="1" s="1"/>
  <c r="CU123" i="1" s="1"/>
  <c r="EL121" i="1"/>
  <c r="J100" i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K135" i="1"/>
  <c r="J135" i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N128" i="1" s="1"/>
  <c r="Q128" i="1" s="1"/>
  <c r="R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N160" i="1" s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N154" i="1" s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N148" i="1" s="1"/>
  <c r="Q148" i="1" s="1"/>
  <c r="R148" i="1" s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N130" i="1" s="1"/>
  <c r="Q130" i="1" s="1"/>
  <c r="R130" i="1" s="1"/>
  <c r="BT128" i="1"/>
  <c r="BW128" i="1" s="1"/>
  <c r="BZ128" i="1" s="1"/>
  <c r="CA128" i="1" s="1"/>
  <c r="K127" i="1"/>
  <c r="N127" i="1" s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N87" i="1" s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K117" i="1"/>
  <c r="N117" i="1" s="1"/>
  <c r="AO110" i="1"/>
  <c r="AR110" i="1" s="1"/>
  <c r="AU110" i="1" s="1"/>
  <c r="CN107" i="1"/>
  <c r="CQ107" i="1" s="1"/>
  <c r="AE107" i="1"/>
  <c r="AH107" i="1" s="1"/>
  <c r="J107" i="1"/>
  <c r="K104" i="1"/>
  <c r="N104" i="1" s="1"/>
  <c r="Q104" i="1" s="1"/>
  <c r="R104" i="1" s="1"/>
  <c r="BT101" i="1"/>
  <c r="BS101" i="1"/>
  <c r="BW101" i="1" s="1"/>
  <c r="AD101" i="1"/>
  <c r="AH101" i="1" s="1"/>
  <c r="K101" i="1"/>
  <c r="N101" i="1" s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EL153" i="1"/>
  <c r="K149" i="1"/>
  <c r="J149" i="1"/>
  <c r="K145" i="1"/>
  <c r="J145" i="1"/>
  <c r="K140" i="1"/>
  <c r="J140" i="1"/>
  <c r="K132" i="1"/>
  <c r="N132" i="1" s="1"/>
  <c r="Q132" i="1" s="1"/>
  <c r="R132" i="1" s="1"/>
  <c r="K131" i="1"/>
  <c r="J131" i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BI68" i="1"/>
  <c r="BJ68" i="1"/>
  <c r="BM68" i="1"/>
  <c r="BI64" i="1"/>
  <c r="BJ64" i="1"/>
  <c r="BI60" i="1"/>
  <c r="BM60" i="1"/>
  <c r="T59" i="1"/>
  <c r="U59" i="1"/>
  <c r="EL58" i="1"/>
  <c r="J53" i="1"/>
  <c r="K53" i="1"/>
  <c r="CM49" i="1"/>
  <c r="CN49" i="1"/>
  <c r="K45" i="1"/>
  <c r="J45" i="1"/>
  <c r="DQ40" i="1"/>
  <c r="DU40" i="1" s="1"/>
  <c r="DX40" i="1" s="1"/>
  <c r="DY40" i="1" s="1"/>
  <c r="AE38" i="1"/>
  <c r="AH38" i="1" s="1"/>
  <c r="AK38" i="1" s="1"/>
  <c r="AL38" i="1" s="1"/>
  <c r="BS29" i="1"/>
  <c r="BT29" i="1"/>
  <c r="BS97" i="1"/>
  <c r="BW97" i="1" s="1"/>
  <c r="U96" i="1"/>
  <c r="X96" i="1" s="1"/>
  <c r="K91" i="1"/>
  <c r="N91" i="1" s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Q97" i="1" s="1"/>
  <c r="CT97" i="1" s="1"/>
  <c r="CU97" i="1" s="1"/>
  <c r="CN97" i="1"/>
  <c r="BI77" i="1"/>
  <c r="BJ77" i="1"/>
  <c r="CC64" i="1"/>
  <c r="CD64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BM39" i="1" s="1"/>
  <c r="BP39" i="1" s="1"/>
  <c r="BQ39" i="1" s="1"/>
  <c r="CQ48" i="1"/>
  <c r="CT48" i="1" s="1"/>
  <c r="CU48" i="1" s="1"/>
  <c r="BI44" i="1"/>
  <c r="BJ44" i="1"/>
  <c r="EL36" i="1"/>
  <c r="CW23" i="1"/>
  <c r="CX23" i="1"/>
  <c r="DG15" i="1"/>
  <c r="DH15" i="1"/>
  <c r="CD92" i="1"/>
  <c r="CG92" i="1" s="1"/>
  <c r="K64" i="1"/>
  <c r="J64" i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K34" i="1"/>
  <c r="J34" i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BM24" i="1"/>
  <c r="BP24" i="1" s="1"/>
  <c r="BQ24" i="1" s="1"/>
  <c r="CQ99" i="1"/>
  <c r="K80" i="1"/>
  <c r="J80" i="1"/>
  <c r="EL73" i="1"/>
  <c r="K70" i="1"/>
  <c r="J70" i="1"/>
  <c r="EL64" i="1"/>
  <c r="DG62" i="1"/>
  <c r="DK62" i="1" s="1"/>
  <c r="J62" i="1"/>
  <c r="N62" i="1" s="1"/>
  <c r="Q62" i="1" s="1"/>
  <c r="R62" i="1" s="1"/>
  <c r="EL61" i="1"/>
  <c r="K61" i="1"/>
  <c r="N61" i="1" s="1"/>
  <c r="Q61" i="1" s="1"/>
  <c r="R61" i="1" s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AE36" i="1"/>
  <c r="AD36" i="1"/>
  <c r="AH36" i="1" s="1"/>
  <c r="T27" i="1"/>
  <c r="X27" i="1" s="1"/>
  <c r="K99" i="1"/>
  <c r="J99" i="1"/>
  <c r="EL91" i="1"/>
  <c r="EL82" i="1"/>
  <c r="EL77" i="1"/>
  <c r="EL54" i="1"/>
  <c r="AR49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N23" i="1" s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J46" i="1"/>
  <c r="N46" i="1" s="1"/>
  <c r="Q46" i="1" s="1"/>
  <c r="R46" i="1" s="1"/>
  <c r="J22" i="1"/>
  <c r="N22" i="1" s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EL38" i="1"/>
  <c r="N282" i="1"/>
  <c r="Q282" i="1" s="1"/>
  <c r="BS240" i="1"/>
  <c r="K225" i="1"/>
  <c r="N225" i="1" s="1"/>
  <c r="T198" i="1"/>
  <c r="U198" i="1"/>
  <c r="CC304" i="1"/>
  <c r="CD304" i="1"/>
  <c r="CM265" i="1"/>
  <c r="CN265" i="1"/>
  <c r="AD225" i="1"/>
  <c r="AH225" i="1"/>
  <c r="BT289" i="1"/>
  <c r="BW289" i="1" s="1"/>
  <c r="AD285" i="1"/>
  <c r="AH285" i="1" s="1"/>
  <c r="AO272" i="1"/>
  <c r="AR272" i="1" s="1"/>
  <c r="T241" i="1"/>
  <c r="U241" i="1"/>
  <c r="EL236" i="1"/>
  <c r="BS234" i="1"/>
  <c r="BW234" i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DR248" i="1"/>
  <c r="DU248" i="1" s="1"/>
  <c r="CC204" i="1"/>
  <c r="CD204" i="1"/>
  <c r="DQ195" i="1"/>
  <c r="DR195" i="1"/>
  <c r="K182" i="1"/>
  <c r="N182" i="1"/>
  <c r="DQ292" i="1"/>
  <c r="DU292" i="1" s="1"/>
  <c r="AD304" i="1"/>
  <c r="AE304" i="1"/>
  <c r="AN300" i="1"/>
  <c r="AO300" i="1"/>
  <c r="T277" i="1"/>
  <c r="X277" i="1" s="1"/>
  <c r="K265" i="1"/>
  <c r="N265" i="1" s="1"/>
  <c r="AX258" i="1"/>
  <c r="AZ258" i="1"/>
  <c r="CC257" i="1"/>
  <c r="CD257" i="1"/>
  <c r="K293" i="1"/>
  <c r="N293" i="1" s="1"/>
  <c r="CW275" i="1"/>
  <c r="DA275" i="1" s="1"/>
  <c r="BS274" i="1"/>
  <c r="BW274" i="1" s="1"/>
  <c r="BI266" i="1"/>
  <c r="BJ266" i="1"/>
  <c r="BM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EL297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N259" i="1" s="1"/>
  <c r="AX200" i="1"/>
  <c r="BC200" i="1" s="1"/>
  <c r="U292" i="1"/>
  <c r="X292" i="1" s="1"/>
  <c r="EL291" i="1"/>
  <c r="U289" i="1"/>
  <c r="X289" i="1" s="1"/>
  <c r="EL278" i="1"/>
  <c r="BI276" i="1"/>
  <c r="BM276" i="1" s="1"/>
  <c r="CD227" i="1"/>
  <c r="CG227" i="1" s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N192" i="1" s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N301" i="1" s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DA258" i="1" s="1"/>
  <c r="CX250" i="1"/>
  <c r="CW250" i="1"/>
  <c r="DA250" i="1" s="1"/>
  <c r="DR237" i="1"/>
  <c r="DU237" i="1" s="1"/>
  <c r="AX229" i="1"/>
  <c r="AZ229" i="1"/>
  <c r="BC229" i="1" s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N251" i="1" s="1"/>
  <c r="CW235" i="1"/>
  <c r="CX235" i="1"/>
  <c r="BS232" i="1"/>
  <c r="BW232" i="1" s="1"/>
  <c r="AN207" i="1"/>
  <c r="AO207" i="1"/>
  <c r="K310" i="1"/>
  <c r="N310" i="1" s="1"/>
  <c r="CM303" i="1"/>
  <c r="CQ303" i="1" s="1"/>
  <c r="AX298" i="1"/>
  <c r="BC298" i="1" s="1"/>
  <c r="CM283" i="1"/>
  <c r="CQ283" i="1" s="1"/>
  <c r="EL279" i="1"/>
  <c r="BI273" i="1"/>
  <c r="BJ273" i="1"/>
  <c r="K261" i="1"/>
  <c r="N261" i="1" s="1"/>
  <c r="AN297" i="1"/>
  <c r="AO297" i="1"/>
  <c r="DG291" i="1"/>
  <c r="DH291" i="1"/>
  <c r="AE286" i="1"/>
  <c r="AH286" i="1" s="1"/>
  <c r="EL252" i="1"/>
  <c r="K199" i="1"/>
  <c r="N199" i="1" s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N295" i="1" s="1"/>
  <c r="BT293" i="1"/>
  <c r="DG292" i="1"/>
  <c r="DH292" i="1"/>
  <c r="DK292" i="1" s="1"/>
  <c r="BT291" i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AE276" i="1"/>
  <c r="AH276" i="1" s="1"/>
  <c r="CM275" i="1"/>
  <c r="CQ275" i="1" s="1"/>
  <c r="BI274" i="1"/>
  <c r="BM274" i="1" s="1"/>
  <c r="BW273" i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N280" i="1" s="1"/>
  <c r="CW194" i="1"/>
  <c r="CX194" i="1"/>
  <c r="BT308" i="1"/>
  <c r="BW308" i="1" s="1"/>
  <c r="K279" i="1"/>
  <c r="N279" i="1" s="1"/>
  <c r="BS267" i="1"/>
  <c r="BT267" i="1"/>
  <c r="BW267" i="1" s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N299" i="1" s="1"/>
  <c r="EL298" i="1"/>
  <c r="K296" i="1"/>
  <c r="N296" i="1" s="1"/>
  <c r="BI294" i="1"/>
  <c r="BJ294" i="1"/>
  <c r="K294" i="1"/>
  <c r="N294" i="1" s="1"/>
  <c r="BW293" i="1"/>
  <c r="BW291" i="1"/>
  <c r="CC284" i="1"/>
  <c r="CD284" i="1"/>
  <c r="AO282" i="1"/>
  <c r="AR282" i="1" s="1"/>
  <c r="AZ281" i="1"/>
  <c r="DQ278" i="1"/>
  <c r="DU278" i="1"/>
  <c r="AX278" i="1"/>
  <c r="BC278" i="1"/>
  <c r="T275" i="1"/>
  <c r="U275" i="1"/>
  <c r="CW273" i="1"/>
  <c r="DA273" i="1" s="1"/>
  <c r="AD273" i="1"/>
  <c r="AH273" i="1" s="1"/>
  <c r="BI270" i="1"/>
  <c r="BJ270" i="1"/>
  <c r="CX260" i="1"/>
  <c r="CW260" i="1"/>
  <c r="DA260" i="1" s="1"/>
  <c r="DR254" i="1"/>
  <c r="CT246" i="1"/>
  <c r="CU246" i="1" s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N312" i="1" s="1"/>
  <c r="K308" i="1"/>
  <c r="N308" i="1"/>
  <c r="CN280" i="1"/>
  <c r="CQ280" i="1"/>
  <c r="CC278" i="1"/>
  <c r="CD278" i="1"/>
  <c r="DR277" i="1"/>
  <c r="DU277" i="1" s="1"/>
  <c r="DG232" i="1"/>
  <c r="DK232" i="1" s="1"/>
  <c r="BT195" i="1"/>
  <c r="BS195" i="1"/>
  <c r="BW195" i="1" s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N210" i="1" s="1"/>
  <c r="K176" i="1"/>
  <c r="N176" i="1" s="1"/>
  <c r="EL175" i="1"/>
  <c r="BT255" i="1"/>
  <c r="BS255" i="1"/>
  <c r="BW255" i="1" s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J282" i="1"/>
  <c r="BM282" i="1" s="1"/>
  <c r="AE277" i="1"/>
  <c r="AH277" i="1" s="1"/>
  <c r="AL277" i="1" s="1"/>
  <c r="DH274" i="1"/>
  <c r="DK274" i="1" s="1"/>
  <c r="AN273" i="1"/>
  <c r="AR273" i="1" s="1"/>
  <c r="BM272" i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N209" i="1" s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N286" i="1" s="1"/>
  <c r="K285" i="1"/>
  <c r="N285" i="1" s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N249" i="1"/>
  <c r="EL248" i="1"/>
  <c r="K248" i="1"/>
  <c r="N248" i="1" s="1"/>
  <c r="K242" i="1"/>
  <c r="N242" i="1" s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N275" i="1" s="1"/>
  <c r="DR272" i="1"/>
  <c r="DU272" i="1" s="1"/>
  <c r="EL270" i="1"/>
  <c r="BM269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N196" i="1" s="1"/>
  <c r="EL192" i="1"/>
  <c r="T190" i="1"/>
  <c r="U190" i="1"/>
  <c r="X190" i="1" s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N290" i="1" s="1"/>
  <c r="K289" i="1"/>
  <c r="N289" i="1" s="1"/>
  <c r="DH288" i="1"/>
  <c r="DK288" i="1" s="1"/>
  <c r="CW279" i="1"/>
  <c r="DA279" i="1" s="1"/>
  <c r="BS278" i="1"/>
  <c r="BW278" i="1" s="1"/>
  <c r="CD275" i="1"/>
  <c r="CG275" i="1" s="1"/>
  <c r="CM269" i="1"/>
  <c r="CN269" i="1"/>
  <c r="CQ269" i="1" s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X204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R234" i="1" s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N180" i="1" s="1"/>
  <c r="AN279" i="1"/>
  <c r="AR279" i="1" s="1"/>
  <c r="CQ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BW229" i="1" s="1"/>
  <c r="EL224" i="1"/>
  <c r="EL217" i="1"/>
  <c r="K206" i="1"/>
  <c r="N206" i="1" s="1"/>
  <c r="DG183" i="1"/>
  <c r="DK183" i="1" s="1"/>
  <c r="BW264" i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C232" i="1"/>
  <c r="BS231" i="1"/>
  <c r="BW231" i="1" s="1"/>
  <c r="CX226" i="1"/>
  <c r="DA226" i="1" s="1"/>
  <c r="CX224" i="1"/>
  <c r="CW224" i="1"/>
  <c r="DA224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K220" i="1"/>
  <c r="N220" i="1" s="1"/>
  <c r="AO219" i="1"/>
  <c r="AR219" i="1" s="1"/>
  <c r="CM216" i="1"/>
  <c r="CN216" i="1"/>
  <c r="CM214" i="1"/>
  <c r="CQ214" i="1"/>
  <c r="T214" i="1"/>
  <c r="X214" i="1" s="1"/>
  <c r="T213" i="1"/>
  <c r="U213" i="1"/>
  <c r="K211" i="1"/>
  <c r="N211" i="1" s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N252" i="1" s="1"/>
  <c r="K244" i="1"/>
  <c r="N244" i="1" s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N254" i="1" s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N197" i="1" s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N227" i="1" s="1"/>
  <c r="K216" i="1"/>
  <c r="N216" i="1" s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N222" i="1" s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N198" i="1" s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N170" i="1" s="1"/>
  <c r="EL169" i="1"/>
  <c r="CX169" i="1"/>
  <c r="DA169" i="1" s="1"/>
  <c r="AO167" i="1"/>
  <c r="AR167" i="1" s="1"/>
  <c r="BT166" i="1"/>
  <c r="BW166" i="1" s="1"/>
  <c r="K164" i="1"/>
  <c r="N164" i="1" s="1"/>
  <c r="CX163" i="1"/>
  <c r="DA163" i="1" s="1"/>
  <c r="CN159" i="1"/>
  <c r="CQ159" i="1"/>
  <c r="BJ158" i="1"/>
  <c r="BM158" i="1" s="1"/>
  <c r="CD154" i="1"/>
  <c r="CG154" i="1" s="1"/>
  <c r="K151" i="1"/>
  <c r="N151" i="1" s="1"/>
  <c r="AZ150" i="1"/>
  <c r="BC150" i="1" s="1"/>
  <c r="BG150" i="1" s="1"/>
  <c r="EL148" i="1"/>
  <c r="DQ128" i="1"/>
  <c r="DR128" i="1"/>
  <c r="DU128" i="1" s="1"/>
  <c r="K120" i="1"/>
  <c r="N120" i="1" s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N144" i="1" s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N143" i="1" s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N162" i="1" s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N141" i="1" s="1"/>
  <c r="AX139" i="1"/>
  <c r="AZ139" i="1"/>
  <c r="AD139" i="1"/>
  <c r="AE139" i="1"/>
  <c r="DG138" i="1"/>
  <c r="DH138" i="1"/>
  <c r="K138" i="1"/>
  <c r="N138" i="1" s="1"/>
  <c r="AO137" i="1"/>
  <c r="AR137" i="1" s="1"/>
  <c r="CM127" i="1"/>
  <c r="CN127" i="1"/>
  <c r="BT174" i="1"/>
  <c r="K172" i="1"/>
  <c r="N172" i="1" s="1"/>
  <c r="CX171" i="1"/>
  <c r="AO169" i="1"/>
  <c r="BT168" i="1"/>
  <c r="K166" i="1"/>
  <c r="CX165" i="1"/>
  <c r="AO163" i="1"/>
  <c r="BT156" i="1"/>
  <c r="K156" i="1"/>
  <c r="N156" i="1" s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AZ117" i="1"/>
  <c r="BC117" i="1" s="1"/>
  <c r="EL115" i="1"/>
  <c r="DQ104" i="1"/>
  <c r="DR104" i="1"/>
  <c r="CC93" i="1"/>
  <c r="CD93" i="1"/>
  <c r="BI93" i="1"/>
  <c r="BJ93" i="1"/>
  <c r="K90" i="1"/>
  <c r="N90" i="1" s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N173" i="1" s="1"/>
  <c r="CX172" i="1"/>
  <c r="DA172" i="1" s="1"/>
  <c r="AO172" i="1"/>
  <c r="AR172" i="1" s="1"/>
  <c r="BT171" i="1"/>
  <c r="BW171" i="1" s="1"/>
  <c r="K171" i="1"/>
  <c r="N171" i="1" s="1"/>
  <c r="CX170" i="1"/>
  <c r="DA170" i="1" s="1"/>
  <c r="AO170" i="1"/>
  <c r="AR170" i="1" s="1"/>
  <c r="BT169" i="1"/>
  <c r="BW169" i="1" s="1"/>
  <c r="K169" i="1"/>
  <c r="N169" i="1" s="1"/>
  <c r="CX168" i="1"/>
  <c r="DA168" i="1" s="1"/>
  <c r="AO168" i="1"/>
  <c r="AR168" i="1" s="1"/>
  <c r="BT167" i="1"/>
  <c r="BW167" i="1" s="1"/>
  <c r="K167" i="1"/>
  <c r="N167" i="1" s="1"/>
  <c r="CX166" i="1"/>
  <c r="DA166" i="1" s="1"/>
  <c r="AO166" i="1"/>
  <c r="AR166" i="1" s="1"/>
  <c r="BT165" i="1"/>
  <c r="BW165" i="1" s="1"/>
  <c r="K165" i="1"/>
  <c r="N165" i="1" s="1"/>
  <c r="CX164" i="1"/>
  <c r="DA164" i="1" s="1"/>
  <c r="AO164" i="1"/>
  <c r="AR164" i="1" s="1"/>
  <c r="BT163" i="1"/>
  <c r="BW163" i="1" s="1"/>
  <c r="K163" i="1"/>
  <c r="N163" i="1" s="1"/>
  <c r="CX162" i="1"/>
  <c r="DA162" i="1" s="1"/>
  <c r="AO162" i="1"/>
  <c r="AR162" i="1" s="1"/>
  <c r="BT161" i="1"/>
  <c r="BW161" i="1" s="1"/>
  <c r="K161" i="1"/>
  <c r="N161" i="1" s="1"/>
  <c r="CX160" i="1"/>
  <c r="DA160" i="1" s="1"/>
  <c r="AO160" i="1"/>
  <c r="AR160" i="1" s="1"/>
  <c r="BT159" i="1"/>
  <c r="BW159" i="1" s="1"/>
  <c r="K159" i="1"/>
  <c r="N159" i="1" s="1"/>
  <c r="CX158" i="1"/>
  <c r="DA158" i="1" s="1"/>
  <c r="AO158" i="1"/>
  <c r="AR158" i="1" s="1"/>
  <c r="BT157" i="1"/>
  <c r="BW157" i="1" s="1"/>
  <c r="K157" i="1"/>
  <c r="N157" i="1" s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N146" i="1" s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M134" i="1" s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/>
  <c r="K93" i="1"/>
  <c r="N93" i="1" s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N96" i="1" s="1"/>
  <c r="DQ93" i="1"/>
  <c r="DR93" i="1"/>
  <c r="AN86" i="1"/>
  <c r="AO86" i="1"/>
  <c r="EL85" i="1"/>
  <c r="AO140" i="1"/>
  <c r="AR140" i="1" s="1"/>
  <c r="BT139" i="1"/>
  <c r="BW139" i="1" s="1"/>
  <c r="K139" i="1"/>
  <c r="N139" i="1" s="1"/>
  <c r="CX138" i="1"/>
  <c r="DA138" i="1" s="1"/>
  <c r="AO138" i="1"/>
  <c r="AR138" i="1" s="1"/>
  <c r="BT137" i="1"/>
  <c r="BW137" i="1" s="1"/>
  <c r="K137" i="1"/>
  <c r="N137" i="1" s="1"/>
  <c r="CX136" i="1"/>
  <c r="DA136" i="1" s="1"/>
  <c r="EL128" i="1"/>
  <c r="K123" i="1"/>
  <c r="N123" i="1" s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N119" i="1" s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N84" i="1" s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N121" i="1" s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N88" i="1" s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N118" i="1" s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DA49" i="1" s="1"/>
  <c r="K73" i="1"/>
  <c r="N73" i="1" s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BJ79" i="1"/>
  <c r="BM79" i="1" s="1"/>
  <c r="DG75" i="1"/>
  <c r="DH75" i="1"/>
  <c r="K49" i="1"/>
  <c r="N49" i="1" s="1"/>
  <c r="CN100" i="1"/>
  <c r="CQ100" i="1" s="1"/>
  <c r="BI99" i="1"/>
  <c r="BM99" i="1" s="1"/>
  <c r="CM98" i="1"/>
  <c r="CQ98" i="1"/>
  <c r="K82" i="1"/>
  <c r="N82" i="1" s="1"/>
  <c r="AZ57" i="1"/>
  <c r="BC57" i="1" s="1"/>
  <c r="CC45" i="1"/>
  <c r="CD45" i="1"/>
  <c r="BT115" i="1"/>
  <c r="BW115" i="1" s="1"/>
  <c r="K115" i="1"/>
  <c r="N115" i="1" s="1"/>
  <c r="CX114" i="1"/>
  <c r="DA114" i="1" s="1"/>
  <c r="AO114" i="1"/>
  <c r="AR114" i="1" s="1"/>
  <c r="BT113" i="1"/>
  <c r="BW113" i="1" s="1"/>
  <c r="K113" i="1"/>
  <c r="N113" i="1" s="1"/>
  <c r="DQ99" i="1"/>
  <c r="DU99" i="1" s="1"/>
  <c r="K98" i="1"/>
  <c r="N98" i="1" s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N42" i="1" s="1"/>
  <c r="CC41" i="1"/>
  <c r="CD41" i="1"/>
  <c r="K37" i="1"/>
  <c r="N37" i="1" s="1"/>
  <c r="K86" i="1"/>
  <c r="N86" i="1" s="1"/>
  <c r="CD85" i="1"/>
  <c r="CG85" i="1" s="1"/>
  <c r="K85" i="1"/>
  <c r="N85" i="1" s="1"/>
  <c r="T84" i="1"/>
  <c r="X84" i="1" s="1"/>
  <c r="K83" i="1"/>
  <c r="N83" i="1" s="1"/>
  <c r="K81" i="1"/>
  <c r="N81" i="1" s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N52" i="1" s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N54" i="1" s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X57" i="1" s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N43" i="1" s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BW75" i="1" s="1"/>
  <c r="T74" i="1"/>
  <c r="U74" i="1"/>
  <c r="CC72" i="1"/>
  <c r="CD72" i="1"/>
  <c r="DG69" i="1"/>
  <c r="DH69" i="1"/>
  <c r="AE68" i="1"/>
  <c r="AH68" i="1" s="1"/>
  <c r="CN66" i="1"/>
  <c r="CQ66" i="1" s="1"/>
  <c r="AE66" i="1"/>
  <c r="AH66" i="1" s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N58" i="1" s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AX69" i="1"/>
  <c r="AZ69" i="1"/>
  <c r="EL68" i="1"/>
  <c r="K67" i="1"/>
  <c r="DQ66" i="1"/>
  <c r="DU66" i="1" s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K78" i="1"/>
  <c r="N78" i="1" s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N47" i="1" s="1"/>
  <c r="BI42" i="1"/>
  <c r="BJ42" i="1"/>
  <c r="BI40" i="1"/>
  <c r="BJ40" i="1"/>
  <c r="AE37" i="1"/>
  <c r="AD37" i="1"/>
  <c r="AO21" i="1"/>
  <c r="AN21" i="1"/>
  <c r="CN13" i="1"/>
  <c r="CM13" i="1"/>
  <c r="K48" i="1"/>
  <c r="N48" i="1" s="1"/>
  <c r="AD30" i="1"/>
  <c r="AE30" i="1"/>
  <c r="K29" i="1"/>
  <c r="N29" i="1" s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N76" i="1" s="1"/>
  <c r="CX75" i="1"/>
  <c r="DA75" i="1" s="1"/>
  <c r="AO75" i="1"/>
  <c r="AR75" i="1" s="1"/>
  <c r="BT74" i="1"/>
  <c r="BW74" i="1" s="1"/>
  <c r="K74" i="1"/>
  <c r="N74" i="1" s="1"/>
  <c r="CX73" i="1"/>
  <c r="DA73" i="1" s="1"/>
  <c r="AO73" i="1"/>
  <c r="AR73" i="1" s="1"/>
  <c r="BT72" i="1"/>
  <c r="BW72" i="1" s="1"/>
  <c r="K72" i="1"/>
  <c r="N72" i="1" s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CD44" i="1"/>
  <c r="CG44" i="1" s="1"/>
  <c r="CC38" i="1"/>
  <c r="CG38" i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N39" i="1" s="1"/>
  <c r="EL32" i="1"/>
  <c r="DR31" i="1"/>
  <c r="DQ31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N38" i="1" s="1"/>
  <c r="CW37" i="1"/>
  <c r="DA37" i="1" s="1"/>
  <c r="K36" i="1"/>
  <c r="N36" i="1" s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N31" i="1" s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N35" i="1" s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N10" i="1" s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N33" i="1" s="1"/>
  <c r="DQ32" i="1"/>
  <c r="DU32" i="1" s="1"/>
  <c r="K32" i="1"/>
  <c r="N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N21" i="1" s="1"/>
  <c r="CW20" i="1"/>
  <c r="CX20" i="1"/>
  <c r="BS18" i="1"/>
  <c r="BW18" i="1" s="1"/>
  <c r="CW13" i="1"/>
  <c r="CX13" i="1"/>
  <c r="K30" i="1"/>
  <c r="N30" i="1" s="1"/>
  <c r="CM29" i="1"/>
  <c r="CQ29" i="1" s="1"/>
  <c r="BI29" i="1"/>
  <c r="BM29" i="1" s="1"/>
  <c r="DR13" i="1"/>
  <c r="DU13" i="1" s="1"/>
  <c r="U12" i="1"/>
  <c r="T12" i="1"/>
  <c r="K16" i="1"/>
  <c r="N16" i="1" s="1"/>
  <c r="BI8" i="1"/>
  <c r="BM8" i="1" s="1"/>
  <c r="DH5" i="1"/>
  <c r="DK5" i="1" s="1"/>
  <c r="DQ27" i="1"/>
  <c r="DR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CX9" i="1"/>
  <c r="DA9" i="1" s="1"/>
  <c r="BJ9" i="1"/>
  <c r="BM9" i="1" s="1"/>
  <c r="T9" i="1"/>
  <c r="U9" i="1"/>
  <c r="K8" i="1"/>
  <c r="N8" i="1" s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N4" i="1" s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DU73" i="1" l="1"/>
  <c r="DX73" i="1" s="1"/>
  <c r="DY73" i="1" s="1"/>
  <c r="BW132" i="1"/>
  <c r="BC133" i="1"/>
  <c r="BC303" i="1"/>
  <c r="BC19" i="1"/>
  <c r="BF19" i="1" s="1"/>
  <c r="BG19" i="1" s="1"/>
  <c r="BC32" i="1"/>
  <c r="BC210" i="1"/>
  <c r="BC216" i="1"/>
  <c r="BC217" i="1"/>
  <c r="BF217" i="1" s="1"/>
  <c r="BG217" i="1" s="1"/>
  <c r="BC163" i="1"/>
  <c r="BF163" i="1" s="1"/>
  <c r="BG163" i="1" s="1"/>
  <c r="BC36" i="1"/>
  <c r="BF36" i="1" s="1"/>
  <c r="BG36" i="1" s="1"/>
  <c r="BC285" i="1"/>
  <c r="BM19" i="1"/>
  <c r="BP19" i="1" s="1"/>
  <c r="BQ19" i="1" s="1"/>
  <c r="X87" i="1"/>
  <c r="N223" i="1"/>
  <c r="N27" i="1"/>
  <c r="N56" i="1"/>
  <c r="Q56" i="1" s="1"/>
  <c r="R56" i="1" s="1"/>
  <c r="N66" i="1"/>
  <c r="N177" i="1"/>
  <c r="N215" i="1"/>
  <c r="N15" i="1"/>
  <c r="Q15" i="1" s="1"/>
  <c r="R15" i="1" s="1"/>
  <c r="N14" i="1"/>
  <c r="AK259" i="1"/>
  <c r="AL259" i="1"/>
  <c r="N257" i="1"/>
  <c r="N186" i="1"/>
  <c r="Q186" i="1" s="1"/>
  <c r="R186" i="1" s="1"/>
  <c r="N300" i="1"/>
  <c r="N203" i="1"/>
  <c r="N243" i="1"/>
  <c r="N204" i="1"/>
  <c r="N181" i="1"/>
  <c r="N69" i="1"/>
  <c r="N68" i="1"/>
  <c r="N158" i="1"/>
  <c r="N135" i="1"/>
  <c r="Q135" i="1" s="1"/>
  <c r="R135" i="1" s="1"/>
  <c r="N142" i="1"/>
  <c r="N107" i="1"/>
  <c r="Q107" i="1" s="1"/>
  <c r="R107" i="1" s="1"/>
  <c r="N149" i="1"/>
  <c r="N131" i="1"/>
  <c r="N34" i="1"/>
  <c r="Q34" i="1" s="1"/>
  <c r="N99" i="1"/>
  <c r="CG271" i="1"/>
  <c r="CJ271" i="1" s="1"/>
  <c r="CK271" i="1" s="1"/>
  <c r="CQ126" i="1"/>
  <c r="CT126" i="1" s="1"/>
  <c r="CU126" i="1" s="1"/>
  <c r="CQ134" i="1"/>
  <c r="CT134" i="1" s="1"/>
  <c r="CU134" i="1" s="1"/>
  <c r="N60" i="1"/>
  <c r="N183" i="1"/>
  <c r="Q183" i="1" s="1"/>
  <c r="R183" i="1" s="1"/>
  <c r="AH115" i="1"/>
  <c r="AH117" i="1"/>
  <c r="AK117" i="1" s="1"/>
  <c r="AL117" i="1" s="1"/>
  <c r="AH160" i="1"/>
  <c r="AK160" i="1" s="1"/>
  <c r="AL160" i="1" s="1"/>
  <c r="AH166" i="1"/>
  <c r="AK166" i="1" s="1"/>
  <c r="AL166" i="1" s="1"/>
  <c r="N75" i="1"/>
  <c r="Q75" i="1" s="1"/>
  <c r="R75" i="1" s="1"/>
  <c r="N45" i="1"/>
  <c r="AR81" i="1"/>
  <c r="AU81" i="1" s="1"/>
  <c r="AV81" i="1" s="1"/>
  <c r="AR12" i="1"/>
  <c r="AU12" i="1" s="1"/>
  <c r="AV12" i="1" s="1"/>
  <c r="AR68" i="1"/>
  <c r="AR107" i="1"/>
  <c r="AR113" i="1"/>
  <c r="AU113" i="1" s="1"/>
  <c r="AV113" i="1" s="1"/>
  <c r="BC37" i="1"/>
  <c r="BF37" i="1" s="1"/>
  <c r="BG37" i="1" s="1"/>
  <c r="AU47" i="1"/>
  <c r="AV47" i="1"/>
  <c r="BC83" i="1"/>
  <c r="BC59" i="1"/>
  <c r="BF59" i="1" s="1"/>
  <c r="BG59" i="1" s="1"/>
  <c r="BC76" i="1"/>
  <c r="BF76" i="1" s="1"/>
  <c r="BG76" i="1" s="1"/>
  <c r="BC145" i="1"/>
  <c r="BF145" i="1" s="1"/>
  <c r="BG145" i="1" s="1"/>
  <c r="BF310" i="1"/>
  <c r="BG310" i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X271" i="1"/>
  <c r="X83" i="1"/>
  <c r="AA83" i="1" s="1"/>
  <c r="AB83" i="1" s="1"/>
  <c r="X90" i="1"/>
  <c r="AA90" i="1" s="1"/>
  <c r="AB90" i="1" s="1"/>
  <c r="X92" i="1"/>
  <c r="X187" i="1"/>
  <c r="X75" i="1"/>
  <c r="AA75" i="1" s="1"/>
  <c r="AB75" i="1" s="1"/>
  <c r="DX223" i="1"/>
  <c r="DY223" i="1" s="1"/>
  <c r="EM223" i="1"/>
  <c r="E223" i="2" s="1"/>
  <c r="DN223" i="1"/>
  <c r="DO223" i="1"/>
  <c r="DD223" i="1"/>
  <c r="DE223" i="1"/>
  <c r="CT223" i="1"/>
  <c r="CU223" i="1"/>
  <c r="CJ223" i="1"/>
  <c r="CK223" i="1"/>
  <c r="BZ223" i="1"/>
  <c r="CA223" i="1" s="1"/>
  <c r="BP223" i="1"/>
  <c r="BQ223" i="1"/>
  <c r="BF223" i="1"/>
  <c r="BG223" i="1"/>
  <c r="AU223" i="1"/>
  <c r="AV223" i="1"/>
  <c r="AK223" i="1"/>
  <c r="AL223" i="1"/>
  <c r="AA223" i="1"/>
  <c r="AB223" i="1" s="1"/>
  <c r="Q223" i="1"/>
  <c r="R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CT170" i="1" s="1"/>
  <c r="CU170" i="1" s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DD302" i="1" s="1"/>
  <c r="BW57" i="1"/>
  <c r="CG26" i="1"/>
  <c r="CJ26" i="1" s="1"/>
  <c r="CK26" i="1" s="1"/>
  <c r="CG215" i="1"/>
  <c r="CJ215" i="1" s="1"/>
  <c r="CK215" i="1" s="1"/>
  <c r="AR278" i="1"/>
  <c r="AU278" i="1" s="1"/>
  <c r="AV278" i="1" s="1"/>
  <c r="AR281" i="1"/>
  <c r="AR5" i="1"/>
  <c r="AU5" i="1" s="1"/>
  <c r="AV5" i="1" s="1"/>
  <c r="AR112" i="1"/>
  <c r="AU112" i="1" s="1"/>
  <c r="AV112" i="1" s="1"/>
  <c r="DA14" i="1"/>
  <c r="DD14" i="1" s="1"/>
  <c r="DE14" i="1" s="1"/>
  <c r="DA18" i="1"/>
  <c r="DD18" i="1" s="1"/>
  <c r="DE18" i="1" s="1"/>
  <c r="DA96" i="1"/>
  <c r="DA122" i="1"/>
  <c r="DD122" i="1" s="1"/>
  <c r="DE122" i="1" s="1"/>
  <c r="DA123" i="1"/>
  <c r="DD123" i="1" s="1"/>
  <c r="DE123" i="1" s="1"/>
  <c r="X166" i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Z17" i="1" s="1"/>
  <c r="CA17" i="1" s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BZ299" i="1"/>
  <c r="CA299" i="1" s="1"/>
  <c r="CQ113" i="1"/>
  <c r="CT113" i="1" s="1"/>
  <c r="CU113" i="1" s="1"/>
  <c r="CG14" i="1"/>
  <c r="CJ14" i="1" s="1"/>
  <c r="CK14" i="1" s="1"/>
  <c r="CG79" i="1"/>
  <c r="CJ79" i="1" s="1"/>
  <c r="CK79" i="1" s="1"/>
  <c r="CG218" i="1"/>
  <c r="CJ218" i="1" s="1"/>
  <c r="CK218" i="1" s="1"/>
  <c r="CQ152" i="1"/>
  <c r="CT152" i="1" s="1"/>
  <c r="CU152" i="1" s="1"/>
  <c r="AH134" i="1"/>
  <c r="AK134" i="1" s="1"/>
  <c r="AL134" i="1" s="1"/>
  <c r="AH146" i="1"/>
  <c r="AK146" i="1" s="1"/>
  <c r="AL146" i="1" s="1"/>
  <c r="AH125" i="1"/>
  <c r="N50" i="1"/>
  <c r="Q50" i="1" s="1"/>
  <c r="R50" i="1" s="1"/>
  <c r="AH162" i="1"/>
  <c r="AK162" i="1" s="1"/>
  <c r="AL162" i="1" s="1"/>
  <c r="N297" i="1"/>
  <c r="N190" i="1"/>
  <c r="Q190" i="1" s="1"/>
  <c r="R190" i="1" s="1"/>
  <c r="BC167" i="1"/>
  <c r="BF167" i="1" s="1"/>
  <c r="BG167" i="1" s="1"/>
  <c r="EM161" i="1"/>
  <c r="E161" i="2" s="1"/>
  <c r="BC146" i="1"/>
  <c r="BF146" i="1" s="1"/>
  <c r="BG146" i="1" s="1"/>
  <c r="DU297" i="1"/>
  <c r="DU228" i="1"/>
  <c r="DU183" i="1"/>
  <c r="DX183" i="1" s="1"/>
  <c r="EM110" i="1"/>
  <c r="E110" i="2" s="1"/>
  <c r="EM289" i="1"/>
  <c r="E289" i="2" s="1"/>
  <c r="EM306" i="1"/>
  <c r="E306" i="2" s="1"/>
  <c r="EM148" i="1"/>
  <c r="E148" i="2" s="1"/>
  <c r="DD45" i="1"/>
  <c r="DE45" i="1"/>
  <c r="BM55" i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244" i="1"/>
  <c r="E244" i="2" s="1"/>
  <c r="EM47" i="1"/>
  <c r="E47" i="2" s="1"/>
  <c r="EM293" i="1"/>
  <c r="E293" i="2" s="1"/>
  <c r="EM280" i="1"/>
  <c r="E280" i="2" s="1"/>
  <c r="EM175" i="1"/>
  <c r="E175" i="2" s="1"/>
  <c r="EM117" i="1"/>
  <c r="E117" i="2" s="1"/>
  <c r="EM134" i="1"/>
  <c r="E134" i="2" s="1"/>
  <c r="BP55" i="1"/>
  <c r="BQ55" i="1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EM162" i="1"/>
  <c r="E162" i="2" s="1"/>
  <c r="AA166" i="1"/>
  <c r="AB166" i="1" s="1"/>
  <c r="AA174" i="1"/>
  <c r="AB174" i="1" s="1"/>
  <c r="AA80" i="1"/>
  <c r="AB80" i="1" s="1"/>
  <c r="AA106" i="1"/>
  <c r="AB106" i="1" s="1"/>
  <c r="AB150" i="1"/>
  <c r="EM150" i="1"/>
  <c r="E150" i="2" s="1"/>
  <c r="AA281" i="1"/>
  <c r="AB281" i="1" s="1"/>
  <c r="AA236" i="1"/>
  <c r="AB236" i="1" s="1"/>
  <c r="AA259" i="1"/>
  <c r="AB259" i="1" s="1"/>
  <c r="EM259" i="1"/>
  <c r="E259" i="2" s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E108" i="2" s="1"/>
  <c r="AA164" i="1"/>
  <c r="AB164" i="1" s="1"/>
  <c r="EM164" i="1"/>
  <c r="E164" i="2" s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71" i="1"/>
  <c r="AB271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EM170" i="1"/>
  <c r="E170" i="2" s="1"/>
  <c r="AA172" i="1"/>
  <c r="AB172" i="1" s="1"/>
  <c r="EM172" i="1"/>
  <c r="E172" i="2" s="1"/>
  <c r="AA159" i="1"/>
  <c r="AB159" i="1" s="1"/>
  <c r="AA39" i="1"/>
  <c r="AB39" i="1" s="1"/>
  <c r="AA27" i="1"/>
  <c r="AB27" i="1" s="1"/>
  <c r="AB277" i="1"/>
  <c r="AB204" i="1"/>
  <c r="AB209" i="1"/>
  <c r="AB63" i="1"/>
  <c r="AB4" i="1"/>
  <c r="EM4" i="1"/>
  <c r="E4" i="2" s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EM168" i="1" s="1"/>
  <c r="E168" i="2" s="1"/>
  <c r="DA116" i="1"/>
  <c r="AH154" i="1"/>
  <c r="CG99" i="1"/>
  <c r="CJ99" i="1" s="1"/>
  <c r="CK99" i="1" s="1"/>
  <c r="DU28" i="1"/>
  <c r="DX28" i="1" s="1"/>
  <c r="DX297" i="1"/>
  <c r="DY297" i="1" s="1"/>
  <c r="DX295" i="1"/>
  <c r="DY295" i="1" s="1"/>
  <c r="DX247" i="1"/>
  <c r="DY247" i="1" s="1"/>
  <c r="DX228" i="1"/>
  <c r="DY228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E234" i="2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7" i="1"/>
  <c r="BW309" i="1"/>
  <c r="EM309" i="1" s="1"/>
  <c r="E309" i="2" s="1"/>
  <c r="BW311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309" i="1"/>
  <c r="CA309" i="1" s="1"/>
  <c r="BZ311" i="1"/>
  <c r="CA311" i="1" s="1"/>
  <c r="BZ57" i="1"/>
  <c r="CA57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EM308" i="1" s="1"/>
  <c r="E308" i="2" s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E159" i="2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N287" i="1" s="1"/>
  <c r="DO287" i="1" s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X299" i="1" s="1"/>
  <c r="DY299" i="1" s="1"/>
  <c r="DU265" i="1"/>
  <c r="DU263" i="1"/>
  <c r="DU250" i="1"/>
  <c r="DU238" i="1"/>
  <c r="DU210" i="1"/>
  <c r="DX210" i="1" s="1"/>
  <c r="DY210" i="1" s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K273" i="1"/>
  <c r="DK295" i="1"/>
  <c r="DK298" i="1"/>
  <c r="DK299" i="1"/>
  <c r="DK303" i="1"/>
  <c r="DK219" i="1"/>
  <c r="EM219" i="1" s="1"/>
  <c r="E219" i="2" s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EM142" i="1" s="1"/>
  <c r="E142" i="2" s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98" i="1"/>
  <c r="DY298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 s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EM56" i="1" s="1"/>
  <c r="E56" i="2" s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EM55" i="1" s="1"/>
  <c r="E55" i="2" s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Q102" i="1"/>
  <c r="R102" i="1" s="1"/>
  <c r="Q28" i="1"/>
  <c r="R28" i="1" s="1"/>
  <c r="AU263" i="1"/>
  <c r="AV263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149" i="1"/>
  <c r="AV149" i="1" s="1"/>
  <c r="BF102" i="1"/>
  <c r="BG102" i="1" s="1"/>
  <c r="BF42" i="1"/>
  <c r="BG42" i="1" s="1"/>
  <c r="AU134" i="1"/>
  <c r="AV134" i="1" s="1"/>
  <c r="AU71" i="1"/>
  <c r="AV7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BC233" i="1"/>
  <c r="BF233" i="1" s="1"/>
  <c r="BG233" i="1" s="1"/>
  <c r="BC236" i="1"/>
  <c r="BC228" i="1"/>
  <c r="BF228" i="1" s="1"/>
  <c r="BG228" i="1" s="1"/>
  <c r="BC141" i="1"/>
  <c r="EM141" i="1" s="1"/>
  <c r="E141" i="2" s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34" i="1"/>
  <c r="BG34" i="1" s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DA32" i="1"/>
  <c r="DA27" i="1"/>
  <c r="DA24" i="1"/>
  <c r="DA59" i="1"/>
  <c r="DD59" i="1" s="1"/>
  <c r="DE59" i="1" s="1"/>
  <c r="DA282" i="1"/>
  <c r="EM282" i="1" s="1"/>
  <c r="E282" i="2" s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EM129" i="1" s="1"/>
  <c r="E129" i="2" s="1"/>
  <c r="DA99" i="1"/>
  <c r="BM51" i="1"/>
  <c r="DA120" i="1"/>
  <c r="EM120" i="1" s="1"/>
  <c r="E120" i="2" s="1"/>
  <c r="BM15" i="1"/>
  <c r="BP15" i="1" s="1"/>
  <c r="BQ15" i="1" s="1"/>
  <c r="BP27" i="1"/>
  <c r="BQ27" i="1" s="1"/>
  <c r="DD192" i="1"/>
  <c r="DE192" i="1" s="1"/>
  <c r="DD69" i="1"/>
  <c r="DE69" i="1" s="1"/>
  <c r="X149" i="1"/>
  <c r="EM149" i="1" s="1"/>
  <c r="E149" i="2" s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32" i="1"/>
  <c r="BQ232" i="1" s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AA231" i="1"/>
  <c r="AB231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R124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EM292" i="1" s="1"/>
  <c r="E292" i="2" s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EM302" i="1" s="1"/>
  <c r="E302" i="2" s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AU83" i="1"/>
  <c r="AV83" i="1" s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EM171" i="1" s="1"/>
  <c r="E171" i="2" s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E156" i="2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E227" i="2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EM300" i="1" s="1"/>
  <c r="E300" i="2" s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EM274" i="1" s="1"/>
  <c r="E274" i="2" s="1"/>
  <c r="DA39" i="1"/>
  <c r="DD39" i="1" s="1"/>
  <c r="DE39" i="1" s="1"/>
  <c r="CJ311" i="1"/>
  <c r="CK311" i="1" s="1"/>
  <c r="X143" i="1"/>
  <c r="EM143" i="1" s="1"/>
  <c r="E143" i="2" s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Q291" i="1"/>
  <c r="R291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A275" i="1"/>
  <c r="CG273" i="1"/>
  <c r="DN185" i="1"/>
  <c r="DO185" i="1" s="1"/>
  <c r="AA309" i="1"/>
  <c r="AB309" i="1" s="1"/>
  <c r="DX189" i="1"/>
  <c r="DY189" i="1" s="1"/>
  <c r="BP289" i="1"/>
  <c r="BQ2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R34" i="1"/>
  <c r="CG57" i="1"/>
  <c r="CJ57" i="1" s="1"/>
  <c r="CK57" i="1" s="1"/>
  <c r="DA92" i="1"/>
  <c r="DD92" i="1" s="1"/>
  <c r="DE92" i="1" s="1"/>
  <c r="AV110" i="1"/>
  <c r="AL142" i="1"/>
  <c r="DD41" i="1"/>
  <c r="DE41" i="1" s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/>
  <c r="BF219" i="1"/>
  <c r="BG219" i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Q269" i="1"/>
  <c r="R269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Q281" i="1"/>
  <c r="R281" i="1" s="1"/>
  <c r="AA285" i="1"/>
  <c r="AB285" i="1" s="1"/>
  <c r="CU89" i="1"/>
  <c r="DY85" i="1"/>
  <c r="DX173" i="1"/>
  <c r="DY173" i="1" s="1"/>
  <c r="DK229" i="1"/>
  <c r="Q66" i="1"/>
  <c r="R66" i="1" s="1"/>
  <c r="DK83" i="1"/>
  <c r="BF254" i="1"/>
  <c r="BG254" i="1" s="1"/>
  <c r="CT178" i="1"/>
  <c r="CU178" i="1"/>
  <c r="AV239" i="1"/>
  <c r="BW203" i="1"/>
  <c r="DX283" i="1"/>
  <c r="DY283" i="1" s="1"/>
  <c r="DX303" i="1"/>
  <c r="DY303" i="1" s="1"/>
  <c r="AA301" i="1"/>
  <c r="AB301" i="1" s="1"/>
  <c r="BZ297" i="1"/>
  <c r="CA297" i="1" s="1"/>
  <c r="BF83" i="1"/>
  <c r="BG83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AA252" i="1"/>
  <c r="AB252" i="1" s="1"/>
  <c r="CJ234" i="1"/>
  <c r="CK234" i="1" s="1"/>
  <c r="DD270" i="1"/>
  <c r="DE270" i="1" s="1"/>
  <c r="BQ304" i="1"/>
  <c r="DN302" i="1"/>
  <c r="DO302" i="1" s="1"/>
  <c r="Q305" i="1"/>
  <c r="R305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/>
  <c r="BP247" i="1"/>
  <c r="BQ247" i="1" s="1"/>
  <c r="DA60" i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R65" i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Q257" i="1"/>
  <c r="R257" i="1" s="1"/>
  <c r="R282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Q244" i="1"/>
  <c r="R244" i="1" s="1"/>
  <c r="CT12" i="1"/>
  <c r="CU12" i="1" s="1"/>
  <c r="BP8" i="1"/>
  <c r="BQ8" i="1" s="1"/>
  <c r="AU194" i="1"/>
  <c r="AV194" i="1" s="1"/>
  <c r="DN9" i="1"/>
  <c r="DO9" i="1" s="1"/>
  <c r="Q21" i="1"/>
  <c r="R21" i="1" s="1"/>
  <c r="CJ5" i="1"/>
  <c r="CK5" i="1" s="1"/>
  <c r="BZ10" i="1"/>
  <c r="CA10" i="1" s="1"/>
  <c r="CT11" i="1"/>
  <c r="CU11" i="1" s="1"/>
  <c r="AA37" i="1"/>
  <c r="AB37" i="1" s="1"/>
  <c r="Q31" i="1"/>
  <c r="R31" i="1" s="1"/>
  <c r="CT120" i="1"/>
  <c r="CU120" i="1" s="1"/>
  <c r="Q163" i="1"/>
  <c r="R163" i="1" s="1"/>
  <c r="Q169" i="1"/>
  <c r="R169" i="1" s="1"/>
  <c r="DD148" i="1"/>
  <c r="DE148" i="1" s="1"/>
  <c r="CT208" i="1"/>
  <c r="CU208" i="1" s="1"/>
  <c r="AU270" i="1"/>
  <c r="AV270" i="1" s="1"/>
  <c r="AA282" i="1"/>
  <c r="AB282" i="1"/>
  <c r="AA289" i="1"/>
  <c r="AB289" i="1" s="1"/>
  <c r="DX13" i="1"/>
  <c r="Q16" i="1"/>
  <c r="R16" i="1" s="1"/>
  <c r="CJ126" i="1"/>
  <c r="CK126" i="1" s="1"/>
  <c r="Q96" i="1"/>
  <c r="R96" i="1" s="1"/>
  <c r="CJ171" i="1"/>
  <c r="CK171" i="1" s="1"/>
  <c r="BZ163" i="1"/>
  <c r="CA163" i="1" s="1"/>
  <c r="DX101" i="1"/>
  <c r="BP100" i="1"/>
  <c r="BQ100" i="1" s="1"/>
  <c r="Q164" i="1"/>
  <c r="R164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BF229" i="1"/>
  <c r="BG229" i="1" s="1"/>
  <c r="AU24" i="1"/>
  <c r="AV24" i="1" s="1"/>
  <c r="Q115" i="1"/>
  <c r="R115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Q8" i="1"/>
  <c r="R8" i="1" s="1"/>
  <c r="DD37" i="1"/>
  <c r="DE37" i="1" s="1"/>
  <c r="DD9" i="1"/>
  <c r="DE9" i="1" s="1"/>
  <c r="AA16" i="1"/>
  <c r="AB16" i="1" s="1"/>
  <c r="BZ27" i="1"/>
  <c r="CA27" i="1" s="1"/>
  <c r="DD19" i="1"/>
  <c r="DE19" i="1" s="1"/>
  <c r="Q27" i="1"/>
  <c r="R27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Q293" i="1"/>
  <c r="R293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Q144" i="1"/>
  <c r="R144" i="1" s="1"/>
  <c r="AA216" i="1"/>
  <c r="AB216" i="1" s="1"/>
  <c r="DY4" i="1"/>
  <c r="Q23" i="1"/>
  <c r="R23" i="1" s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BF133" i="1"/>
  <c r="BG133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Q290" i="1"/>
  <c r="R290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BZ140" i="1"/>
  <c r="CA140" i="1" s="1"/>
  <c r="BF108" i="1"/>
  <c r="BG108" i="1" s="1"/>
  <c r="BP128" i="1"/>
  <c r="BQ128" i="1" s="1"/>
  <c r="BF216" i="1"/>
  <c r="BG216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DX47" i="1"/>
  <c r="DY47" i="1" s="1"/>
  <c r="AK42" i="1"/>
  <c r="AL42" i="1" s="1"/>
  <c r="X61" i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Q301" i="1"/>
  <c r="R301" i="1" s="1"/>
  <c r="Q295" i="1"/>
  <c r="R295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DN170" i="1"/>
  <c r="DO170" i="1" s="1"/>
  <c r="AK167" i="1"/>
  <c r="AL167" i="1" s="1"/>
  <c r="DY150" i="1"/>
  <c r="Q222" i="1"/>
  <c r="R222" i="1" s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Q36" i="1"/>
  <c r="R36" i="1" s="1"/>
  <c r="DN44" i="1"/>
  <c r="DO44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AU107" i="1"/>
  <c r="AV107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Q131" i="1"/>
  <c r="R131" i="1" s="1"/>
  <c r="BP164" i="1"/>
  <c r="BQ16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Q156" i="1"/>
  <c r="R156" i="1" s="1"/>
  <c r="AK147" i="1"/>
  <c r="AL147" i="1" s="1"/>
  <c r="Q149" i="1"/>
  <c r="R149" i="1" s="1"/>
  <c r="DO198" i="1"/>
  <c r="AU184" i="1"/>
  <c r="AV184" i="1" s="1"/>
  <c r="AU259" i="1"/>
  <c r="AV259" i="1" s="1"/>
  <c r="DD191" i="1"/>
  <c r="DE191" i="1" s="1"/>
  <c r="Q249" i="1"/>
  <c r="R249" i="1" s="1"/>
  <c r="Q6" i="1"/>
  <c r="R6" i="1" s="1"/>
  <c r="BF7" i="1"/>
  <c r="BG7" i="1" s="1"/>
  <c r="BW78" i="1"/>
  <c r="N92" i="1"/>
  <c r="Q82" i="1"/>
  <c r="R82" i="1" s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6" i="1"/>
  <c r="CA36" i="1" s="1"/>
  <c r="BZ38" i="1"/>
  <c r="CA38" i="1" s="1"/>
  <c r="X186" i="1"/>
  <c r="N201" i="1"/>
  <c r="Q177" i="1"/>
  <c r="R177" i="1" s="1"/>
  <c r="DK237" i="1"/>
  <c r="AU260" i="1"/>
  <c r="AV260" i="1" s="1"/>
  <c r="Q206" i="1"/>
  <c r="R206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Q54" i="1"/>
  <c r="R54" i="1" s="1"/>
  <c r="Q81" i="1"/>
  <c r="R81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Q157" i="1"/>
  <c r="R157" i="1" s="1"/>
  <c r="AR147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AA190" i="1"/>
  <c r="AB190" i="1" s="1"/>
  <c r="Q199" i="1"/>
  <c r="R199" i="1" s="1"/>
  <c r="BF200" i="1"/>
  <c r="BG200" i="1" s="1"/>
  <c r="BZ289" i="1"/>
  <c r="CA289" i="1" s="1"/>
  <c r="DN36" i="1"/>
  <c r="DO36" i="1" s="1"/>
  <c r="Q48" i="1"/>
  <c r="R48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Q10" i="1"/>
  <c r="R10" i="1" s="1"/>
  <c r="AU37" i="1"/>
  <c r="AV37" i="1" s="1"/>
  <c r="DN45" i="1"/>
  <c r="DO45" i="1" s="1"/>
  <c r="BF47" i="1"/>
  <c r="BG47" i="1" s="1"/>
  <c r="AH51" i="1"/>
  <c r="Q76" i="1"/>
  <c r="R76" i="1" s="1"/>
  <c r="DN53" i="1"/>
  <c r="DO53" i="1" s="1"/>
  <c r="Q69" i="1"/>
  <c r="R69" i="1" s="1"/>
  <c r="Q68" i="1"/>
  <c r="R68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Q170" i="1"/>
  <c r="R170" i="1" s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Q224" i="1"/>
  <c r="R22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AA295" i="1"/>
  <c r="AB295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BP295" i="1"/>
  <c r="BQ295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CJ298" i="1"/>
  <c r="CK298" i="1" s="1"/>
  <c r="Q296" i="1"/>
  <c r="R296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Q174" i="1"/>
  <c r="R174" i="1" s="1"/>
  <c r="BZ151" i="1"/>
  <c r="CA151" i="1" s="1"/>
  <c r="BP207" i="1"/>
  <c r="BQ207" i="1" s="1"/>
  <c r="CT236" i="1"/>
  <c r="CU236" i="1" s="1"/>
  <c r="Q4" i="1"/>
  <c r="EN4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Q22" i="1"/>
  <c r="R22" i="1" s="1"/>
  <c r="DD26" i="1"/>
  <c r="DE26" i="1" s="1"/>
  <c r="DD44" i="1"/>
  <c r="DE44" i="1" s="1"/>
  <c r="DX34" i="1"/>
  <c r="DY34" i="1" s="1"/>
  <c r="CT47" i="1"/>
  <c r="CU47" i="1" s="1"/>
  <c r="AU45" i="1"/>
  <c r="AV45" i="1" s="1"/>
  <c r="AA21" i="1"/>
  <c r="AB21" i="1" s="1"/>
  <c r="CT54" i="1"/>
  <c r="CU54" i="1" s="1"/>
  <c r="BZ30" i="1"/>
  <c r="CA30" i="1" s="1"/>
  <c r="Q79" i="1"/>
  <c r="R79" i="1" s="1"/>
  <c r="CT76" i="1"/>
  <c r="CU76" i="1" s="1"/>
  <c r="BP47" i="1"/>
  <c r="BQ47" i="1" s="1"/>
  <c r="AK67" i="1"/>
  <c r="AL67" i="1" s="1"/>
  <c r="Q43" i="1"/>
  <c r="R43" i="1" s="1"/>
  <c r="BZ81" i="1"/>
  <c r="CA81" i="1" s="1"/>
  <c r="Q83" i="1"/>
  <c r="R83" i="1" s="1"/>
  <c r="DN56" i="1"/>
  <c r="DO56" i="1" s="1"/>
  <c r="BZ97" i="1"/>
  <c r="CA97" i="1" s="1"/>
  <c r="DD114" i="1"/>
  <c r="DE114" i="1" s="1"/>
  <c r="Q49" i="1"/>
  <c r="R49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Q137" i="1"/>
  <c r="R137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Q267" i="1"/>
  <c r="R267" i="1" s="1"/>
  <c r="CT207" i="1"/>
  <c r="CU207" i="1" s="1"/>
  <c r="CJ268" i="1"/>
  <c r="CK268" i="1" s="1"/>
  <c r="Q176" i="1"/>
  <c r="R176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Q139" i="1"/>
  <c r="R139" i="1" s="1"/>
  <c r="AA163" i="1"/>
  <c r="AB163" i="1" s="1"/>
  <c r="Q127" i="1"/>
  <c r="R127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Q58" i="1"/>
  <c r="R58" i="1" s="1"/>
  <c r="DX77" i="1"/>
  <c r="DY77" i="1" s="1"/>
  <c r="AU126" i="1"/>
  <c r="AV126" i="1" s="1"/>
  <c r="AA115" i="1"/>
  <c r="AB115" i="1" s="1"/>
  <c r="Q90" i="1"/>
  <c r="R90" i="1" s="1"/>
  <c r="DX164" i="1"/>
  <c r="DY164" i="1" s="1"/>
  <c r="AK161" i="1"/>
  <c r="AL161" i="1" s="1"/>
  <c r="Q239" i="1"/>
  <c r="R239" i="1" s="1"/>
  <c r="BZ180" i="1"/>
  <c r="CA180" i="1" s="1"/>
  <c r="BP308" i="1"/>
  <c r="BQ308" i="1" s="1"/>
  <c r="BP299" i="1"/>
  <c r="BQ299" i="1" s="1"/>
  <c r="AA42" i="1"/>
  <c r="AB42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BP10" i="1"/>
  <c r="BQ10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Q32" i="1"/>
  <c r="R32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Q52" i="1"/>
  <c r="R52" i="1" s="1"/>
  <c r="BZ83" i="1"/>
  <c r="CA83" i="1" s="1"/>
  <c r="CT107" i="1"/>
  <c r="CU107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BP134" i="1"/>
  <c r="BQ134" i="1" s="1"/>
  <c r="AA147" i="1"/>
  <c r="AB147" i="1" s="1"/>
  <c r="AR163" i="1"/>
  <c r="Q162" i="1"/>
  <c r="R162" i="1" s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 s="1"/>
  <c r="CJ217" i="1"/>
  <c r="CK217" i="1" s="1"/>
  <c r="CT269" i="1"/>
  <c r="CU269" i="1" s="1"/>
  <c r="DX289" i="1"/>
  <c r="DY289" i="1" s="1"/>
  <c r="CT159" i="1"/>
  <c r="CU159" i="1" s="1"/>
  <c r="BF179" i="1"/>
  <c r="BG179" i="1" s="1"/>
  <c r="Q181" i="1"/>
  <c r="R181" i="1" s="1"/>
  <c r="AA201" i="1"/>
  <c r="AB201" i="1" s="1"/>
  <c r="DD184" i="1"/>
  <c r="DE184" i="1" s="1"/>
  <c r="AU293" i="1"/>
  <c r="AV293" i="1" s="1"/>
  <c r="CG15" i="1"/>
  <c r="Q30" i="1"/>
  <c r="R30" i="1" s="1"/>
  <c r="DX32" i="1"/>
  <c r="CJ40" i="1"/>
  <c r="CK40" i="1" s="1"/>
  <c r="AK43" i="1"/>
  <c r="AL43" i="1" s="1"/>
  <c r="AA32" i="1"/>
  <c r="AB32" i="1" s="1"/>
  <c r="AR79" i="1"/>
  <c r="AH74" i="1"/>
  <c r="BP117" i="1"/>
  <c r="BQ117" i="1" s="1"/>
  <c r="CJ169" i="1"/>
  <c r="CK169" i="1" s="1"/>
  <c r="DD135" i="1"/>
  <c r="DE135" i="1" s="1"/>
  <c r="AA95" i="1"/>
  <c r="AB95" i="1" s="1"/>
  <c r="N166" i="1"/>
  <c r="BP272" i="1"/>
  <c r="BQ272" i="1" s="1"/>
  <c r="AU284" i="1"/>
  <c r="AV284" i="1" s="1"/>
  <c r="BZ14" i="1"/>
  <c r="CA14" i="1" s="1"/>
  <c r="CG19" i="1"/>
  <c r="Q33" i="1"/>
  <c r="R33" i="1" s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Q118" i="1"/>
  <c r="R118" i="1" s="1"/>
  <c r="CJ129" i="1"/>
  <c r="CK129" i="1" s="1"/>
  <c r="Q173" i="1"/>
  <c r="R173" i="1" s="1"/>
  <c r="CJ249" i="1"/>
  <c r="CK249" i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Q254" i="1"/>
  <c r="R254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Q299" i="1"/>
  <c r="R299" i="1" s="1"/>
  <c r="BZ273" i="1"/>
  <c r="CA273" i="1" s="1"/>
  <c r="BZ295" i="1"/>
  <c r="CA295" i="1" s="1"/>
  <c r="Q300" i="1"/>
  <c r="R300" i="1" s="1"/>
  <c r="CT283" i="1"/>
  <c r="CU283" i="1"/>
  <c r="DD258" i="1"/>
  <c r="DE258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BP34" i="1"/>
  <c r="BQ34" i="1" s="1"/>
  <c r="DD77" i="1"/>
  <c r="DE77" i="1" s="1"/>
  <c r="Q45" i="1"/>
  <c r="R45" i="1" s="1"/>
  <c r="Q51" i="1"/>
  <c r="R51" i="1" s="1"/>
  <c r="BZ51" i="1"/>
  <c r="CA51" i="1" s="1"/>
  <c r="Q77" i="1"/>
  <c r="R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Q89" i="1"/>
  <c r="R89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Q159" i="1"/>
  <c r="R159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Q143" i="1"/>
  <c r="R143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Q243" i="1"/>
  <c r="R243" i="1" s="1"/>
  <c r="DD248" i="1"/>
  <c r="DE248" i="1" s="1"/>
  <c r="DN191" i="1"/>
  <c r="DO191" i="1" s="1"/>
  <c r="DD218" i="1"/>
  <c r="DE218" i="1" s="1"/>
  <c r="Q252" i="1"/>
  <c r="R252" i="1" s="1"/>
  <c r="DX219" i="1"/>
  <c r="DY219" i="1" s="1"/>
  <c r="BZ218" i="1"/>
  <c r="CA218" i="1" s="1"/>
  <c r="BZ252" i="1"/>
  <c r="CA252" i="1" s="1"/>
  <c r="CJ282" i="1"/>
  <c r="CK282" i="1" s="1"/>
  <c r="DX191" i="1"/>
  <c r="Q248" i="1"/>
  <c r="R248" i="1" s="1"/>
  <c r="Q196" i="1"/>
  <c r="R196" i="1" s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Q182" i="1"/>
  <c r="R182" i="1" s="1"/>
  <c r="BP293" i="1"/>
  <c r="BQ293" i="1" s="1"/>
  <c r="AK7" i="1"/>
  <c r="AL7" i="1" s="1"/>
  <c r="CT29" i="1"/>
  <c r="CU29" i="1" s="1"/>
  <c r="BP17" i="1"/>
  <c r="BQ17" i="1" s="1"/>
  <c r="Q39" i="1"/>
  <c r="R39" i="1" s="1"/>
  <c r="AA92" i="1"/>
  <c r="AB92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Q47" i="1"/>
  <c r="R47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Q14" i="1"/>
  <c r="R14" i="1" s="1"/>
  <c r="DK11" i="1"/>
  <c r="CJ113" i="1"/>
  <c r="CK113" i="1" s="1"/>
  <c r="DX140" i="1"/>
  <c r="DY140" i="1" s="1"/>
  <c r="DX6" i="1"/>
  <c r="CG11" i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Q20" i="1"/>
  <c r="R20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Q29" i="1"/>
  <c r="R29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Q99" i="1"/>
  <c r="R99" i="1" s="1"/>
  <c r="DN82" i="1"/>
  <c r="DO82" i="1" s="1"/>
  <c r="CT106" i="1"/>
  <c r="CU106" i="1" s="1"/>
  <c r="CT112" i="1"/>
  <c r="CU112" i="1" s="1"/>
  <c r="AA107" i="1"/>
  <c r="AB107" i="1" s="1"/>
  <c r="Q119" i="1"/>
  <c r="R119" i="1" s="1"/>
  <c r="Q72" i="1"/>
  <c r="R72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Q172" i="1"/>
  <c r="R172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AU43" i="1"/>
  <c r="AV43" i="1" s="1"/>
  <c r="BF55" i="1"/>
  <c r="BG55" i="1" s="1"/>
  <c r="DK69" i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Q91" i="1"/>
  <c r="R91" i="1" s="1"/>
  <c r="AA101" i="1"/>
  <c r="AB101" i="1" s="1"/>
  <c r="AK108" i="1"/>
  <c r="AL108" i="1" s="1"/>
  <c r="DN94" i="1"/>
  <c r="DO94" i="1" s="1"/>
  <c r="AK111" i="1"/>
  <c r="AL11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Q123" i="1"/>
  <c r="R123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Q150" i="1"/>
  <c r="EN150" i="1" s="1"/>
  <c r="BZ175" i="1"/>
  <c r="CA175" i="1" s="1"/>
  <c r="Q160" i="1"/>
  <c r="R160" i="1" s="1"/>
  <c r="Q158" i="1"/>
  <c r="R158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196" i="1"/>
  <c r="CK196" i="1" s="1"/>
  <c r="CJ241" i="1"/>
  <c r="CK241" i="1" s="1"/>
  <c r="AK272" i="1"/>
  <c r="AL272" i="1" s="1"/>
  <c r="Q289" i="1"/>
  <c r="R289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/>
  <c r="AU301" i="1"/>
  <c r="AV301" i="1" s="1"/>
  <c r="Q279" i="1"/>
  <c r="R279" i="1" s="1"/>
  <c r="CT275" i="1"/>
  <c r="CU275" i="1" s="1"/>
  <c r="DD300" i="1"/>
  <c r="DE300" i="1" s="1"/>
  <c r="BF298" i="1"/>
  <c r="BG298" i="1" s="1"/>
  <c r="Q251" i="1"/>
  <c r="R251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CT61" i="1"/>
  <c r="CU61" i="1"/>
  <c r="DX84" i="1"/>
  <c r="AK81" i="1"/>
  <c r="AL81" i="1" s="1"/>
  <c r="CT108" i="1"/>
  <c r="CU108" i="1" s="1"/>
  <c r="AU68" i="1"/>
  <c r="AV6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Q165" i="1"/>
  <c r="R165" i="1" s="1"/>
  <c r="Q171" i="1"/>
  <c r="R171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Q215" i="1"/>
  <c r="R215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Q211" i="1"/>
  <c r="R211" i="1" s="1"/>
  <c r="Q220" i="1"/>
  <c r="R220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BF273" i="1"/>
  <c r="BG273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Q242" i="1"/>
  <c r="R242" i="1" s="1"/>
  <c r="DN250" i="1"/>
  <c r="DO250" i="1" s="1"/>
  <c r="DX231" i="1"/>
  <c r="DY231" i="1" s="1"/>
  <c r="CJ294" i="1"/>
  <c r="CK294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N266" i="1"/>
  <c r="DO266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X294" i="1"/>
  <c r="DY294" i="1" s="1"/>
  <c r="DX56" i="1"/>
  <c r="AA49" i="1"/>
  <c r="AB49" i="1" s="1"/>
  <c r="Q78" i="1"/>
  <c r="R78" i="1" s="1"/>
  <c r="CT58" i="1"/>
  <c r="CU58" i="1" s="1"/>
  <c r="AA81" i="1"/>
  <c r="AB81" i="1" s="1"/>
  <c r="Q60" i="1"/>
  <c r="R60" i="1" s="1"/>
  <c r="DO72" i="1"/>
  <c r="Q98" i="1"/>
  <c r="R98" i="1" s="1"/>
  <c r="BP103" i="1"/>
  <c r="BQ103" i="1" s="1"/>
  <c r="BP109" i="1"/>
  <c r="BQ109" i="1" s="1"/>
  <c r="AU66" i="1"/>
  <c r="AV66" i="1" s="1"/>
  <c r="CJ102" i="1"/>
  <c r="CK102" i="1" s="1"/>
  <c r="BF123" i="1"/>
  <c r="BG123" i="1" s="1"/>
  <c r="Q87" i="1"/>
  <c r="R87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Q216" i="1"/>
  <c r="R216" i="1" s="1"/>
  <c r="CJ201" i="1"/>
  <c r="CK201" i="1" s="1"/>
  <c r="AU186" i="1"/>
  <c r="AV186" i="1" s="1"/>
  <c r="BZ196" i="1"/>
  <c r="CA196" i="1" s="1"/>
  <c r="DX196" i="1"/>
  <c r="DY196" i="1" s="1"/>
  <c r="CT222" i="1"/>
  <c r="CU222" i="1" s="1"/>
  <c r="CT234" i="1"/>
  <c r="CU234" i="1" s="1"/>
  <c r="CT261" i="1"/>
  <c r="CU261" i="1" s="1"/>
  <c r="DD243" i="1"/>
  <c r="DE243" i="1" s="1"/>
  <c r="BZ264" i="1"/>
  <c r="CA264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Q274" i="1"/>
  <c r="R274" i="1" s="1"/>
  <c r="DN281" i="1"/>
  <c r="DO281" i="1" s="1"/>
  <c r="DN305" i="1"/>
  <c r="DO305" i="1" s="1"/>
  <c r="CT251" i="1"/>
  <c r="CU251" i="1" s="1"/>
  <c r="BZ276" i="1"/>
  <c r="CA276" i="1" s="1"/>
  <c r="BF285" i="1"/>
  <c r="BG285" i="1" s="1"/>
  <c r="AK300" i="1"/>
  <c r="AL300" i="1" s="1"/>
  <c r="DX281" i="1"/>
  <c r="DY281" i="1" s="1"/>
  <c r="AU299" i="1"/>
  <c r="AV299" i="1" s="1"/>
  <c r="Q308" i="1"/>
  <c r="R308" i="1" s="1"/>
  <c r="Q203" i="1"/>
  <c r="R203" i="1" s="1"/>
  <c r="DX279" i="1"/>
  <c r="DY279" i="1" s="1"/>
  <c r="Q294" i="1"/>
  <c r="R294" i="1" s="1"/>
  <c r="BZ308" i="1"/>
  <c r="CA308" i="1" s="1"/>
  <c r="AK276" i="1"/>
  <c r="AL276" i="1" s="1"/>
  <c r="Q192" i="1"/>
  <c r="R192" i="1" s="1"/>
  <c r="CJ219" i="1"/>
  <c r="CK219" i="1" s="1"/>
  <c r="AU306" i="1"/>
  <c r="AV306" i="1" s="1"/>
  <c r="AA296" i="1"/>
  <c r="AB296" i="1" s="1"/>
  <c r="Q259" i="1"/>
  <c r="R259" i="1" s="1"/>
  <c r="AU272" i="1"/>
  <c r="AV272" i="1" s="1"/>
  <c r="AK41" i="1"/>
  <c r="AL41" i="1" s="1"/>
  <c r="CJ53" i="1"/>
  <c r="CK53" i="1" s="1"/>
  <c r="DX67" i="1"/>
  <c r="DY67" i="1" s="1"/>
  <c r="Q85" i="1"/>
  <c r="R85" i="1" s="1"/>
  <c r="Q42" i="1"/>
  <c r="R42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Q88" i="1"/>
  <c r="R88" i="1" s="1"/>
  <c r="AU117" i="1"/>
  <c r="AV117" i="1" s="1"/>
  <c r="DN123" i="1"/>
  <c r="DO123" i="1" s="1"/>
  <c r="AA131" i="1"/>
  <c r="AB131" i="1" s="1"/>
  <c r="BP114" i="1"/>
  <c r="BQ114" i="1" s="1"/>
  <c r="Q84" i="1"/>
  <c r="R8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Q120" i="1"/>
  <c r="R120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Q227" i="1"/>
  <c r="R227" i="1" s="1"/>
  <c r="DD247" i="1"/>
  <c r="DE247" i="1" s="1"/>
  <c r="DD210" i="1"/>
  <c r="DE210" i="1" s="1"/>
  <c r="Q197" i="1"/>
  <c r="R197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29" i="1"/>
  <c r="CA229" i="1" s="1"/>
  <c r="BZ237" i="1"/>
  <c r="CA237" i="1" s="1"/>
  <c r="BF275" i="1"/>
  <c r="BG275" i="1" s="1"/>
  <c r="Q180" i="1"/>
  <c r="R180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Q286" i="1"/>
  <c r="R286" i="1" s="1"/>
  <c r="CT185" i="1"/>
  <c r="CU185" i="1" s="1"/>
  <c r="Q209" i="1"/>
  <c r="EN209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/>
  <c r="AU247" i="1"/>
  <c r="AV247" i="1" s="1"/>
  <c r="Q13" i="1"/>
  <c r="R13" i="1" s="1"/>
  <c r="Q19" i="1"/>
  <c r="R19" i="1" s="1"/>
  <c r="DN52" i="1"/>
  <c r="DO52" i="1" s="1"/>
  <c r="CT43" i="1"/>
  <c r="CU43" i="1" s="1"/>
  <c r="Q38" i="1"/>
  <c r="R38" i="1" s="1"/>
  <c r="AA54" i="1"/>
  <c r="AB54" i="1" s="1"/>
  <c r="Q74" i="1"/>
  <c r="R7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N217" i="1"/>
  <c r="CG180" i="1"/>
  <c r="BF210" i="1"/>
  <c r="BG210" i="1" s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Q275" i="1"/>
  <c r="R27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Q312" i="1"/>
  <c r="R31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Q225" i="1"/>
  <c r="R225" i="1" s="1"/>
  <c r="Q35" i="1"/>
  <c r="R35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/>
  <c r="AA96" i="1"/>
  <c r="AB96" i="1" s="1"/>
  <c r="AU94" i="1"/>
  <c r="AV94" i="1" s="1"/>
  <c r="CT104" i="1"/>
  <c r="CU104" i="1"/>
  <c r="DN96" i="1"/>
  <c r="DO96" i="1" s="1"/>
  <c r="AK80" i="1"/>
  <c r="AL80" i="1" s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1" i="1"/>
  <c r="R161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52" i="1"/>
  <c r="CK152" i="1" s="1"/>
  <c r="CJ181" i="1"/>
  <c r="CK181" i="1" s="1"/>
  <c r="AA218" i="1"/>
  <c r="AB218" i="1" s="1"/>
  <c r="CJ212" i="1"/>
  <c r="CK212" i="1" s="1"/>
  <c r="Q204" i="1"/>
  <c r="CJ187" i="1"/>
  <c r="CK187" i="1" s="1"/>
  <c r="Q229" i="1"/>
  <c r="R229" i="1" s="1"/>
  <c r="BZ194" i="1"/>
  <c r="CA194" i="1" s="1"/>
  <c r="AK177" i="1"/>
  <c r="AL177" i="1" s="1"/>
  <c r="AA214" i="1"/>
  <c r="AB214" i="1" s="1"/>
  <c r="AU235" i="1"/>
  <c r="AV235" i="1" s="1"/>
  <c r="Q246" i="1"/>
  <c r="R246" i="1" s="1"/>
  <c r="AA188" i="1"/>
  <c r="AB188" i="1" s="1"/>
  <c r="BZ231" i="1"/>
  <c r="CA231" i="1" s="1"/>
  <c r="BZ239" i="1"/>
  <c r="CA239" i="1" s="1"/>
  <c r="DD249" i="1"/>
  <c r="DE249" i="1" s="1"/>
  <c r="Q266" i="1"/>
  <c r="R266" i="1" s="1"/>
  <c r="DD245" i="1"/>
  <c r="DE245" i="1" s="1"/>
  <c r="Q278" i="1"/>
  <c r="R278" i="1" s="1"/>
  <c r="CJ276" i="1"/>
  <c r="CK276" i="1" s="1"/>
  <c r="CT249" i="1"/>
  <c r="CU249" i="1" s="1"/>
  <c r="DD266" i="1"/>
  <c r="DE266" i="1" s="1"/>
  <c r="CJ216" i="1"/>
  <c r="CK216" i="1" s="1"/>
  <c r="CJ300" i="1"/>
  <c r="CK300" i="1" s="1"/>
  <c r="BF289" i="1"/>
  <c r="BG289" i="1" s="1"/>
  <c r="AA302" i="1"/>
  <c r="AB302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Q113" i="1"/>
  <c r="R113" i="1" s="1"/>
  <c r="BP111" i="1"/>
  <c r="BQ111" i="1" s="1"/>
  <c r="BF114" i="1"/>
  <c r="BG114" i="1" s="1"/>
  <c r="BP108" i="1"/>
  <c r="BQ108" i="1" s="1"/>
  <c r="AK115" i="1"/>
  <c r="AL115" i="1" s="1"/>
  <c r="AU90" i="1"/>
  <c r="AV90" i="1" s="1"/>
  <c r="BF125" i="1"/>
  <c r="BG125" i="1" s="1"/>
  <c r="Q121" i="1"/>
  <c r="R121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DD137" i="1"/>
  <c r="DE137" i="1" s="1"/>
  <c r="AU152" i="1"/>
  <c r="AV152" i="1" s="1"/>
  <c r="AU135" i="1"/>
  <c r="AV135" i="1" s="1"/>
  <c r="BP142" i="1"/>
  <c r="BQ142" i="1" s="1"/>
  <c r="Q142" i="1"/>
  <c r="R142" i="1" s="1"/>
  <c r="AU137" i="1"/>
  <c r="AV137" i="1" s="1"/>
  <c r="Q141" i="1"/>
  <c r="EN141" i="1" s="1"/>
  <c r="Q168" i="1"/>
  <c r="R168" i="1" s="1"/>
  <c r="CT165" i="1"/>
  <c r="CU165" i="1" s="1"/>
  <c r="DX175" i="1"/>
  <c r="DY175" i="1" s="1"/>
  <c r="DX128" i="1"/>
  <c r="BP158" i="1"/>
  <c r="BQ158" i="1" s="1"/>
  <c r="BZ143" i="1"/>
  <c r="CA143" i="1" s="1"/>
  <c r="AA187" i="1"/>
  <c r="AB187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1" i="1"/>
  <c r="R231" i="1" s="1"/>
  <c r="BP218" i="1"/>
  <c r="BQ218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Q261" i="1"/>
  <c r="R261" i="1" s="1"/>
  <c r="Q310" i="1"/>
  <c r="R310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Q95" i="1"/>
  <c r="R95" i="1" s="1"/>
  <c r="BF60" i="1"/>
  <c r="BG60" i="1" s="1"/>
  <c r="DN92" i="1"/>
  <c r="DO92" i="1" s="1"/>
  <c r="BZ113" i="1"/>
  <c r="CA113" i="1" s="1"/>
  <c r="DD96" i="1"/>
  <c r="DE96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Q146" i="1"/>
  <c r="R146" i="1" s="1"/>
  <c r="AU156" i="1"/>
  <c r="AV156" i="1" s="1"/>
  <c r="AU162" i="1"/>
  <c r="AV162" i="1" s="1"/>
  <c r="AK125" i="1"/>
  <c r="AL125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Q233" i="1"/>
  <c r="R233" i="1" s="1"/>
  <c r="AA219" i="1"/>
  <c r="AB219" i="1" s="1"/>
  <c r="AH187" i="1"/>
  <c r="DN181" i="1"/>
  <c r="DO181" i="1" s="1"/>
  <c r="BM190" i="1"/>
  <c r="BF232" i="1"/>
  <c r="BG232" i="1" s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DD220" i="1"/>
  <c r="DE220" i="1" s="1"/>
  <c r="BZ303" i="1"/>
  <c r="CA303" i="1" s="1"/>
  <c r="DD237" i="1"/>
  <c r="DE237" i="1" s="1"/>
  <c r="BP288" i="1"/>
  <c r="BQ288" i="1" s="1"/>
  <c r="CG301" i="1"/>
  <c r="DD260" i="1"/>
  <c r="DE260" i="1" s="1"/>
  <c r="Q297" i="1"/>
  <c r="R297" i="1" s="1"/>
  <c r="AA202" i="1"/>
  <c r="AB202" i="1" s="1"/>
  <c r="DX293" i="1"/>
  <c r="DY293" i="1" s="1"/>
  <c r="BF311" i="1"/>
  <c r="BG311" i="1" s="1"/>
  <c r="BF309" i="1"/>
  <c r="BG309" i="1" s="1"/>
  <c r="DD298" i="1"/>
  <c r="BF242" i="1"/>
  <c r="BG242" i="1" s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Q188" i="1"/>
  <c r="R188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Q285" i="1"/>
  <c r="R285" i="1" s="1"/>
  <c r="BP310" i="1"/>
  <c r="BQ310" i="1" s="1"/>
  <c r="BF283" i="1"/>
  <c r="BG283" i="1" s="1"/>
  <c r="DX300" i="1"/>
  <c r="DY300" i="1" s="1"/>
  <c r="BP280" i="1"/>
  <c r="BQ280" i="1" s="1"/>
  <c r="BF303" i="1"/>
  <c r="BG303" i="1"/>
  <c r="AA278" i="1"/>
  <c r="AB278" i="1" s="1"/>
  <c r="BF302" i="1"/>
  <c r="BG302" i="1" s="1"/>
  <c r="BF264" i="1"/>
  <c r="BG264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AU281" i="1"/>
  <c r="AV281" i="1" s="1"/>
  <c r="Q265" i="1"/>
  <c r="R26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EM167" i="1" l="1"/>
  <c r="E167" i="2" s="1"/>
  <c r="EM281" i="1"/>
  <c r="E281" i="2" s="1"/>
  <c r="EM45" i="1"/>
  <c r="EM60" i="1"/>
  <c r="EM166" i="1"/>
  <c r="DD139" i="1"/>
  <c r="DE139" i="1"/>
  <c r="AU52" i="1"/>
  <c r="AV52" i="1"/>
  <c r="EM113" i="1"/>
  <c r="EM126" i="1"/>
  <c r="E126" i="2" s="1"/>
  <c r="EM285" i="1"/>
  <c r="E285" i="2" s="1"/>
  <c r="CJ285" i="1"/>
  <c r="CK285" i="1" s="1"/>
  <c r="EM296" i="1"/>
  <c r="E296" i="2" s="1"/>
  <c r="CJ296" i="1"/>
  <c r="CK296" i="1" s="1"/>
  <c r="EM135" i="1"/>
  <c r="EM242" i="1"/>
  <c r="EM276" i="1"/>
  <c r="EM253" i="1"/>
  <c r="EM298" i="1"/>
  <c r="EM185" i="1"/>
  <c r="EM21" i="1"/>
  <c r="EM272" i="1"/>
  <c r="EM194" i="1"/>
  <c r="E194" i="2" s="1"/>
  <c r="EO223" i="1"/>
  <c r="FX223" i="1"/>
  <c r="FY223" i="1" s="1"/>
  <c r="FZ223" i="1" s="1"/>
  <c r="GA223" i="1"/>
  <c r="EN223" i="1"/>
  <c r="EQ223" i="1" s="1"/>
  <c r="FF223" i="1" s="1"/>
  <c r="FO223" i="1" s="1"/>
  <c r="H223" i="2" s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E307" i="2" s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O296" i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O161" i="1"/>
  <c r="EO110" i="1"/>
  <c r="EO306" i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O244" i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EO289" i="1"/>
  <c r="EO148" i="1"/>
  <c r="EO285" i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O307" i="1"/>
  <c r="EO309" i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126" i="1"/>
  <c r="EO47" i="1"/>
  <c r="EO117" i="1"/>
  <c r="EO162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293" i="1"/>
  <c r="EO280" i="1"/>
  <c r="EO175" i="1"/>
  <c r="EO150" i="1"/>
  <c r="EO259" i="1"/>
  <c r="EO108" i="1"/>
  <c r="EO164" i="1"/>
  <c r="EO170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EO172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EO194" i="1"/>
  <c r="AK99" i="1"/>
  <c r="AL99" i="1" s="1"/>
  <c r="CJ304" i="1"/>
  <c r="CK304" i="1" s="1"/>
  <c r="EO168" i="1"/>
  <c r="CT168" i="1"/>
  <c r="DD116" i="1"/>
  <c r="DE116" i="1" s="1"/>
  <c r="AK154" i="1"/>
  <c r="AL154" i="1" s="1"/>
  <c r="EO302" i="1"/>
  <c r="BF153" i="1"/>
  <c r="BG153" i="1" s="1"/>
  <c r="DD167" i="1"/>
  <c r="EO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EO142" i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EO281" i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/>
  <c r="DD112" i="1"/>
  <c r="DE112" i="1" s="1"/>
  <c r="BP216" i="1"/>
  <c r="BQ216" i="1" s="1"/>
  <c r="AA275" i="1"/>
  <c r="AB275" i="1" s="1"/>
  <c r="AA149" i="1"/>
  <c r="EO149" i="1"/>
  <c r="AK308" i="1"/>
  <c r="EO308" i="1"/>
  <c r="AU119" i="1"/>
  <c r="AV119" i="1" s="1"/>
  <c r="BF93" i="1"/>
  <c r="BG93" i="1" s="1"/>
  <c r="DX146" i="1"/>
  <c r="AA102" i="1"/>
  <c r="CJ174" i="1"/>
  <c r="BF10" i="1"/>
  <c r="BG10" i="1" s="1"/>
  <c r="EO156" i="1"/>
  <c r="BZ156" i="1"/>
  <c r="AU210" i="1"/>
  <c r="AV210" i="1" s="1"/>
  <c r="BF305" i="1"/>
  <c r="BG305" i="1" s="1"/>
  <c r="AU300" i="1"/>
  <c r="EO300" i="1"/>
  <c r="CJ114" i="1"/>
  <c r="BF58" i="1"/>
  <c r="BG58" i="1" s="1"/>
  <c r="BF258" i="1"/>
  <c r="BF33" i="1"/>
  <c r="BF281" i="1"/>
  <c r="BG281" i="1"/>
  <c r="BF236" i="1"/>
  <c r="BG236" i="1" s="1"/>
  <c r="BG141" i="1"/>
  <c r="EO141" i="1"/>
  <c r="BF51" i="1"/>
  <c r="BG51" i="1" s="1"/>
  <c r="DX135" i="1"/>
  <c r="DY135" i="1"/>
  <c r="DX119" i="1"/>
  <c r="DY119" i="1"/>
  <c r="DX136" i="1"/>
  <c r="DY136" i="1"/>
  <c r="DX274" i="1"/>
  <c r="EO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EO219" i="1"/>
  <c r="DN219" i="1"/>
  <c r="DN131" i="1"/>
  <c r="DN169" i="1"/>
  <c r="DN138" i="1"/>
  <c r="DO138" i="1" s="1"/>
  <c r="DN113" i="1"/>
  <c r="DX51" i="1"/>
  <c r="DY51" i="1" s="1"/>
  <c r="DX251" i="1"/>
  <c r="DX89" i="1"/>
  <c r="DY89" i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EO56" i="1"/>
  <c r="AK283" i="1"/>
  <c r="AK183" i="1"/>
  <c r="AL183" i="1" s="1"/>
  <c r="AK135" i="1"/>
  <c r="AK124" i="1"/>
  <c r="AK88" i="1"/>
  <c r="AK98" i="1"/>
  <c r="AL98" i="1" s="1"/>
  <c r="EO55" i="1"/>
  <c r="AK55" i="1"/>
  <c r="Q272" i="1"/>
  <c r="Q111" i="1"/>
  <c r="R111" i="1" s="1"/>
  <c r="Q100" i="1"/>
  <c r="Q155" i="1"/>
  <c r="Q247" i="1"/>
  <c r="Q276" i="1"/>
  <c r="Q253" i="1"/>
  <c r="EO292" i="1"/>
  <c r="Q292" i="1"/>
  <c r="Q205" i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R205" i="1"/>
  <c r="Q133" i="1"/>
  <c r="Q145" i="1"/>
  <c r="EO134" i="1"/>
  <c r="Q134" i="1"/>
  <c r="Q194" i="1"/>
  <c r="Q302" i="1"/>
  <c r="EN204" i="1"/>
  <c r="R204" i="1"/>
  <c r="AU125" i="1"/>
  <c r="AU136" i="1"/>
  <c r="AV136" i="1" s="1"/>
  <c r="BF263" i="1"/>
  <c r="BF97" i="1"/>
  <c r="BG97" i="1" s="1"/>
  <c r="DD21" i="1"/>
  <c r="DD27" i="1"/>
  <c r="DD24" i="1"/>
  <c r="DD282" i="1"/>
  <c r="EO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EO120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EO227" i="1"/>
  <c r="AA232" i="1"/>
  <c r="BP89" i="1"/>
  <c r="BQ89" i="1" s="1"/>
  <c r="AA185" i="1"/>
  <c r="AA128" i="1"/>
  <c r="BP127" i="1"/>
  <c r="AA189" i="1"/>
  <c r="AA71" i="1"/>
  <c r="BP77" i="1"/>
  <c r="BP84" i="1"/>
  <c r="AA143" i="1"/>
  <c r="EO143" i="1"/>
  <c r="AA82" i="1"/>
  <c r="BP138" i="1"/>
  <c r="BQ138" i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EN170" i="1"/>
  <c r="EN296" i="1"/>
  <c r="CJ70" i="1"/>
  <c r="CK70" i="1" s="1"/>
  <c r="AA40" i="1"/>
  <c r="AB40" i="1" s="1"/>
  <c r="CJ266" i="1"/>
  <c r="EN285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EN4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 s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EN108" i="1"/>
  <c r="EN110" i="1"/>
  <c r="DY33" i="1"/>
  <c r="AA53" i="1"/>
  <c r="EN53" i="1" s="1"/>
  <c r="Q67" i="1"/>
  <c r="EO4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45" i="2" l="1"/>
  <c r="EO45" i="1"/>
  <c r="E166" i="2"/>
  <c r="EO166" i="1"/>
  <c r="E60" i="2"/>
  <c r="EO60" i="1"/>
  <c r="E113" i="2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GB223" i="1"/>
  <c r="GC223" i="1" s="1"/>
  <c r="GD223" i="1" s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FP223" i="1"/>
  <c r="FQ223" i="1"/>
  <c r="GE223" i="1"/>
  <c r="GF223" i="1" s="1"/>
  <c r="GG223" i="1"/>
  <c r="GH223" i="1" s="1"/>
  <c r="GI223" i="1"/>
  <c r="GJ223" i="1" s="1"/>
  <c r="GK223" i="1"/>
  <c r="GP223" i="1"/>
  <c r="GQ223" i="1"/>
  <c r="GS223" i="1"/>
  <c r="GT223" i="1" s="1"/>
  <c r="GU223" i="1" s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L223" i="1" l="1"/>
  <c r="GM223" i="1"/>
  <c r="GN223" i="1" s="1"/>
  <c r="GO223" i="1" s="1"/>
  <c r="FR223" i="1"/>
  <c r="FS223" i="1" s="1"/>
  <c r="FT223" i="1" s="1"/>
  <c r="FU223" i="1" s="1"/>
  <c r="FW223" i="1" s="1"/>
  <c r="I223" i="2" s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FP30" i="1" l="1"/>
  <c r="H30" i="2"/>
  <c r="GR223" i="1"/>
  <c r="GV223" i="1" s="1"/>
  <c r="GW223" i="1" s="1"/>
  <c r="FQ30" i="1"/>
  <c r="FQ205" i="1"/>
  <c r="FP206" i="1"/>
  <c r="FQ206" i="1"/>
  <c r="FP205" i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FR30" i="1" l="1"/>
  <c r="FS30" i="1" s="1"/>
  <c r="FT30" i="1" s="1"/>
  <c r="FU30" i="1" s="1"/>
  <c r="FW30" i="1" s="1"/>
  <c r="I30" i="2" s="1"/>
  <c r="FR205" i="1"/>
  <c r="FS205" i="1" s="1"/>
  <c r="FT205" i="1" s="1"/>
  <c r="FU205" i="1" s="1"/>
  <c r="FW205" i="1" s="1"/>
  <c r="I205" i="2" s="1"/>
  <c r="GX223" i="1"/>
  <c r="GY223" i="1" s="1"/>
  <c r="J223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J2" i="1" l="1"/>
  <c r="ER18" i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s="1"/>
  <c r="EM2" i="1" l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O264" i="1" s="1"/>
  <c r="GR264" i="1" s="1"/>
  <c r="GV264" i="1" s="1"/>
  <c r="GW264" i="1" s="1"/>
  <c r="GX264" i="1" s="1"/>
  <c r="GY264" i="1" s="1"/>
  <c r="J264" i="2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9" i="1" l="1"/>
  <c r="GM19" i="1"/>
  <c r="GN19" i="1" s="1"/>
  <c r="GO19" i="1" s="1"/>
  <c r="GR19" i="1" s="1"/>
  <c r="GV19" i="1" s="1"/>
  <c r="GW19" i="1" s="1"/>
  <c r="GX19" i="1" s="1"/>
  <c r="GY19" i="1" s="1"/>
  <c r="J19" i="2" s="1"/>
  <c r="GL149" i="1"/>
  <c r="GM149" i="1"/>
  <c r="GN149" i="1" s="1"/>
  <c r="GO149" i="1" s="1"/>
  <c r="GR149" i="1" s="1"/>
  <c r="GV149" i="1" s="1"/>
  <c r="GW149" i="1" s="1"/>
  <c r="GX149" i="1" s="1"/>
  <c r="GY149" i="1" s="1"/>
  <c r="J149" i="2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O299" i="1" s="1"/>
  <c r="GR299" i="1" s="1"/>
  <c r="GV299" i="1" s="1"/>
  <c r="GW299" i="1" s="1"/>
  <c r="GX299" i="1" s="1"/>
  <c r="GY299" i="1" s="1"/>
  <c r="J299" i="2" s="1"/>
  <c r="GL73" i="1"/>
  <c r="GM73" i="1"/>
  <c r="GN73" i="1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120" i="1" l="1"/>
  <c r="GR120" i="1" s="1"/>
  <c r="GV120" i="1" s="1"/>
  <c r="GW120" i="1" s="1"/>
  <c r="GX120" i="1" s="1"/>
  <c r="GY120" i="1" s="1"/>
  <c r="J120" i="2" s="1"/>
  <c r="GO73" i="1"/>
  <c r="GR73" i="1" s="1"/>
  <c r="GV73" i="1" s="1"/>
  <c r="GW73" i="1" s="1"/>
  <c r="GX73" i="1" s="1"/>
  <c r="GY73" i="1" s="1"/>
  <c r="J73" i="2" s="1"/>
  <c r="GO226" i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<sst xmlns="http://schemas.openxmlformats.org/spreadsheetml/2006/main" count="2068" uniqueCount="999">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</sst>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3000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5000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workbookViewId="0">
      <selection activeCell="L14" sqref="L14"/>
    </sheetView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3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529500</v>
      </c>
      <c r="F2">
        <f>IF(Sheet1!FE2&lt;&gt;"",Sheet1!FE2,"")</f>
        <v>24000</v>
      </c>
      <c r="G2">
        <f>IF(Sheet1!FN2&lt;&gt;"",Sheet1!FN2,"")</f>
        <v>0</v>
      </c>
      <c r="H2">
        <f>IF(Sheet1!FO2&lt;&gt;"",Sheet1!FO2,"")</f>
        <v>453100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3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508457</v>
      </c>
      <c r="F3">
        <f>IF(Sheet1!FE3&lt;&gt;"",Sheet1!FE3,"")</f>
        <v>35000</v>
      </c>
      <c r="G3">
        <f>IF(Sheet1!FN3&lt;&gt;"",Sheet1!FN3,"")</f>
        <v>0</v>
      </c>
      <c r="H3">
        <f>IF(Sheet1!FO3&lt;&gt;"",Sheet1!FO3,"")</f>
        <v>421107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3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58000</v>
      </c>
      <c r="G4">
        <f>IF(Sheet1!FN4&lt;&gt;"",Sheet1!FN4,"")</f>
        <v>50000</v>
      </c>
      <c r="H4">
        <f>IF(Sheet1!FO4&lt;&gt;"",Sheet1!FO4,"")</f>
        <v>621174</v>
      </c>
      <c r="I4">
        <f>IF(Sheet1!FW4&lt;&gt;"",Sheet1!FW4,"")</f>
        <v>38204</v>
      </c>
      <c r="J4">
        <f ca="1">IF(Sheet1!GY4&lt;&gt;"",Sheet1!GY4,"")</f>
        <v>0</v>
      </c>
    </row>
    <row r="5" spans="1:10" x14ac:dyDescent="0.3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430443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354643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3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583444</v>
      </c>
      <c r="F6">
        <f>IF(Sheet1!FE6&lt;&gt;"",Sheet1!FE6,"")</f>
        <v>48000</v>
      </c>
      <c r="G6">
        <f>IF(Sheet1!FN6&lt;&gt;"",Sheet1!FN6,"")</f>
        <v>0</v>
      </c>
      <c r="H6">
        <f>IF(Sheet1!FO6&lt;&gt;"",Sheet1!FO6,"")</f>
        <v>483044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3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530805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454405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3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3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578647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466247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3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530808</v>
      </c>
      <c r="F10">
        <f>IF(Sheet1!FE10&lt;&gt;"",Sheet1!FE10,"")</f>
        <v>24000</v>
      </c>
      <c r="G10">
        <f>IF(Sheet1!FN10&lt;&gt;"",Sheet1!FN10,"")</f>
        <v>0</v>
      </c>
      <c r="H10">
        <f>IF(Sheet1!FO10&lt;&gt;"",Sheet1!FO10,"")</f>
        <v>454408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3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487649</v>
      </c>
      <c r="F11">
        <f>IF(Sheet1!FE11&lt;&gt;"",Sheet1!FE11,"")</f>
        <v>24000</v>
      </c>
      <c r="G11">
        <f>IF(Sheet1!FN11&lt;&gt;"",Sheet1!FN11,"")</f>
        <v>0</v>
      </c>
      <c r="H11">
        <f>IF(Sheet1!FO11&lt;&gt;"",Sheet1!FO11,"")</f>
        <v>411449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3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3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530811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454411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3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487652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411452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3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530813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454413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3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530814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454414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3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487655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411455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3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42000</v>
      </c>
      <c r="G18">
        <f>IF(Sheet1!FN18&lt;&gt;"",Sheet1!FN18,"")</f>
        <v>0</v>
      </c>
      <c r="H18">
        <f>IF(Sheet1!FO18&lt;&gt;"",Sheet1!FO18,"")</f>
        <v>728536</v>
      </c>
      <c r="I18">
        <f>IF(Sheet1!FW18&lt;&gt;"",Sheet1!FW18,"")</f>
        <v>60534</v>
      </c>
      <c r="J18">
        <f ca="1">IF(Sheet1!GY18&lt;&gt;"",Sheet1!GY18,"")</f>
        <v>0</v>
      </c>
    </row>
    <row r="19" spans="1:10" x14ac:dyDescent="0.3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3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562018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449618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3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487659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411459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3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806300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705900</v>
      </c>
      <c r="I22">
        <f>IF(Sheet1!FW22&lt;&gt;"",Sheet1!FW22,"")</f>
        <v>55827</v>
      </c>
      <c r="J22">
        <f ca="1">IF(Sheet1!GY22&lt;&gt;"",Sheet1!GY22,"")</f>
        <v>0</v>
      </c>
    </row>
    <row r="23" spans="1:10" x14ac:dyDescent="0.3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631181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548781</v>
      </c>
      <c r="I23">
        <f>IF(Sheet1!FW23&lt;&gt;"",Sheet1!FW23,"")</f>
        <v>23146</v>
      </c>
      <c r="J23">
        <f ca="1">IF(Sheet1!GY23&lt;&gt;"",Sheet1!GY23,"")</f>
        <v>0</v>
      </c>
    </row>
    <row r="24" spans="1:10" x14ac:dyDescent="0.3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487662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411462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3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406023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330223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3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458264</v>
      </c>
      <c r="F26">
        <f>IF(Sheet1!FE26&lt;&gt;"",Sheet1!FE26,"")</f>
        <v>4000</v>
      </c>
      <c r="G26">
        <f>IF(Sheet1!FN26&lt;&gt;"",Sheet1!FN26,"")</f>
        <v>0</v>
      </c>
      <c r="H26">
        <f>IF(Sheet1!FO26&lt;&gt;"",Sheet1!FO26,"")</f>
        <v>402464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3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858945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805825</v>
      </c>
      <c r="I27">
        <f>IF(Sheet1!FW27&lt;&gt;"",Sheet1!FW27,"")</f>
        <v>76612</v>
      </c>
      <c r="J27">
        <f ca="1">IF(Sheet1!GY27&lt;&gt;"",Sheet1!GY27,"")</f>
        <v>0</v>
      </c>
    </row>
    <row r="28" spans="1:10" x14ac:dyDescent="0.3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578666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490266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3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578667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496267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3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458268</v>
      </c>
      <c r="F30">
        <f>IF(Sheet1!FE30&lt;&gt;"",Sheet1!FE30,"")</f>
        <v>4000</v>
      </c>
      <c r="G30">
        <f>IF(Sheet1!FN30&lt;&gt;"",Sheet1!FN30,"")</f>
        <v>0</v>
      </c>
      <c r="H30">
        <f>IF(Sheet1!FO30&lt;&gt;"",Sheet1!FO30,"")</f>
        <v>402468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3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3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530830</v>
      </c>
      <c r="F32">
        <f>IF(Sheet1!FE32&lt;&gt;"",Sheet1!FE32,"")</f>
        <v>48000</v>
      </c>
      <c r="G32">
        <f>IF(Sheet1!FN32&lt;&gt;"",Sheet1!FN32,"")</f>
        <v>0</v>
      </c>
      <c r="H32">
        <f>IF(Sheet1!FO32&lt;&gt;"",Sheet1!FO32,"")</f>
        <v>430430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3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3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487672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411472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3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3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578674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490274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3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524835</v>
      </c>
      <c r="F37">
        <f>IF(Sheet1!FE37&lt;&gt;"",Sheet1!FE37,"")</f>
        <v>24000</v>
      </c>
      <c r="G37">
        <f>IF(Sheet1!FN37&lt;&gt;"",Sheet1!FN37,"")</f>
        <v>0</v>
      </c>
      <c r="H37">
        <f>IF(Sheet1!FO37&lt;&gt;"",Sheet1!FO37,"")</f>
        <v>448435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3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487676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375476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3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3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424478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348678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3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487679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411479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3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3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487681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411481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3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412002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360202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3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3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556044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473644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3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515765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439365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3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84000</v>
      </c>
      <c r="G48">
        <f>IF(Sheet1!FN48&lt;&gt;"",Sheet1!FN48,"")</f>
        <v>0</v>
      </c>
      <c r="H48">
        <f>IF(Sheet1!FO48&lt;&gt;"",Sheet1!FO48,"")</f>
        <v>691606</v>
      </c>
      <c r="I48">
        <f>IF(Sheet1!FW48&lt;&gt;"",Sheet1!FW48,"")</f>
        <v>52854</v>
      </c>
      <c r="J48">
        <f ca="1">IF(Sheet1!GY48&lt;&gt;"",Sheet1!GY48,"")</f>
        <v>0</v>
      </c>
    </row>
    <row r="49" spans="1:10" x14ac:dyDescent="0.3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578687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466287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3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578688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430288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3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578689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466289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3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72000</v>
      </c>
      <c r="G52">
        <f>IF(Sheet1!FN52&lt;&gt;"",Sheet1!FN52,"")</f>
        <v>0</v>
      </c>
      <c r="H52">
        <f>IF(Sheet1!FO52&lt;&gt;"",Sheet1!FO52,"")</f>
        <v>685170</v>
      </c>
      <c r="I52">
        <f>IF(Sheet1!FW52&lt;&gt;"",Sheet1!FW52,"")</f>
        <v>51515</v>
      </c>
      <c r="J52">
        <f ca="1">IF(Sheet1!GY52&lt;&gt;"",Sheet1!GY52,"")</f>
        <v>0</v>
      </c>
    </row>
    <row r="53" spans="1:10" x14ac:dyDescent="0.3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578691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454291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3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572692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490292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3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583493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471093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3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578694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496294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3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562055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467655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3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524856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436456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3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562057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479657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3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636018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547618</v>
      </c>
      <c r="I60">
        <f>IF(Sheet1!FW60&lt;&gt;"",Sheet1!FW60,"")</f>
        <v>22905</v>
      </c>
      <c r="J60">
        <f ca="1">IF(Sheet1!GY60&lt;&gt;"",Sheet1!GY60,"")</f>
        <v>0</v>
      </c>
    </row>
    <row r="61" spans="1:10" x14ac:dyDescent="0.3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562059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479659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3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562060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479660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3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530861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406661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3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583502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471102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3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578703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496303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3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556064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473664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3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572705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490305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3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530866</v>
      </c>
      <c r="F68">
        <f>IF(Sheet1!FE68&lt;&gt;"",Sheet1!FE68,"")</f>
        <v>24000</v>
      </c>
      <c r="G68">
        <f>IF(Sheet1!FN68&lt;&gt;"",Sheet1!FN68,"")</f>
        <v>0</v>
      </c>
      <c r="H68">
        <f>IF(Sheet1!FO68&lt;&gt;"",Sheet1!FO68,"")</f>
        <v>454466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3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515787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439387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3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487708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411508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3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3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631230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494830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3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858991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758591</v>
      </c>
      <c r="I73">
        <f>IF(Sheet1!FW73&lt;&gt;"",Sheet1!FW73,"")</f>
        <v>66787</v>
      </c>
      <c r="J73">
        <f ca="1">IF(Sheet1!GY73&lt;&gt;"",Sheet1!GY73,"")</f>
        <v>0</v>
      </c>
    </row>
    <row r="74" spans="1:10" x14ac:dyDescent="0.3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578712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496312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3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578713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496313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3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834034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709634</v>
      </c>
      <c r="I76">
        <f>IF(Sheet1!FW76&lt;&gt;"",Sheet1!FW76,"")</f>
        <v>56604</v>
      </c>
      <c r="J76">
        <f ca="1">IF(Sheet1!GY76&lt;&gt;"",Sheet1!GY76,"")</f>
        <v>0</v>
      </c>
    </row>
    <row r="77" spans="1:10" x14ac:dyDescent="0.3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3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487716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411516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3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583517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471117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3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578718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496318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3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530879</v>
      </c>
      <c r="F81">
        <f>IF(Sheet1!FE81&lt;&gt;"",Sheet1!FE81,"")</f>
        <v>24000</v>
      </c>
      <c r="G81">
        <f>IF(Sheet1!FN81&lt;&gt;"",Sheet1!FN81,"")</f>
        <v>0</v>
      </c>
      <c r="H81">
        <f>IF(Sheet1!FO81&lt;&gt;"",Sheet1!FO81,"")</f>
        <v>454479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3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530880</v>
      </c>
      <c r="F82">
        <f>IF(Sheet1!FE82&lt;&gt;"",Sheet1!FE82,"")</f>
        <v>24000</v>
      </c>
      <c r="G82">
        <f>IF(Sheet1!FN82&lt;&gt;"",Sheet1!FN82,"")</f>
        <v>0</v>
      </c>
      <c r="H82">
        <f>IF(Sheet1!FO82&lt;&gt;"",Sheet1!FO82,"")</f>
        <v>454480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3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481721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405921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3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583522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501122</v>
      </c>
      <c r="I84">
        <f>IF(Sheet1!FW84&lt;&gt;"",Sheet1!FW84,"")</f>
        <v>13233</v>
      </c>
      <c r="J84">
        <f ca="1">IF(Sheet1!GY84&lt;&gt;"",Sheet1!GY84,"")</f>
        <v>0</v>
      </c>
    </row>
    <row r="85" spans="1:10" x14ac:dyDescent="0.3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556083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473683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3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566884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478484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3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501765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425365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3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3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572727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484327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3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530888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454488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3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3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36720</v>
      </c>
      <c r="G92">
        <f>IF(Sheet1!FN92&lt;&gt;"",Sheet1!FN92,"")</f>
        <v>0</v>
      </c>
      <c r="H92">
        <f>IF(Sheet1!FO92&lt;&gt;"",Sheet1!FO92,"")</f>
        <v>692290</v>
      </c>
      <c r="I92">
        <f>IF(Sheet1!FW92&lt;&gt;"",Sheet1!FW92,"")</f>
        <v>52996</v>
      </c>
      <c r="J92">
        <f ca="1">IF(Sheet1!GY92&lt;&gt;"",Sheet1!GY92,"")</f>
        <v>0</v>
      </c>
    </row>
    <row r="93" spans="1:10" x14ac:dyDescent="0.3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595891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507491</v>
      </c>
      <c r="I93">
        <f>IF(Sheet1!FW93&lt;&gt;"",Sheet1!FW93,"")</f>
        <v>14558</v>
      </c>
      <c r="J93">
        <f ca="1">IF(Sheet1!GY93&lt;&gt;"",Sheet1!GY93,"")</f>
        <v>0</v>
      </c>
    </row>
    <row r="94" spans="1:10" x14ac:dyDescent="0.3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578732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490332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3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487733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411533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3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578734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496334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3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430535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354735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3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487736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411536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3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458337</v>
      </c>
      <c r="F99">
        <f>IF(Sheet1!FE99&lt;&gt;"",Sheet1!FE99,"")</f>
        <v>4000</v>
      </c>
      <c r="G99">
        <f>IF(Sheet1!FN99&lt;&gt;"",Sheet1!FN99,"")</f>
        <v>0</v>
      </c>
      <c r="H99">
        <f>IF(Sheet1!FO99&lt;&gt;"",Sheet1!FO99,"")</f>
        <v>402537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3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583538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501138</v>
      </c>
      <c r="I100">
        <f>IF(Sheet1!FW100&lt;&gt;"",Sheet1!FW100,"")</f>
        <v>13237</v>
      </c>
      <c r="J100">
        <f ca="1">IF(Sheet1!GY100&lt;&gt;"",Sheet1!GY100,"")</f>
        <v>0</v>
      </c>
    </row>
    <row r="101" spans="1:10" x14ac:dyDescent="0.3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578739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490339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3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483060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406860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3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530901</v>
      </c>
      <c r="F103">
        <f>IF(Sheet1!FE103&lt;&gt;"",Sheet1!FE103,"")</f>
        <v>24000</v>
      </c>
      <c r="G103">
        <f>IF(Sheet1!FN103&lt;&gt;"",Sheet1!FN103,"")</f>
        <v>0</v>
      </c>
      <c r="H103">
        <f>IF(Sheet1!FO103&lt;&gt;"",Sheet1!FO103,"")</f>
        <v>454501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3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562102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479702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3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3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530904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454504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3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430545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354745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3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583546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483146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3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578747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478347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3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530908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454508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3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487749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411549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3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566910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484510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3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562111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479711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3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524912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448512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3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3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631274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518874</v>
      </c>
      <c r="I116">
        <f>IF(Sheet1!FW116&lt;&gt;"",Sheet1!FW116,"")</f>
        <v>16926</v>
      </c>
      <c r="J116">
        <f ca="1">IF(Sheet1!GY116&lt;&gt;"",Sheet1!GY116,"")</f>
        <v>0</v>
      </c>
    </row>
    <row r="117" spans="1:10" x14ac:dyDescent="0.3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520235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443835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3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3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556117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473717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3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3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3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572760</v>
      </c>
      <c r="F122">
        <f>IF(Sheet1!FE122&lt;&gt;"",Sheet1!FE122,"")</f>
        <v>60000</v>
      </c>
      <c r="G122">
        <f>IF(Sheet1!FN122&lt;&gt;"",Sheet1!FN122,"")</f>
        <v>0</v>
      </c>
      <c r="H122">
        <f>IF(Sheet1!FO122&lt;&gt;"",Sheet1!FO122,"")</f>
        <v>460360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3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578761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466361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3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524922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448522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3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530923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454523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3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530924</v>
      </c>
      <c r="F126">
        <f>IF(Sheet1!FE126&lt;&gt;"",Sheet1!FE126,"")</f>
        <v>24000</v>
      </c>
      <c r="G126">
        <f>IF(Sheet1!FN126&lt;&gt;"",Sheet1!FN126,"")</f>
        <v>0</v>
      </c>
      <c r="H126">
        <f>IF(Sheet1!FO126&lt;&gt;"",Sheet1!FO126,"")</f>
        <v>454524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3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3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530926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454526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3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562127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479727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3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560928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478528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3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524929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448529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3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487770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411570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3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3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530932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442532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3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400133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324333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3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562134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479734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3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406135</v>
      </c>
      <c r="F137">
        <f>IF(Sheet1!FE137&lt;&gt;"",Sheet1!FE137,"")</f>
        <v>0</v>
      </c>
      <c r="G137">
        <f>IF(Sheet1!FN137&lt;&gt;"",Sheet1!FN137,"")</f>
        <v>0</v>
      </c>
      <c r="H137">
        <f>IF(Sheet1!FO137&lt;&gt;"",Sheet1!FO137,"")</f>
        <v>354335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3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600736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488336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3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487777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411577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3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406138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330338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3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3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578780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490380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3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556141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467741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3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487782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387582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3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481783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405933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3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583584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447184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3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515865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415465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3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481786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405936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3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3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625308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495108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3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631309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548909</v>
      </c>
      <c r="I151">
        <f>IF(Sheet1!FW151&lt;&gt;"",Sheet1!FW151,"")</f>
        <v>23173</v>
      </c>
      <c r="J151">
        <f ca="1">IF(Sheet1!GY151&lt;&gt;"",Sheet1!GY151,"")</f>
        <v>0</v>
      </c>
    </row>
    <row r="152" spans="1:10" x14ac:dyDescent="0.3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3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530951</v>
      </c>
      <c r="F153">
        <f>IF(Sheet1!FE153&lt;&gt;"",Sheet1!FE153,"")</f>
        <v>24000</v>
      </c>
      <c r="G153">
        <f>IF(Sheet1!FN153&lt;&gt;"",Sheet1!FN153,"")</f>
        <v>0</v>
      </c>
      <c r="H153">
        <f>IF(Sheet1!FO153&lt;&gt;"",Sheet1!FO153,"")</f>
        <v>454551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3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530952</v>
      </c>
      <c r="F154">
        <f>IF(Sheet1!FE154&lt;&gt;"",Sheet1!FE154,"")</f>
        <v>24000</v>
      </c>
      <c r="G154">
        <f>IF(Sheet1!FN154&lt;&gt;"",Sheet1!FN154,"")</f>
        <v>0</v>
      </c>
      <c r="H154">
        <f>IF(Sheet1!FO154&lt;&gt;"",Sheet1!FO154,"")</f>
        <v>454552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3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481793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405943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3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96000</v>
      </c>
      <c r="G156">
        <f>IF(Sheet1!FN156&lt;&gt;"",Sheet1!FN156,"")</f>
        <v>0</v>
      </c>
      <c r="H156">
        <f>IF(Sheet1!FO156&lt;&gt;"",Sheet1!FO156,"")</f>
        <v>661274</v>
      </c>
      <c r="I156">
        <f>IF(Sheet1!FW156&lt;&gt;"",Sheet1!FW156,"")</f>
        <v>46545</v>
      </c>
      <c r="J156">
        <f ca="1">IF(Sheet1!GY156&lt;&gt;"",Sheet1!GY156,"")</f>
        <v>0</v>
      </c>
    </row>
    <row r="157" spans="1:10" x14ac:dyDescent="0.3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108000</v>
      </c>
      <c r="G157">
        <f>IF(Sheet1!FN157&lt;&gt;"",Sheet1!FN157,"")</f>
        <v>0</v>
      </c>
      <c r="H157">
        <f>IF(Sheet1!FO157&lt;&gt;"",Sheet1!FO157,"")</f>
        <v>615075</v>
      </c>
      <c r="I157">
        <f>IF(Sheet1!FW157&lt;&gt;"",Sheet1!FW157,"")</f>
        <v>36936</v>
      </c>
      <c r="J157">
        <f ca="1">IF(Sheet1!GY157&lt;&gt;"",Sheet1!GY157,"")</f>
        <v>0</v>
      </c>
    </row>
    <row r="158" spans="1:10" x14ac:dyDescent="0.3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625316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536916</v>
      </c>
      <c r="I158">
        <f>IF(Sheet1!FW158&lt;&gt;"",Sheet1!FW158,"")</f>
        <v>20678</v>
      </c>
      <c r="J158">
        <f ca="1">IF(Sheet1!GY158&lt;&gt;"",Sheet1!GY158,"")</f>
        <v>0</v>
      </c>
    </row>
    <row r="159" spans="1:10" x14ac:dyDescent="0.3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562157</v>
      </c>
      <c r="F159">
        <f>IF(Sheet1!FE159&lt;&gt;"",Sheet1!FE159,"")</f>
        <v>36000</v>
      </c>
      <c r="G159">
        <f>IF(Sheet1!FN159&lt;&gt;"",Sheet1!FN159,"")</f>
        <v>0</v>
      </c>
      <c r="H159">
        <f>IF(Sheet1!FO159&lt;&gt;"",Sheet1!FO159,"")</f>
        <v>473757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3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96720</v>
      </c>
      <c r="G160">
        <f>IF(Sheet1!FN160&lt;&gt;"",Sheet1!FN160,"")</f>
        <v>0</v>
      </c>
      <c r="H160">
        <f>IF(Sheet1!FO160&lt;&gt;"",Sheet1!FO160,"")</f>
        <v>637158</v>
      </c>
      <c r="I160">
        <f>IF(Sheet1!FW160&lt;&gt;"",Sheet1!FW160,"")</f>
        <v>41529</v>
      </c>
      <c r="J160">
        <f ca="1">IF(Sheet1!GY160&lt;&gt;"",Sheet1!GY160,"")</f>
        <v>0</v>
      </c>
    </row>
    <row r="161" spans="1:10" x14ac:dyDescent="0.3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578799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466399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3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572800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448400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3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487801</v>
      </c>
      <c r="F163">
        <f>IF(Sheet1!FE163&lt;&gt;"",Sheet1!FE163,"")</f>
        <v>48000</v>
      </c>
      <c r="G163">
        <f>IF(Sheet1!FN163&lt;&gt;"",Sheet1!FN163,"")</f>
        <v>0</v>
      </c>
      <c r="H163">
        <f>IF(Sheet1!FO163&lt;&gt;"",Sheet1!FO163,"")</f>
        <v>387601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3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487802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411602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3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3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578804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478404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3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578805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478405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3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578806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478406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3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578807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478407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3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562168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473768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3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464409</v>
      </c>
      <c r="F171">
        <f>IF(Sheet1!FE171&lt;&gt;"",Sheet1!FE171,"")</f>
        <v>4000</v>
      </c>
      <c r="G171">
        <f>IF(Sheet1!FN171&lt;&gt;"",Sheet1!FN171,"")</f>
        <v>0</v>
      </c>
      <c r="H171">
        <f>IF(Sheet1!FO171&lt;&gt;"",Sheet1!FO171,"")</f>
        <v>408609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3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3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572811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484411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3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578812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490412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3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7400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-42600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3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530974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454574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3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572815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484415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3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566976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484576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3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3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562178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479778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3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562179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479779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3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566980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478580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3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578821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490421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3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562182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473782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3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631343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494943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3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430624</v>
      </c>
      <c r="F186">
        <f>IF(Sheet1!FE186&lt;&gt;"",Sheet1!FE186,"")</f>
        <v>24000</v>
      </c>
      <c r="G186">
        <f>IF(Sheet1!FN186&lt;&gt;"",Sheet1!FN186,"")</f>
        <v>0</v>
      </c>
      <c r="H186">
        <f>IF(Sheet1!FO186&lt;&gt;"",Sheet1!FO186,"")</f>
        <v>354824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3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487825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411625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3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859106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764706</v>
      </c>
      <c r="I188">
        <f>IF(Sheet1!FW188&lt;&gt;"",Sheet1!FW188,"")</f>
        <v>68059</v>
      </c>
      <c r="J188">
        <f ca="1">IF(Sheet1!GY188&lt;&gt;"",Sheet1!GY188,"")</f>
        <v>0</v>
      </c>
    </row>
    <row r="189" spans="1:10" x14ac:dyDescent="0.3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3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3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578829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496429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3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556190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473790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3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487831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411631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3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487832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435632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3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3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562194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473794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3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477155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365355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3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3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578837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460437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3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3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562199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449799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3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562200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479800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3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562201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473801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3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631362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471162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3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487843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411643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3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458444</v>
      </c>
      <c r="F206">
        <f>IF(Sheet1!FE206&lt;&gt;"",Sheet1!FE206,"")</f>
        <v>4000</v>
      </c>
      <c r="G206">
        <f>IF(Sheet1!FN206&lt;&gt;"",Sheet1!FN206,"")</f>
        <v>0</v>
      </c>
      <c r="H206">
        <f>IF(Sheet1!FO206&lt;&gt;"",Sheet1!FO206,"")</f>
        <v>402644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3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567005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478605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3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531006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454606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3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400207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276057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3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120000</v>
      </c>
      <c r="G210">
        <f>IF(Sheet1!FN210&lt;&gt;"",Sheet1!FN210,"")</f>
        <v>0</v>
      </c>
      <c r="H210">
        <f>IF(Sheet1!FO210&lt;&gt;"",Sheet1!FO210,"")</f>
        <v>686728</v>
      </c>
      <c r="I210">
        <f>IF(Sheet1!FW210&lt;&gt;"",Sheet1!FW210,"")</f>
        <v>51840</v>
      </c>
      <c r="J210">
        <f ca="1">IF(Sheet1!GY210&lt;&gt;"",Sheet1!GY210,"")</f>
        <v>0</v>
      </c>
    </row>
    <row r="211" spans="1:10" x14ac:dyDescent="0.3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60000</v>
      </c>
      <c r="G211">
        <f>IF(Sheet1!FN211&lt;&gt;"",Sheet1!FN211,"")</f>
        <v>0</v>
      </c>
      <c r="H211">
        <f>IF(Sheet1!FO211&lt;&gt;"",Sheet1!FO211,"")</f>
        <v>669129</v>
      </c>
      <c r="I211">
        <f>IF(Sheet1!FW211&lt;&gt;"",Sheet1!FW211,"")</f>
        <v>48179</v>
      </c>
      <c r="J211">
        <f ca="1">IF(Sheet1!GY211&lt;&gt;"",Sheet1!GY211,"")</f>
        <v>0</v>
      </c>
    </row>
    <row r="212" spans="1:10" x14ac:dyDescent="0.3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562210</v>
      </c>
      <c r="F212">
        <f>IF(Sheet1!FE212&lt;&gt;"",Sheet1!FE212,"")</f>
        <v>36000</v>
      </c>
      <c r="G212">
        <f>IF(Sheet1!FN212&lt;&gt;"",Sheet1!FN212,"")</f>
        <v>0</v>
      </c>
      <c r="H212">
        <f>IF(Sheet1!FO212&lt;&gt;"",Sheet1!FO212,"")</f>
        <v>473810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3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531011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454611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3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3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3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531014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454614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3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3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578856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496456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3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578857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496457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3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556218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473818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3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562219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461819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3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418180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342380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3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562219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479819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3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3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3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3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556224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443824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3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3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3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578867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466467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3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487868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411668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3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594829</v>
      </c>
      <c r="F232">
        <f>IF(Sheet1!FE232&lt;&gt;"",Sheet1!FE232,"")</f>
        <v>60000</v>
      </c>
      <c r="G232">
        <f>IF(Sheet1!FN232&lt;&gt;"",Sheet1!FN232,"")</f>
        <v>0</v>
      </c>
      <c r="H232">
        <f>IF(Sheet1!FO232&lt;&gt;"",Sheet1!FO232,"")</f>
        <v>482429</v>
      </c>
      <c r="I232">
        <f>IF(Sheet1!FW232&lt;&gt;"",Sheet1!FW232,"")</f>
        <v>0</v>
      </c>
      <c r="J232">
        <f ca="1">IF(Sheet1!GY232&lt;&gt;"",Sheet1!GY232,"")</f>
        <v>0</v>
      </c>
    </row>
    <row r="233" spans="1:10" x14ac:dyDescent="0.3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578870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490470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3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531031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454631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3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583672</v>
      </c>
      <c r="F235">
        <f>IF(Sheet1!FE235&lt;&gt;"",Sheet1!FE235,"")</f>
        <v>36000</v>
      </c>
      <c r="G235">
        <f>IF(Sheet1!FN235&lt;&gt;"",Sheet1!FN235,"")</f>
        <v>0</v>
      </c>
      <c r="H235">
        <f>IF(Sheet1!FO235&lt;&gt;"",Sheet1!FO235,"")</f>
        <v>495272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3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578873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490473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3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583674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501274</v>
      </c>
      <c r="I237">
        <f>IF(Sheet1!FW237&lt;&gt;"",Sheet1!FW237,"")</f>
        <v>13265</v>
      </c>
      <c r="J237">
        <f ca="1">IF(Sheet1!GY237&lt;&gt;"",Sheet1!GY237,"")</f>
        <v>0</v>
      </c>
    </row>
    <row r="238" spans="1:10" x14ac:dyDescent="0.3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562235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479835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3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487876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411676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3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3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578878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496478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3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487879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411679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3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3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3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562242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479842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3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562243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479843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3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631404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543004</v>
      </c>
      <c r="I247">
        <f>IF(Sheet1!FW247&lt;&gt;"",Sheet1!FW247,"")</f>
        <v>21945</v>
      </c>
      <c r="J247">
        <f ca="1">IF(Sheet1!GY247&lt;&gt;"",Sheet1!GY247,"")</f>
        <v>0</v>
      </c>
    </row>
    <row r="248" spans="1:10" x14ac:dyDescent="0.3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913485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861085</v>
      </c>
      <c r="I248">
        <f>IF(Sheet1!FW248&lt;&gt;"",Sheet1!FW248,"")</f>
        <v>88106</v>
      </c>
      <c r="J248">
        <f ca="1">IF(Sheet1!GY248&lt;&gt;"",Sheet1!GY248,"")</f>
        <v>0</v>
      </c>
    </row>
    <row r="249" spans="1:10" x14ac:dyDescent="0.3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501926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425526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3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481887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406037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3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487888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411688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3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464489</v>
      </c>
      <c r="F252">
        <f>IF(Sheet1!FE252&lt;&gt;"",Sheet1!FE252,"")</f>
        <v>4000</v>
      </c>
      <c r="G252">
        <f>IF(Sheet1!FN252&lt;&gt;"",Sheet1!FN252,"")</f>
        <v>0</v>
      </c>
      <c r="H252">
        <f>IF(Sheet1!FO252&lt;&gt;"",Sheet1!FO252,"")</f>
        <v>408689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3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636210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547810</v>
      </c>
      <c r="I253">
        <f>IF(Sheet1!FW253&lt;&gt;"",Sheet1!FW253,"")</f>
        <v>22944</v>
      </c>
      <c r="J253">
        <f ca="1">IF(Sheet1!GY253&lt;&gt;"",Sheet1!GY253,"")</f>
        <v>0</v>
      </c>
    </row>
    <row r="254" spans="1:10" x14ac:dyDescent="0.3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3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562252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479852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3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562253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479853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3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487894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411694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3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3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578896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454496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3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578897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490497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3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487898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411698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3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577699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495299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3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572900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460500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3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3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578902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490502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3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487903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411703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3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583704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495304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3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525065</v>
      </c>
      <c r="F268">
        <f>IF(Sheet1!FE268&lt;&gt;"",Sheet1!FE268,"")</f>
        <v>24000</v>
      </c>
      <c r="G268">
        <f>IF(Sheet1!FN268&lt;&gt;"",Sheet1!FN268,"")</f>
        <v>0</v>
      </c>
      <c r="H268">
        <f>IF(Sheet1!FO268&lt;&gt;"",Sheet1!FO268,"")</f>
        <v>448665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3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531066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454666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3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562267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473867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3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3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525069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412669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3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487910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411710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3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48720</v>
      </c>
      <c r="G274">
        <f>IF(Sheet1!FN274&lt;&gt;"",Sheet1!FN274,"")</f>
        <v>0</v>
      </c>
      <c r="H274">
        <f>IF(Sheet1!FO274&lt;&gt;"",Sheet1!FO274,"")</f>
        <v>685271</v>
      </c>
      <c r="I274">
        <f>IF(Sheet1!FW274&lt;&gt;"",Sheet1!FW274,"")</f>
        <v>51536</v>
      </c>
      <c r="J274">
        <f ca="1">IF(Sheet1!GY274&lt;&gt;"",Sheet1!GY274,"")</f>
        <v>0</v>
      </c>
    </row>
    <row r="275" spans="1:10" x14ac:dyDescent="0.3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531072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454672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3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487913</v>
      </c>
      <c r="F276">
        <f>IF(Sheet1!FE276&lt;&gt;"",Sheet1!FE276,"")</f>
        <v>24000</v>
      </c>
      <c r="G276">
        <f>IF(Sheet1!FN276&lt;&gt;"",Sheet1!FN276,"")</f>
        <v>0</v>
      </c>
      <c r="H276">
        <f>IF(Sheet1!FO276&lt;&gt;"",Sheet1!FO276,"")</f>
        <v>411713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3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416914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292764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3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3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781596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729196</v>
      </c>
      <c r="I279">
        <f>IF(Sheet1!FW279&lt;&gt;"",Sheet1!FW279,"")</f>
        <v>60673</v>
      </c>
      <c r="J279">
        <f ca="1">IF(Sheet1!GY279&lt;&gt;"",Sheet1!GY279,"")</f>
        <v>0</v>
      </c>
    </row>
    <row r="280" spans="1:10" x14ac:dyDescent="0.3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3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631438</v>
      </c>
      <c r="F281">
        <f>IF(Sheet1!FE281&lt;&gt;"",Sheet1!FE281,"")</f>
        <v>60000</v>
      </c>
      <c r="G281">
        <f>IF(Sheet1!FN281&lt;&gt;"",Sheet1!FN281,"")</f>
        <v>0</v>
      </c>
      <c r="H281">
        <f>IF(Sheet1!FO281&lt;&gt;"",Sheet1!FO281,"")</f>
        <v>519038</v>
      </c>
      <c r="I281">
        <f>IF(Sheet1!FW281&lt;&gt;"",Sheet1!FW281,"")</f>
        <v>16960</v>
      </c>
      <c r="J281">
        <f ca="1">IF(Sheet1!GY281&lt;&gt;"",Sheet1!GY281,"")</f>
        <v>0</v>
      </c>
    </row>
    <row r="282" spans="1:10" x14ac:dyDescent="0.3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3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501960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425560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3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780401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727281</v>
      </c>
      <c r="I284">
        <f>IF(Sheet1!FW284&lt;&gt;"",Sheet1!FW284,"")</f>
        <v>60274</v>
      </c>
      <c r="J284">
        <f ca="1">IF(Sheet1!GY284&lt;&gt;"",Sheet1!GY284,"")</f>
        <v>0</v>
      </c>
    </row>
    <row r="285" spans="1:10" x14ac:dyDescent="0.3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3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562283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449883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3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562284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479884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3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525085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448685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3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449686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373886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3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3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562288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479888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3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556289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443889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3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481930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406080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3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3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578932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490532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3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578933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496533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3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531094</v>
      </c>
      <c r="F297">
        <f>IF(Sheet1!FE297&lt;&gt;"",Sheet1!FE297,"")</f>
        <v>24000</v>
      </c>
      <c r="G297">
        <f>IF(Sheet1!FN297&lt;&gt;"",Sheet1!FN297,"")</f>
        <v>0</v>
      </c>
      <c r="H297">
        <f>IF(Sheet1!FO297&lt;&gt;"",Sheet1!FO297,"")</f>
        <v>454694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3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525095</v>
      </c>
      <c r="F298">
        <f>IF(Sheet1!FE298&lt;&gt;"",Sheet1!FE298,"")</f>
        <v>24000</v>
      </c>
      <c r="G298">
        <f>IF(Sheet1!FN298&lt;&gt;"",Sheet1!FN298,"")</f>
        <v>0</v>
      </c>
      <c r="H298">
        <f>IF(Sheet1!FO298&lt;&gt;"",Sheet1!FO298,"")</f>
        <v>448695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3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859216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686816</v>
      </c>
      <c r="I299">
        <f>IF(Sheet1!FW299&lt;&gt;"",Sheet1!FW299,"")</f>
        <v>51858</v>
      </c>
      <c r="J299">
        <f ca="1">IF(Sheet1!GY299&lt;&gt;"",Sheet1!GY299,"")</f>
        <v>0</v>
      </c>
    </row>
    <row r="300" spans="1:10" x14ac:dyDescent="0.3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631457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519057</v>
      </c>
      <c r="I300">
        <f>IF(Sheet1!FW300&lt;&gt;"",Sheet1!FW300,"")</f>
        <v>16963</v>
      </c>
      <c r="J300">
        <f ca="1">IF(Sheet1!GY300&lt;&gt;"",Sheet1!GY300,"")</f>
        <v>0</v>
      </c>
    </row>
    <row r="301" spans="1:10" x14ac:dyDescent="0.3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531098</v>
      </c>
      <c r="F301">
        <f>IF(Sheet1!FE301&lt;&gt;"",Sheet1!FE301,"")</f>
        <v>24000</v>
      </c>
      <c r="G301">
        <f>IF(Sheet1!FN301&lt;&gt;"",Sheet1!FN301,"")</f>
        <v>0</v>
      </c>
      <c r="H301">
        <f>IF(Sheet1!FO301&lt;&gt;"",Sheet1!FO301,"")</f>
        <v>454698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3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96720</v>
      </c>
      <c r="G302">
        <f>IF(Sheet1!FN302&lt;&gt;"",Sheet1!FN302,"")</f>
        <v>0</v>
      </c>
      <c r="H302">
        <f>IF(Sheet1!FO302&lt;&gt;"",Sheet1!FO302,"")</f>
        <v>704099</v>
      </c>
      <c r="I302">
        <f>IF(Sheet1!FW302&lt;&gt;"",Sheet1!FW302,"")</f>
        <v>55453</v>
      </c>
      <c r="J302">
        <f ca="1">IF(Sheet1!GY302&lt;&gt;"",Sheet1!GY302,"")</f>
        <v>0</v>
      </c>
    </row>
    <row r="303" spans="1:10" x14ac:dyDescent="0.3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556300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473900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3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473901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398101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3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3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562303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473903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3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562304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449904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3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577745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495345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3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578946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496546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3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578947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496547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3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525108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448708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3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531109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454709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3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3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3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3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3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3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3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3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3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3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3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3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3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3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3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3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3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3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3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3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3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3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3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3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3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3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3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3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3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3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3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3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3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3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3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3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3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3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3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3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3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3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3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3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3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3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3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3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3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3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3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3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3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3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3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3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3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3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3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3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3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3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3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3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3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3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3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3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3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3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3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3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3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3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3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3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3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3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3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3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3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3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3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3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3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3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3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3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3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3.109375" customWidth="1"/>
    <col min="10" max="10" width="11.33203125" customWidth="1"/>
    <col min="11" max="11" width="12.44140625" customWidth="1"/>
    <col min="12" max="12" width="12.88671875" customWidth="1"/>
    <col min="13" max="13" width="11.6640625" customWidth="1"/>
    <col min="14" max="14" width="13.5546875" customWidth="1"/>
    <col min="15" max="15" width="12.109375" customWidth="1"/>
    <col min="16" max="16" width="12.44140625" customWidth="1"/>
    <col min="17" max="17" width="13.33203125" customWidth="1"/>
    <col min="18" max="18" width="15.109375" customWidth="1"/>
    <col min="19" max="19" width="11.6640625" customWidth="1"/>
    <col min="20" max="20" width="9.88671875" customWidth="1"/>
    <col min="21" max="21" width="11" customWidth="1"/>
    <col min="22" max="22" width="11.44140625" customWidth="1"/>
    <col min="23" max="23" width="10.33203125" customWidth="1"/>
    <col min="24" max="24" width="12.109375" customWidth="1"/>
    <col min="25" max="25" width="10.6640625" customWidth="1"/>
    <col min="26" max="26" width="11" customWidth="1"/>
    <col min="27" max="27" width="11.88671875" customWidth="1"/>
    <col min="28" max="28" width="13.6640625" customWidth="1"/>
    <col min="29" max="29" width="11.44140625" customWidth="1"/>
    <col min="30" max="30" width="9.5546875" customWidth="1"/>
    <col min="31" max="31" width="10.6640625" customWidth="1"/>
    <col min="32" max="32" width="11.109375" customWidth="1"/>
    <col min="33" max="33" width="10" customWidth="1"/>
    <col min="34" max="34" width="11.88671875" customWidth="1"/>
    <col min="35" max="35" width="10.44140625" customWidth="1"/>
    <col min="36" max="36" width="10.6640625" customWidth="1"/>
    <col min="37" max="37" width="11.5546875" customWidth="1"/>
    <col min="38" max="38" width="13.44140625" customWidth="1"/>
    <col min="39" max="39" width="11.6640625" customWidth="1"/>
    <col min="40" max="40" width="9.88671875" customWidth="1"/>
    <col min="41" max="41" width="11" customWidth="1"/>
    <col min="42" max="42" width="11.44140625" customWidth="1"/>
    <col min="43" max="43" width="10.33203125" customWidth="1"/>
    <col min="44" max="44" width="12.109375" customWidth="1"/>
    <col min="45" max="45" width="10.6640625" customWidth="1"/>
    <col min="46" max="46" width="11" customWidth="1"/>
    <col min="47" max="47" width="11.88671875" customWidth="1"/>
    <col min="48" max="48" width="13.6640625" customWidth="1"/>
    <col min="49" max="49" width="11" customWidth="1"/>
    <col min="50" max="50" width="9.109375" customWidth="1"/>
    <col min="51" max="51" width="9" customWidth="1"/>
    <col min="52" max="52" width="10.33203125" customWidth="1"/>
    <col min="53" max="53" width="10.6640625" customWidth="1"/>
    <col min="54" max="54" width="9.5546875" customWidth="1"/>
    <col min="55" max="55" width="11.44140625" customWidth="1"/>
    <col min="56" max="56" width="10" customWidth="1"/>
    <col min="57" max="57" width="10.33203125" customWidth="1"/>
    <col min="58" max="58" width="11.109375" customWidth="1"/>
    <col min="59" max="59" width="13" customWidth="1"/>
    <col min="60" max="60" width="13.5546875" customWidth="1"/>
    <col min="61" max="61" width="11.6640625" customWidth="1"/>
    <col min="62" max="62" width="12.88671875" customWidth="1"/>
    <col min="63" max="63" width="13.33203125" customWidth="1"/>
    <col min="64" max="64" width="12.109375" customWidth="1"/>
    <col min="65" max="65" width="14" customWidth="1"/>
    <col min="66" max="66" width="12.5546875" customWidth="1"/>
    <col min="67" max="67" width="12.88671875" customWidth="1"/>
    <col min="68" max="68" width="13.6640625" customWidth="1"/>
    <col min="69" max="69" width="15.6640625" customWidth="1"/>
    <col min="70" max="70" width="17.5546875" customWidth="1"/>
    <col min="71" max="71" width="15.6640625" customWidth="1"/>
    <col min="72" max="72" width="16.88671875" customWidth="1"/>
    <col min="73" max="73" width="17.33203125" customWidth="1"/>
    <col min="74" max="74" width="16.109375" customWidth="1"/>
    <col min="75" max="75" width="18" customWidth="1"/>
    <col min="76" max="76" width="16.5546875" customWidth="1"/>
    <col min="77" max="77" width="16.88671875" customWidth="1"/>
    <col min="78" max="78" width="17.6640625" customWidth="1"/>
    <col min="79" max="79" width="19.6640625" customWidth="1"/>
    <col min="80" max="80" width="14.5546875" customWidth="1"/>
    <col min="81" max="81" width="12.6640625" customWidth="1"/>
    <col min="82" max="82" width="13.88671875" customWidth="1"/>
    <col min="83" max="83" width="14.33203125" customWidth="1"/>
    <col min="84" max="84" width="13.109375" customWidth="1"/>
    <col min="85" max="85" width="15" customWidth="1"/>
    <col min="86" max="86" width="13.5546875" customWidth="1"/>
    <col min="87" max="87" width="13.88671875" customWidth="1"/>
    <col min="88" max="88" width="14.6640625" customWidth="1"/>
    <col min="89" max="89" width="16.6640625" customWidth="1"/>
    <col min="90" max="90" width="17" customWidth="1"/>
    <col min="91" max="91" width="15" customWidth="1"/>
    <col min="92" max="92" width="16.33203125" customWidth="1"/>
    <col min="93" max="93" width="16.6640625" customWidth="1"/>
    <col min="94" max="94" width="15.5546875" customWidth="1"/>
    <col min="95" max="95" width="17.44140625" customWidth="1"/>
    <col min="96" max="96" width="16" customWidth="1"/>
    <col min="97" max="97" width="16.33203125" customWidth="1"/>
    <col min="98" max="98" width="17.109375" customWidth="1"/>
    <col min="99" max="99" width="19" customWidth="1"/>
    <col min="100" max="100" width="16.88671875" customWidth="1"/>
    <col min="101" max="101" width="14.88671875" customWidth="1"/>
    <col min="102" max="102" width="16.109375" customWidth="1"/>
    <col min="103" max="103" width="16.5546875" customWidth="1"/>
    <col min="104" max="104" width="15.44140625" customWidth="1"/>
    <col min="105" max="105" width="17.33203125" customWidth="1"/>
    <col min="106" max="106" width="15.88671875" customWidth="1"/>
    <col min="107" max="107" width="16.109375" customWidth="1"/>
    <col min="108" max="108" width="17" customWidth="1"/>
    <col min="109" max="109" width="18.88671875" customWidth="1"/>
    <col min="110" max="110" width="14.33203125" customWidth="1"/>
    <col min="111" max="111" width="12.44140625" customWidth="1"/>
    <col min="112" max="112" width="13.5546875" customWidth="1"/>
    <col min="113" max="113" width="14" customWidth="1"/>
    <col min="114" max="114" width="12.88671875" customWidth="1"/>
    <col min="115" max="115" width="14.6640625" customWidth="1"/>
    <col min="116" max="116" width="13.33203125" customWidth="1"/>
    <col min="117" max="117" width="13.5546875" customWidth="1"/>
    <col min="118" max="118" width="14.44140625" customWidth="1"/>
    <col min="119" max="119" width="16.44140625" customWidth="1"/>
    <col min="120" max="120" width="15.44140625" bestFit="1" customWidth="1"/>
    <col min="121" max="121" width="13.44140625" bestFit="1" customWidth="1"/>
    <col min="122" max="122" width="14.5546875" bestFit="1" customWidth="1"/>
    <col min="123" max="123" width="15" bestFit="1" customWidth="1"/>
    <col min="124" max="124" width="13.88671875" bestFit="1" customWidth="1"/>
    <col min="125" max="125" width="15.88671875" bestFit="1" customWidth="1"/>
    <col min="126" max="126" width="14.33203125" bestFit="1" customWidth="1"/>
    <col min="127" max="127" width="14.5546875" bestFit="1" customWidth="1"/>
    <col min="128" max="128" width="15.5546875" bestFit="1" customWidth="1"/>
    <col min="129" max="129" width="17.44140625" bestFit="1" customWidth="1"/>
    <col min="130" max="130" width="12" bestFit="1" customWidth="1"/>
    <col min="131" max="133" width="10.5546875" bestFit="1" customWidth="1"/>
    <col min="134" max="134" width="7.33203125" customWidth="1"/>
    <col min="135" max="135" width="11.6640625" customWidth="1"/>
    <col min="136" max="136" width="13.88671875" customWidth="1"/>
    <col min="137" max="137" width="10.88671875" customWidth="1"/>
    <col min="138" max="138" width="13.33203125" customWidth="1"/>
    <col min="139" max="139" width="13.109375" customWidth="1"/>
    <col min="140" max="140" width="10.5546875" customWidth="1"/>
    <col min="141" max="142" width="11.5546875" customWidth="1"/>
    <col min="143" max="143" width="10.5546875" bestFit="1" customWidth="1"/>
    <col min="144" max="144" width="12.6640625" bestFit="1" customWidth="1"/>
    <col min="145" max="145" width="20.5546875" bestFit="1" customWidth="1"/>
    <col min="146" max="146" width="16.88671875" bestFit="1" customWidth="1"/>
    <col min="147" max="147" width="14.6640625" bestFit="1" customWidth="1"/>
    <col min="148" max="148" width="11.5546875" bestFit="1" customWidth="1"/>
    <col min="149" max="149" width="11.88671875" bestFit="1" customWidth="1"/>
    <col min="150" max="150" width="17.5546875" bestFit="1" customWidth="1"/>
    <col min="151" max="151" width="6" bestFit="1" customWidth="1"/>
    <col min="152" max="152" width="5.109375" bestFit="1" customWidth="1"/>
    <col min="153" max="153" width="6.6640625" bestFit="1" customWidth="1"/>
    <col min="154" max="154" width="6.33203125" bestFit="1" customWidth="1"/>
    <col min="155" max="155" width="6.109375" bestFit="1" customWidth="1"/>
    <col min="156" max="156" width="13.109375" bestFit="1" customWidth="1"/>
    <col min="157" max="157" width="12" bestFit="1" customWidth="1"/>
    <col min="158" max="158" width="10.44140625" bestFit="1" customWidth="1"/>
    <col min="159" max="159" width="12.88671875" bestFit="1" customWidth="1"/>
    <col min="160" max="160" width="11.33203125" bestFit="1" customWidth="1"/>
    <col min="161" max="161" width="10.5546875" bestFit="1" customWidth="1"/>
    <col min="162" max="162" width="20.44140625" bestFit="1" customWidth="1"/>
    <col min="163" max="163" width="12.5546875" bestFit="1" customWidth="1"/>
    <col min="164" max="164" width="17.88671875" bestFit="1" customWidth="1"/>
    <col min="165" max="165" width="20.88671875" bestFit="1" customWidth="1"/>
    <col min="166" max="166" width="16.44140625" bestFit="1" customWidth="1"/>
    <col min="167" max="167" width="9.33203125" bestFit="1" customWidth="1"/>
    <col min="168" max="168" width="10.6640625" bestFit="1" customWidth="1"/>
    <col min="169" max="169" width="14.6640625" bestFit="1" customWidth="1"/>
    <col min="170" max="170" width="11.44140625" bestFit="1" customWidth="1"/>
    <col min="171" max="171" width="16.88671875" bestFit="1" customWidth="1"/>
    <col min="172" max="172" width="20" bestFit="1" customWidth="1"/>
    <col min="173" max="174" width="20.88671875" bestFit="1" customWidth="1"/>
    <col min="175" max="175" width="9.5546875" bestFit="1" customWidth="1"/>
    <col min="176" max="176" width="10.5546875" bestFit="1" customWidth="1"/>
    <col min="177" max="177" width="13.88671875" bestFit="1" customWidth="1"/>
    <col min="178" max="178" width="6" bestFit="1" customWidth="1"/>
    <col min="179" max="179" width="9.5546875" bestFit="1" customWidth="1"/>
    <col min="180" max="180" width="13.6640625" bestFit="1" customWidth="1"/>
    <col min="181" max="181" width="14.88671875" bestFit="1" customWidth="1"/>
    <col min="182" max="182" width="19.5546875" bestFit="1" customWidth="1"/>
    <col min="183" max="183" width="22.44140625" bestFit="1" customWidth="1"/>
    <col min="184" max="184" width="16.6640625" bestFit="1" customWidth="1"/>
    <col min="185" max="185" width="10.109375" bestFit="1" customWidth="1"/>
    <col min="186" max="186" width="13.6640625" bestFit="1" customWidth="1"/>
    <col min="187" max="187" width="13.6640625" customWidth="1"/>
    <col min="188" max="188" width="16" bestFit="1" customWidth="1"/>
    <col min="189" max="189" width="10.109375" bestFit="1" customWidth="1"/>
    <col min="190" max="190" width="13.6640625" bestFit="1" customWidth="1"/>
    <col min="191" max="191" width="11.33203125" bestFit="1" customWidth="1"/>
    <col min="192" max="192" width="14.88671875" bestFit="1" customWidth="1"/>
    <col min="193" max="193" width="7" bestFit="1" customWidth="1"/>
    <col min="194" max="194" width="10.109375" bestFit="1" customWidth="1"/>
    <col min="195" max="195" width="7.88671875" bestFit="1" customWidth="1"/>
    <col min="196" max="196" width="11.33203125" bestFit="1" customWidth="1"/>
    <col min="197" max="197" width="14.88671875" bestFit="1" customWidth="1"/>
    <col min="198" max="199" width="7" bestFit="1" customWidth="1"/>
    <col min="200" max="200" width="6" bestFit="1" customWidth="1"/>
    <col min="201" max="201" width="7.6640625" bestFit="1" customWidth="1"/>
    <col min="202" max="202" width="6.109375" bestFit="1" customWidth="1"/>
    <col min="203" max="203" width="6" bestFit="1" customWidth="1"/>
    <col min="204" max="204" width="13.6640625" bestFit="1" customWidth="1"/>
    <col min="205" max="205" width="24.33203125" bestFit="1" customWidth="1"/>
    <col min="206" max="206" width="9" bestFit="1" customWidth="1"/>
    <col min="207" max="207" width="14.88671875" bestFit="1" customWidth="1"/>
  </cols>
  <sheetData>
    <row r="1" spans="1:207" x14ac:dyDescent="0.3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3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IF(AND(_xlfn.DAYS("31-03-2026",G2)&gt;=180,(I2+J2)&gt;46000),0,7400)</f>
        <v>7400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39250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2000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40550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2000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40550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2000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40550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2000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41850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2000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41850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2000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41850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2000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41850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2000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41850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2000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41850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2000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41850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2000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41850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529500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477100</v>
      </c>
      <c r="ER2">
        <f t="shared" ref="ER2:ER68" si="61">DV2+DL2+DB2+CR2+CH2+BX2+BN2+BD2+AS2+AI2+Y2+O2</f>
        <v>24000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24000</v>
      </c>
      <c r="FE2">
        <f t="shared" ref="FE2:FE68" si="64">IF(FD2&gt;=150000,150000,FD2)</f>
        <v>24000</v>
      </c>
      <c r="FF2">
        <f t="shared" ref="FF2:FF68" si="65">EQ2-FE2</f>
        <v>453100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453100</v>
      </c>
      <c r="FP2">
        <f t="shared" ref="FP2:FP68" si="68">ROUND(IF(FO2&gt;0,IF(FO2&gt;500000,12500,(FO2-250000)*0.05),0),0)</f>
        <v>10155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10155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747</v>
      </c>
      <c r="FZ2">
        <f t="shared" ref="FZ2:FZ68" ca="1" si="77">EM2+FY2</f>
        <v>530247</v>
      </c>
      <c r="GA2">
        <f t="shared" ref="GA2:GA68" si="78">IF(EM2&gt;0,75000,0)</f>
        <v>75000</v>
      </c>
      <c r="GB2">
        <f t="shared" ref="GB2:GB68" ca="1" si="79">FZ2-GA2</f>
        <v>455247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55247</v>
      </c>
      <c r="GN2">
        <f t="shared" ref="GN2:GN68" ca="1" si="91">GM2*0.05</f>
        <v>2762.3500000000004</v>
      </c>
      <c r="GO2">
        <f t="shared" ref="GO2:GO68" ca="1" si="92">ROUND(GD2+GF2+GH2+GJ2+GL2+GN2,0)</f>
        <v>2762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2762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2762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3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IF(AND(_xlfn.DAYS("31-03-2026",G3)&gt;=180,(I3+J3)&gt;46000),0,7400)</f>
        <v>7400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37666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3000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37880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3000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37880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3000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37880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3000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39051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3000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39050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3000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39050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3000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39050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3000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39050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3000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39050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3000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39050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3000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39050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508457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456107</v>
      </c>
      <c r="ER3">
        <f t="shared" si="61"/>
        <v>35000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35000</v>
      </c>
      <c r="FE3">
        <f t="shared" si="64"/>
        <v>35000</v>
      </c>
      <c r="FF3">
        <f t="shared" si="65"/>
        <v>421107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421107</v>
      </c>
      <c r="FP3">
        <f t="shared" si="68"/>
        <v>8555</v>
      </c>
      <c r="FQ3">
        <f t="shared" si="69"/>
        <v>0</v>
      </c>
      <c r="FR3">
        <f t="shared" si="70"/>
        <v>8555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676</v>
      </c>
      <c r="FZ3">
        <f t="shared" ca="1" si="77"/>
        <v>509133</v>
      </c>
      <c r="GA3">
        <f t="shared" si="78"/>
        <v>75000</v>
      </c>
      <c r="GB3">
        <f t="shared" ca="1" si="79"/>
        <v>434133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34133</v>
      </c>
      <c r="GN3">
        <f t="shared" ca="1" si="91"/>
        <v>1706.65</v>
      </c>
      <c r="GO3">
        <f t="shared" ca="1" si="92"/>
        <v>1707</v>
      </c>
      <c r="GP3">
        <f t="shared" ca="1" si="93"/>
        <v>0</v>
      </c>
      <c r="GQ3">
        <f t="shared" ca="1" si="94"/>
        <v>0</v>
      </c>
      <c r="GR3">
        <f t="shared" ca="1" si="95"/>
        <v>1707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1707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3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58662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5000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58810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5000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58810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5000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58810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5000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60762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5000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60760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5000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60760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5000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60760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5000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60760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5000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60760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5000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60760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5000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60760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58000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58000</v>
      </c>
      <c r="FE4">
        <f t="shared" si="64"/>
        <v>58000</v>
      </c>
      <c r="FF4">
        <f t="shared" si="65"/>
        <v>671174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621174</v>
      </c>
      <c r="FP4">
        <f t="shared" si="68"/>
        <v>12500</v>
      </c>
      <c r="FQ4">
        <f t="shared" si="69"/>
        <v>24235</v>
      </c>
      <c r="FR4">
        <f t="shared" si="70"/>
        <v>36735</v>
      </c>
      <c r="FS4">
        <f t="shared" si="71"/>
        <v>36735</v>
      </c>
      <c r="FT4">
        <f t="shared" si="72"/>
        <v>1469.4</v>
      </c>
      <c r="FU4">
        <f t="shared" si="73"/>
        <v>38204</v>
      </c>
      <c r="FV4">
        <v>0</v>
      </c>
      <c r="FW4">
        <f t="shared" si="74"/>
        <v>38204</v>
      </c>
      <c r="FX4" t="b">
        <f t="shared" si="75"/>
        <v>1</v>
      </c>
      <c r="FY4">
        <f t="shared" ca="1" si="76"/>
        <v>624</v>
      </c>
      <c r="FZ4">
        <f t="shared" ca="1" si="77"/>
        <v>779998</v>
      </c>
      <c r="GA4">
        <f t="shared" si="78"/>
        <v>75000</v>
      </c>
      <c r="GB4">
        <f t="shared" ca="1" si="79"/>
        <v>704998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304998</v>
      </c>
      <c r="GN4">
        <f t="shared" ca="1" si="91"/>
        <v>15249.900000000001</v>
      </c>
      <c r="GO4">
        <f t="shared" ca="1" si="92"/>
        <v>15250</v>
      </c>
      <c r="GP4">
        <f t="shared" ca="1" si="93"/>
        <v>0</v>
      </c>
      <c r="GQ4">
        <f t="shared" ca="1" si="94"/>
        <v>0</v>
      </c>
      <c r="GR4">
        <f t="shared" ca="1" si="95"/>
        <v>15250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15250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3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7400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430443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378643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354643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354643</v>
      </c>
      <c r="FP5">
        <f t="shared" si="68"/>
        <v>5232</v>
      </c>
      <c r="FQ5">
        <f t="shared" si="69"/>
        <v>0</v>
      </c>
      <c r="FR5">
        <f t="shared" si="70"/>
        <v>5232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2587</v>
      </c>
      <c r="FZ5">
        <f t="shared" ca="1" si="77"/>
        <v>433030</v>
      </c>
      <c r="GA5">
        <f t="shared" si="78"/>
        <v>75000</v>
      </c>
      <c r="GB5">
        <f t="shared" ca="1" si="79"/>
        <v>358030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3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7400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42850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4000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42850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4000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42850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4000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42850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4000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44284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4000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44280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4000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44280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4000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44280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4000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44280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4000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44280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4000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44280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4000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44280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583444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531044</v>
      </c>
      <c r="ER6">
        <f t="shared" si="61"/>
        <v>48000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48000</v>
      </c>
      <c r="FE6">
        <f t="shared" si="64"/>
        <v>48000</v>
      </c>
      <c r="FF6">
        <f t="shared" si="65"/>
        <v>483044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483044</v>
      </c>
      <c r="FP6">
        <f t="shared" si="68"/>
        <v>11652</v>
      </c>
      <c r="FQ6">
        <f t="shared" si="69"/>
        <v>0</v>
      </c>
      <c r="FR6">
        <f t="shared" si="70"/>
        <v>11652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741</v>
      </c>
      <c r="FZ6">
        <f t="shared" ca="1" si="77"/>
        <v>584185</v>
      </c>
      <c r="GA6">
        <f t="shared" si="78"/>
        <v>75000</v>
      </c>
      <c r="GB6">
        <f t="shared" ca="1" si="79"/>
        <v>509185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109185</v>
      </c>
      <c r="GN6">
        <f t="shared" ca="1" si="91"/>
        <v>5459.25</v>
      </c>
      <c r="GO6">
        <f t="shared" ca="1" si="92"/>
        <v>5459</v>
      </c>
      <c r="GP6">
        <f t="shared" ca="1" si="93"/>
        <v>0</v>
      </c>
      <c r="GQ6">
        <f t="shared" ca="1" si="94"/>
        <v>0</v>
      </c>
      <c r="GR6">
        <f t="shared" ca="1" si="95"/>
        <v>5459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5459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3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7400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530805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478405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454405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454405</v>
      </c>
      <c r="FP7">
        <f t="shared" si="68"/>
        <v>10220</v>
      </c>
      <c r="FQ7">
        <f t="shared" si="69"/>
        <v>0</v>
      </c>
      <c r="FR7">
        <f t="shared" si="70"/>
        <v>10220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922</v>
      </c>
      <c r="FZ7">
        <f t="shared" ca="1" si="77"/>
        <v>531727</v>
      </c>
      <c r="GA7">
        <f t="shared" si="78"/>
        <v>75000</v>
      </c>
      <c r="GB7">
        <f t="shared" ca="1" si="79"/>
        <v>456727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56727</v>
      </c>
      <c r="GN7">
        <f t="shared" ca="1" si="91"/>
        <v>2836.3500000000004</v>
      </c>
      <c r="GO7">
        <f t="shared" ca="1" si="92"/>
        <v>2836</v>
      </c>
      <c r="GP7">
        <f t="shared" ca="1" si="93"/>
        <v>0</v>
      </c>
      <c r="GQ7">
        <f t="shared" ca="1" si="94"/>
        <v>0</v>
      </c>
      <c r="GR7">
        <f t="shared" ca="1" si="95"/>
        <v>2836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2836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3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733</v>
      </c>
      <c r="FZ8">
        <f t="shared" ca="1" si="77"/>
        <v>786859</v>
      </c>
      <c r="GA8">
        <f t="shared" si="78"/>
        <v>75000</v>
      </c>
      <c r="GB8">
        <f t="shared" ca="1" si="79"/>
        <v>711859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311859</v>
      </c>
      <c r="GN8">
        <f t="shared" ca="1" si="91"/>
        <v>15592.95</v>
      </c>
      <c r="GO8">
        <f t="shared" ca="1" si="92"/>
        <v>15593</v>
      </c>
      <c r="GP8">
        <f t="shared" ca="1" si="93"/>
        <v>0</v>
      </c>
      <c r="GQ8">
        <f t="shared" ca="1" si="94"/>
        <v>0</v>
      </c>
      <c r="GR8">
        <f t="shared" ca="1" si="95"/>
        <v>15593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15593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3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7400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578647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526247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466247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466247</v>
      </c>
      <c r="FP9">
        <f t="shared" si="68"/>
        <v>10812</v>
      </c>
      <c r="FQ9">
        <f t="shared" si="69"/>
        <v>0</v>
      </c>
      <c r="FR9">
        <f t="shared" si="70"/>
        <v>10812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971</v>
      </c>
      <c r="FZ9">
        <f t="shared" ca="1" si="77"/>
        <v>579618</v>
      </c>
      <c r="GA9">
        <f t="shared" si="78"/>
        <v>75000</v>
      </c>
      <c r="GB9">
        <f t="shared" ca="1" si="79"/>
        <v>504618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104618</v>
      </c>
      <c r="GN9">
        <f t="shared" ca="1" si="91"/>
        <v>5230.9000000000005</v>
      </c>
      <c r="GO9">
        <f t="shared" ca="1" si="92"/>
        <v>5231</v>
      </c>
      <c r="GP9">
        <f t="shared" ca="1" si="93"/>
        <v>0</v>
      </c>
      <c r="GQ9">
        <f t="shared" ca="1" si="94"/>
        <v>0</v>
      </c>
      <c r="GR9">
        <f t="shared" ca="1" si="95"/>
        <v>5231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5231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3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7400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40550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2000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40550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2000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40550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2000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40550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2000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41858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2000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41850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2000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41850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2000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41850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2000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41850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2000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41850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2000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41850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2000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41850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530808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478408</v>
      </c>
      <c r="ER10">
        <f t="shared" si="61"/>
        <v>24000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24000</v>
      </c>
      <c r="FE10">
        <f t="shared" si="64"/>
        <v>24000</v>
      </c>
      <c r="FF10">
        <f t="shared" si="65"/>
        <v>454408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454408</v>
      </c>
      <c r="FP10">
        <f t="shared" si="68"/>
        <v>10220</v>
      </c>
      <c r="FQ10">
        <f t="shared" si="69"/>
        <v>0</v>
      </c>
      <c r="FR10">
        <f t="shared" si="70"/>
        <v>10220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505</v>
      </c>
      <c r="FZ10">
        <f t="shared" ca="1" si="77"/>
        <v>531313</v>
      </c>
      <c r="GA10">
        <f t="shared" si="78"/>
        <v>75000</v>
      </c>
      <c r="GB10">
        <f t="shared" ca="1" si="79"/>
        <v>456313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56313</v>
      </c>
      <c r="GN10">
        <f t="shared" ca="1" si="91"/>
        <v>2815.65</v>
      </c>
      <c r="GO10">
        <f t="shared" ca="1" si="92"/>
        <v>2816</v>
      </c>
      <c r="GP10">
        <f t="shared" ca="1" si="93"/>
        <v>0</v>
      </c>
      <c r="GQ10">
        <f t="shared" ca="1" si="94"/>
        <v>0</v>
      </c>
      <c r="GR10">
        <f t="shared" ca="1" si="95"/>
        <v>2816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2816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3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7400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37090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2000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37090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2000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37090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2000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37090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2000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38219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2000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38210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2000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38210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2000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38210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2000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38210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2000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38210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2000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38210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2000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38210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487649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435449</v>
      </c>
      <c r="ER11">
        <f t="shared" si="61"/>
        <v>24000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24000</v>
      </c>
      <c r="FE11">
        <f t="shared" si="64"/>
        <v>24000</v>
      </c>
      <c r="FF11">
        <f t="shared" si="65"/>
        <v>411449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411449</v>
      </c>
      <c r="FP11">
        <f t="shared" si="68"/>
        <v>8072</v>
      </c>
      <c r="FQ11">
        <f t="shared" si="69"/>
        <v>0</v>
      </c>
      <c r="FR11">
        <f t="shared" si="70"/>
        <v>8072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2446</v>
      </c>
      <c r="FZ11">
        <f t="shared" ca="1" si="77"/>
        <v>490095</v>
      </c>
      <c r="GA11">
        <f t="shared" si="78"/>
        <v>75000</v>
      </c>
      <c r="GB11">
        <f t="shared" ca="1" si="79"/>
        <v>415095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15095</v>
      </c>
      <c r="GN11">
        <f t="shared" ca="1" si="91"/>
        <v>754.75</v>
      </c>
      <c r="GO11">
        <f t="shared" ca="1" si="92"/>
        <v>755</v>
      </c>
      <c r="GP11">
        <f t="shared" ca="1" si="93"/>
        <v>0</v>
      </c>
      <c r="GQ11">
        <f t="shared" ca="1" si="94"/>
        <v>0</v>
      </c>
      <c r="GR11">
        <f t="shared" ca="1" si="95"/>
        <v>755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755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3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681</v>
      </c>
      <c r="FZ12">
        <f t="shared" ca="1" si="77"/>
        <v>780811</v>
      </c>
      <c r="GA12">
        <f t="shared" si="78"/>
        <v>75000</v>
      </c>
      <c r="GB12">
        <f t="shared" ca="1" si="79"/>
        <v>705811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305811</v>
      </c>
      <c r="GN12">
        <f t="shared" ca="1" si="91"/>
        <v>15290.550000000001</v>
      </c>
      <c r="GO12">
        <f t="shared" ca="1" si="92"/>
        <v>15291</v>
      </c>
      <c r="GP12">
        <f t="shared" ca="1" si="93"/>
        <v>0</v>
      </c>
      <c r="GQ12">
        <f t="shared" ca="1" si="94"/>
        <v>0</v>
      </c>
      <c r="GR12">
        <f t="shared" ca="1" si="95"/>
        <v>15291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15291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3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7400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530811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478411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454411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454411</v>
      </c>
      <c r="FP13">
        <f t="shared" si="68"/>
        <v>10221</v>
      </c>
      <c r="FQ13">
        <f t="shared" si="69"/>
        <v>0</v>
      </c>
      <c r="FR13">
        <f t="shared" si="70"/>
        <v>10221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876</v>
      </c>
      <c r="FZ13">
        <f t="shared" ca="1" si="77"/>
        <v>531687</v>
      </c>
      <c r="GA13">
        <f t="shared" si="78"/>
        <v>75000</v>
      </c>
      <c r="GB13">
        <f t="shared" ca="1" si="79"/>
        <v>456687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56687</v>
      </c>
      <c r="GN13">
        <f t="shared" ca="1" si="91"/>
        <v>2834.3500000000004</v>
      </c>
      <c r="GO13">
        <f t="shared" ca="1" si="92"/>
        <v>2834</v>
      </c>
      <c r="GP13">
        <f t="shared" ca="1" si="93"/>
        <v>0</v>
      </c>
      <c r="GQ13">
        <f t="shared" ca="1" si="94"/>
        <v>0</v>
      </c>
      <c r="GR13">
        <f t="shared" ca="1" si="95"/>
        <v>2834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2834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3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7400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487652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435452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411452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411452</v>
      </c>
      <c r="FP14">
        <f t="shared" si="68"/>
        <v>8073</v>
      </c>
      <c r="FQ14">
        <f t="shared" si="69"/>
        <v>0</v>
      </c>
      <c r="FR14">
        <f t="shared" si="70"/>
        <v>8073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1178</v>
      </c>
      <c r="FZ14">
        <f t="shared" ca="1" si="77"/>
        <v>488830</v>
      </c>
      <c r="GA14">
        <f t="shared" si="78"/>
        <v>75000</v>
      </c>
      <c r="GB14">
        <f t="shared" ca="1" si="79"/>
        <v>413830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13830</v>
      </c>
      <c r="GN14">
        <f t="shared" ca="1" si="91"/>
        <v>691.5</v>
      </c>
      <c r="GO14">
        <f t="shared" ca="1" si="92"/>
        <v>692</v>
      </c>
      <c r="GP14">
        <f t="shared" ca="1" si="93"/>
        <v>0</v>
      </c>
      <c r="GQ14">
        <f t="shared" ca="1" si="94"/>
        <v>0</v>
      </c>
      <c r="GR14">
        <f t="shared" ca="1" si="95"/>
        <v>692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692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3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7400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530813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478413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454413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454413</v>
      </c>
      <c r="FP15">
        <f t="shared" si="68"/>
        <v>10221</v>
      </c>
      <c r="FQ15">
        <f t="shared" si="69"/>
        <v>0</v>
      </c>
      <c r="FR15">
        <f t="shared" si="70"/>
        <v>10221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665</v>
      </c>
      <c r="FZ15">
        <f t="shared" ca="1" si="77"/>
        <v>531478</v>
      </c>
      <c r="GA15">
        <f t="shared" si="78"/>
        <v>75000</v>
      </c>
      <c r="GB15">
        <f t="shared" ca="1" si="79"/>
        <v>456478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56478</v>
      </c>
      <c r="GN15">
        <f t="shared" ca="1" si="91"/>
        <v>2823.9</v>
      </c>
      <c r="GO15">
        <f t="shared" ca="1" si="92"/>
        <v>2824</v>
      </c>
      <c r="GP15">
        <f t="shared" ca="1" si="93"/>
        <v>0</v>
      </c>
      <c r="GQ15">
        <f t="shared" ca="1" si="94"/>
        <v>0</v>
      </c>
      <c r="GR15">
        <f t="shared" ca="1" si="95"/>
        <v>2824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2824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3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7400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530814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478414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454414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454414</v>
      </c>
      <c r="FP16">
        <f t="shared" si="68"/>
        <v>10221</v>
      </c>
      <c r="FQ16">
        <f t="shared" si="69"/>
        <v>0</v>
      </c>
      <c r="FR16">
        <f t="shared" si="70"/>
        <v>10221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672</v>
      </c>
      <c r="FZ16">
        <f t="shared" ca="1" si="77"/>
        <v>531486</v>
      </c>
      <c r="GA16">
        <f t="shared" si="78"/>
        <v>75000</v>
      </c>
      <c r="GB16">
        <f t="shared" ca="1" si="79"/>
        <v>456486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56486</v>
      </c>
      <c r="GN16">
        <f t="shared" ca="1" si="91"/>
        <v>2824.3</v>
      </c>
      <c r="GO16">
        <f t="shared" ca="1" si="92"/>
        <v>2824</v>
      </c>
      <c r="GP16">
        <f t="shared" ca="1" si="93"/>
        <v>0</v>
      </c>
      <c r="GQ16">
        <f t="shared" ca="1" si="94"/>
        <v>0</v>
      </c>
      <c r="GR16">
        <f t="shared" ca="1" si="95"/>
        <v>2824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2824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3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7400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487655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435455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411455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411455</v>
      </c>
      <c r="FP17">
        <f t="shared" si="68"/>
        <v>8073</v>
      </c>
      <c r="FQ17">
        <f t="shared" si="69"/>
        <v>0</v>
      </c>
      <c r="FR17">
        <f t="shared" si="70"/>
        <v>8073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1581</v>
      </c>
      <c r="FZ17">
        <f t="shared" ca="1" si="77"/>
        <v>489236</v>
      </c>
      <c r="GA17">
        <f t="shared" si="78"/>
        <v>75000</v>
      </c>
      <c r="GB17">
        <f t="shared" ca="1" si="79"/>
        <v>414236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14236</v>
      </c>
      <c r="GN17">
        <f t="shared" ca="1" si="91"/>
        <v>711.80000000000007</v>
      </c>
      <c r="GO17">
        <f t="shared" ca="1" si="92"/>
        <v>712</v>
      </c>
      <c r="GP17">
        <f t="shared" ca="1" si="93"/>
        <v>0</v>
      </c>
      <c r="GQ17">
        <f t="shared" ca="1" si="94"/>
        <v>0</v>
      </c>
      <c r="GR17">
        <f t="shared" ca="1" si="95"/>
        <v>712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712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3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64010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3500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64010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3500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64010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3500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64010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3500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65326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3500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65310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3500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65310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3500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65310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3500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65310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3500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65310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3500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65310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3500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65310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42000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42000</v>
      </c>
      <c r="FE18">
        <f t="shared" ref="FE18" si="173">IF(FD18&gt;=150000,150000,FD18)</f>
        <v>42000</v>
      </c>
      <c r="FF18">
        <f t="shared" ref="FF18" si="174">EQ18-FE18</f>
        <v>728536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728536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45707</v>
      </c>
      <c r="FR18">
        <f t="shared" ref="FR18" si="178">FP18+FQ18</f>
        <v>58207</v>
      </c>
      <c r="FS18">
        <f t="shared" ref="FS18" si="179">IF(FR18&lt;12500,0,FR18)</f>
        <v>58207</v>
      </c>
      <c r="FT18">
        <f t="shared" ref="FT18" si="180">FS18*0.04</f>
        <v>2328.2800000000002</v>
      </c>
      <c r="FU18">
        <f t="shared" ref="FU18" si="181">ROUND(FT18+FS18,0)</f>
        <v>60535</v>
      </c>
      <c r="FV18">
        <v>1</v>
      </c>
      <c r="FW18">
        <f t="shared" ref="FW18" si="182">FU18-FV18</f>
        <v>60534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731</v>
      </c>
      <c r="FZ18">
        <f t="shared" ref="FZ18" ca="1" si="185">EM18+FY18</f>
        <v>823667</v>
      </c>
      <c r="GA18">
        <f t="shared" ref="GA18" si="186">IF(EM18&gt;0,75000,0)</f>
        <v>75000</v>
      </c>
      <c r="GB18">
        <f t="shared" ref="GB18" ca="1" si="187">FZ18-GA18</f>
        <v>748667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348667</v>
      </c>
      <c r="GN18">
        <f t="shared" ref="GN18" ca="1" si="198">GM18*0.05</f>
        <v>17433.350000000002</v>
      </c>
      <c r="GO18">
        <f t="shared" ref="GO18" ca="1" si="199">ROUND(GD18+GF18+GH18+GJ18+GL18+GN18,0)</f>
        <v>17433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17433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17433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3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887</v>
      </c>
      <c r="FZ19">
        <f t="shared" ca="1" si="77"/>
        <v>859824</v>
      </c>
      <c r="GA19">
        <f t="shared" si="78"/>
        <v>75000</v>
      </c>
      <c r="GB19">
        <f t="shared" ca="1" si="79"/>
        <v>784824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384824</v>
      </c>
      <c r="GN19">
        <f t="shared" ca="1" si="91"/>
        <v>19241.2</v>
      </c>
      <c r="GO19">
        <f t="shared" ca="1" si="92"/>
        <v>19241</v>
      </c>
      <c r="GP19">
        <f t="shared" ca="1" si="93"/>
        <v>0</v>
      </c>
      <c r="GQ19">
        <f t="shared" ca="1" si="94"/>
        <v>0</v>
      </c>
      <c r="GR19">
        <f t="shared" ca="1" si="95"/>
        <v>19241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19241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3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7400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562018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509618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449618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449618</v>
      </c>
      <c r="FP20">
        <f t="shared" si="68"/>
        <v>9981</v>
      </c>
      <c r="FQ20">
        <f t="shared" si="69"/>
        <v>0</v>
      </c>
      <c r="FR20">
        <f t="shared" si="70"/>
        <v>9981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620</v>
      </c>
      <c r="FZ20">
        <f t="shared" ca="1" si="77"/>
        <v>562638</v>
      </c>
      <c r="GA20">
        <f t="shared" si="78"/>
        <v>75000</v>
      </c>
      <c r="GB20">
        <f t="shared" ca="1" si="79"/>
        <v>487638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87638</v>
      </c>
      <c r="GN20">
        <f t="shared" ca="1" si="91"/>
        <v>4381.9000000000005</v>
      </c>
      <c r="GO20">
        <f t="shared" ca="1" si="92"/>
        <v>4382</v>
      </c>
      <c r="GP20">
        <f t="shared" ca="1" si="93"/>
        <v>0</v>
      </c>
      <c r="GQ20">
        <f t="shared" ca="1" si="94"/>
        <v>0</v>
      </c>
      <c r="GR20">
        <f t="shared" ca="1" si="95"/>
        <v>4382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4382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3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7400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487659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435459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411459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411459</v>
      </c>
      <c r="FP21">
        <f t="shared" si="68"/>
        <v>8073</v>
      </c>
      <c r="FQ21">
        <f t="shared" si="69"/>
        <v>0</v>
      </c>
      <c r="FR21">
        <f t="shared" si="70"/>
        <v>8073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2495</v>
      </c>
      <c r="FZ21">
        <f t="shared" ca="1" si="77"/>
        <v>490154</v>
      </c>
      <c r="GA21">
        <f t="shared" si="78"/>
        <v>75000</v>
      </c>
      <c r="GB21">
        <f t="shared" ca="1" si="79"/>
        <v>415154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15154</v>
      </c>
      <c r="GN21">
        <f t="shared" ca="1" si="91"/>
        <v>757.7</v>
      </c>
      <c r="GO21">
        <f t="shared" ca="1" si="92"/>
        <v>758</v>
      </c>
      <c r="GP21">
        <f t="shared" ca="1" si="93"/>
        <v>0</v>
      </c>
      <c r="GQ21">
        <f t="shared" ca="1" si="94"/>
        <v>0</v>
      </c>
      <c r="GR21">
        <f t="shared" ca="1" si="95"/>
        <v>758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758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3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50300</v>
      </c>
      <c r="T22">
        <f t="shared" si="109"/>
        <v>9054</v>
      </c>
      <c r="U22">
        <f t="shared" si="110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61690</v>
      </c>
      <c r="AC22">
        <f>_xlfn.XLOOKUP(B22,'[3]may-2026'!$A:$A,'[3]may-2026'!$C:$C,0,0)</f>
        <v>50300</v>
      </c>
      <c r="AD22">
        <f t="shared" si="114"/>
        <v>9054</v>
      </c>
      <c r="AE22">
        <f t="shared" si="115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61690</v>
      </c>
      <c r="AM22">
        <f>_xlfn.XLOOKUP(B22,'[4]june-2026'!$A:$A,'[4]june-2026'!$C:$C,0,0)</f>
        <v>50300</v>
      </c>
      <c r="AN22">
        <f t="shared" si="119"/>
        <v>9054</v>
      </c>
      <c r="AO22">
        <f t="shared" si="120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61690</v>
      </c>
      <c r="AW22">
        <f>_xlfn.XLOOKUP(B22,'[5]july-2026'!$A:$A,'[5]july-2026'!$C:$C,0,0)</f>
        <v>51800</v>
      </c>
      <c r="AX22">
        <f t="shared" si="124"/>
        <v>9324</v>
      </c>
      <c r="AY22">
        <v>20</v>
      </c>
      <c r="AZ22">
        <f t="shared" si="125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63660</v>
      </c>
      <c r="BH22">
        <f>_xlfn.XLOOKUP(B22,'[6]august-2026'!$A:$A,'[6]august-2026'!$C:$C,0,0)</f>
        <v>51800</v>
      </c>
      <c r="BI22">
        <f t="shared" si="129"/>
        <v>9324</v>
      </c>
      <c r="BJ22">
        <f t="shared" si="130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63640</v>
      </c>
      <c r="BR22">
        <f>_xlfn.XLOOKUP(B22,'[7]september-2026'!$A:$A,'[7]september-2026'!$C:$C,0,0)</f>
        <v>51800</v>
      </c>
      <c r="BS22">
        <f t="shared" si="134"/>
        <v>9324</v>
      </c>
      <c r="BT22">
        <f t="shared" si="135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63640</v>
      </c>
      <c r="CB22">
        <f>_xlfn.XLOOKUP(B22,'[8]october-2026'!$A:$A,'[8]october-2026'!$C:$C,0,0)</f>
        <v>51800</v>
      </c>
      <c r="CC22">
        <f t="shared" si="139"/>
        <v>9324</v>
      </c>
      <c r="CD22">
        <f t="shared" si="140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63640</v>
      </c>
      <c r="CL22">
        <f>_xlfn.XLOOKUP(B22,'[9]november-2026'!$A:$A,'[9]november-2026'!$C:$C,0,0)</f>
        <v>51800</v>
      </c>
      <c r="CM22">
        <f t="shared" si="144"/>
        <v>9324</v>
      </c>
      <c r="CN22">
        <f t="shared" si="145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63640</v>
      </c>
      <c r="CV22">
        <f>_xlfn.XLOOKUP(B22,'[10]december-2026'!$A:$A,'[10]december-2026'!$C:$C,0,0)</f>
        <v>51800</v>
      </c>
      <c r="CW22">
        <f t="shared" si="149"/>
        <v>9324</v>
      </c>
      <c r="CX22">
        <f t="shared" si="150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63640</v>
      </c>
      <c r="DF22">
        <f xml:space="preserve"> _xlfn.XLOOKUP(B22,
'[11]january-2027'!$A:$A,
'[11]january-2027'!$C:$C,
0,0)</f>
        <v>51800</v>
      </c>
      <c r="DG22">
        <f t="shared" si="154"/>
        <v>9324</v>
      </c>
      <c r="DH22">
        <f t="shared" si="155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63640</v>
      </c>
      <c r="DP22">
        <f xml:space="preserve"> _xlfn.XLOOKUP(B22,
'[12]february-2027'!$A:$A,
'[12]february-2027'!$C:$C,
0,0)</f>
        <v>51800</v>
      </c>
      <c r="DQ22">
        <f t="shared" si="159"/>
        <v>9324</v>
      </c>
      <c r="DR22">
        <f t="shared" si="160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806300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753900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705900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705900</v>
      </c>
      <c r="FP22">
        <f t="shared" si="68"/>
        <v>12500</v>
      </c>
      <c r="FQ22">
        <f t="shared" si="69"/>
        <v>41180</v>
      </c>
      <c r="FR22">
        <f t="shared" si="70"/>
        <v>53680</v>
      </c>
      <c r="FS22">
        <f t="shared" si="71"/>
        <v>53680</v>
      </c>
      <c r="FT22">
        <f t="shared" si="72"/>
        <v>2147.1999999999998</v>
      </c>
      <c r="FU22">
        <f t="shared" si="73"/>
        <v>55827</v>
      </c>
      <c r="FV22">
        <v>0</v>
      </c>
      <c r="FW22">
        <f t="shared" si="74"/>
        <v>55827</v>
      </c>
      <c r="FX22" t="b">
        <f t="shared" si="75"/>
        <v>1</v>
      </c>
      <c r="FY22">
        <f t="shared" ca="1" si="76"/>
        <v>508</v>
      </c>
      <c r="FZ22">
        <f t="shared" ca="1" si="77"/>
        <v>806808</v>
      </c>
      <c r="GA22">
        <f t="shared" si="78"/>
        <v>75000</v>
      </c>
      <c r="GB22">
        <f t="shared" ca="1" si="79"/>
        <v>731808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331808</v>
      </c>
      <c r="GN22">
        <f t="shared" ca="1" si="91"/>
        <v>16590.400000000001</v>
      </c>
      <c r="GO22">
        <f t="shared" ca="1" si="92"/>
        <v>16590</v>
      </c>
      <c r="GP22">
        <f t="shared" ca="1" si="93"/>
        <v>0</v>
      </c>
      <c r="GQ22">
        <f t="shared" ca="1" si="94"/>
        <v>0</v>
      </c>
      <c r="GR22">
        <f t="shared" ca="1" si="95"/>
        <v>16590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16590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3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7400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631181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578781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548781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548781</v>
      </c>
      <c r="FP23">
        <f t="shared" si="68"/>
        <v>12500</v>
      </c>
      <c r="FQ23">
        <f t="shared" si="69"/>
        <v>9756</v>
      </c>
      <c r="FR23">
        <f t="shared" si="70"/>
        <v>22256</v>
      </c>
      <c r="FS23">
        <f t="shared" si="71"/>
        <v>22256</v>
      </c>
      <c r="FT23">
        <f t="shared" si="72"/>
        <v>890.24</v>
      </c>
      <c r="FU23">
        <f t="shared" si="73"/>
        <v>23146</v>
      </c>
      <c r="FV23">
        <v>0</v>
      </c>
      <c r="FW23">
        <f t="shared" si="74"/>
        <v>23146</v>
      </c>
      <c r="FX23" t="b">
        <f t="shared" si="75"/>
        <v>1</v>
      </c>
      <c r="FY23">
        <f t="shared" ca="1" si="76"/>
        <v>634</v>
      </c>
      <c r="FZ23">
        <f t="shared" ca="1" si="77"/>
        <v>631815</v>
      </c>
      <c r="GA23">
        <f t="shared" si="78"/>
        <v>75000</v>
      </c>
      <c r="GB23">
        <f t="shared" ca="1" si="79"/>
        <v>556815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156815</v>
      </c>
      <c r="GN23">
        <f t="shared" ca="1" si="91"/>
        <v>7840.75</v>
      </c>
      <c r="GO23">
        <f t="shared" ca="1" si="92"/>
        <v>7841</v>
      </c>
      <c r="GP23">
        <f t="shared" ca="1" si="93"/>
        <v>0</v>
      </c>
      <c r="GQ23">
        <f t="shared" ca="1" si="94"/>
        <v>0</v>
      </c>
      <c r="GR23">
        <f t="shared" ca="1" si="95"/>
        <v>7841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7841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3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7400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487662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435462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411462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411462</v>
      </c>
      <c r="FP24">
        <f t="shared" si="68"/>
        <v>8073</v>
      </c>
      <c r="FQ24">
        <f t="shared" si="69"/>
        <v>0</v>
      </c>
      <c r="FR24">
        <f t="shared" si="70"/>
        <v>8073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2969</v>
      </c>
      <c r="FZ24">
        <f t="shared" ca="1" si="77"/>
        <v>490631</v>
      </c>
      <c r="GA24">
        <f t="shared" si="78"/>
        <v>75000</v>
      </c>
      <c r="GB24">
        <f t="shared" ca="1" si="79"/>
        <v>415631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15631</v>
      </c>
      <c r="GN24">
        <f t="shared" ca="1" si="91"/>
        <v>781.55000000000007</v>
      </c>
      <c r="GO24">
        <f t="shared" ca="1" si="92"/>
        <v>782</v>
      </c>
      <c r="GP24">
        <f t="shared" ca="1" si="93"/>
        <v>0</v>
      </c>
      <c r="GQ24">
        <f t="shared" ca="1" si="94"/>
        <v>0</v>
      </c>
      <c r="GR24">
        <f t="shared" ca="1" si="95"/>
        <v>782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782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3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7400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406023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354223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330223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330223</v>
      </c>
      <c r="FP25">
        <f t="shared" si="68"/>
        <v>4011</v>
      </c>
      <c r="FQ25">
        <f t="shared" si="69"/>
        <v>0</v>
      </c>
      <c r="FR25">
        <f t="shared" si="70"/>
        <v>4011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1719</v>
      </c>
      <c r="FZ25">
        <f t="shared" ca="1" si="77"/>
        <v>407742</v>
      </c>
      <c r="GA25">
        <f t="shared" si="78"/>
        <v>75000</v>
      </c>
      <c r="GB25">
        <f t="shared" ca="1" si="79"/>
        <v>332742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3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7400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2000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35420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2000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35420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458264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406464</v>
      </c>
      <c r="ER26">
        <f t="shared" ref="ER26" si="211">DV26+DL26+DB26+CR26+CH26+BX26+BN26+BD26+AS26+AI26+Y26+O26</f>
        <v>4000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4000</v>
      </c>
      <c r="FE26">
        <f t="shared" ref="FE26" si="214">IF(FD26&gt;=150000,150000,FD26)</f>
        <v>4000</v>
      </c>
      <c r="FF26">
        <f t="shared" ref="FF26" si="215">EQ26-FE26</f>
        <v>402464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402464</v>
      </c>
      <c r="FP26">
        <f t="shared" ref="FP26" si="217">ROUND(IF(FO26&gt;0,IF(FO26&gt;500000,12500,(FO26-250000)*0.05),0),0)</f>
        <v>7623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7623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1914</v>
      </c>
      <c r="FZ26">
        <f t="shared" ref="FZ26" ca="1" si="226">EM26+FY26</f>
        <v>460178</v>
      </c>
      <c r="GA26">
        <f t="shared" ref="GA26" si="227">IF(EM26&gt;0,75000,0)</f>
        <v>75000</v>
      </c>
      <c r="GB26">
        <f t="shared" ref="GB26" ca="1" si="228">FZ26-GA26</f>
        <v>385178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3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54900</v>
      </c>
      <c r="AX27">
        <f t="shared" si="124"/>
        <v>9882</v>
      </c>
      <c r="AY27">
        <v>25</v>
      </c>
      <c r="AZ27">
        <f t="shared" si="125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6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7"/>
        <v>200</v>
      </c>
      <c r="BG27">
        <f t="shared" si="128"/>
        <v>72035</v>
      </c>
      <c r="BH27">
        <f>_xlfn.XLOOKUP(B27,'[6]august-2026'!$A:$A,'[6]august-2026'!$C:$C,0,0)</f>
        <v>54900</v>
      </c>
      <c r="BI27">
        <f t="shared" si="129"/>
        <v>9882</v>
      </c>
      <c r="BJ27">
        <f t="shared" si="130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1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2"/>
        <v>200</v>
      </c>
      <c r="BQ27">
        <f t="shared" si="133"/>
        <v>72010</v>
      </c>
      <c r="BR27">
        <f>_xlfn.XLOOKUP(B27,'[7]september-2026'!$A:$A,'[7]september-2026'!$C:$C,0,0)</f>
        <v>54900</v>
      </c>
      <c r="BS27">
        <f t="shared" si="134"/>
        <v>9882</v>
      </c>
      <c r="BT27">
        <f t="shared" si="135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6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7"/>
        <v>200</v>
      </c>
      <c r="CA27">
        <f t="shared" si="138"/>
        <v>72010</v>
      </c>
      <c r="CB27">
        <f>_xlfn.XLOOKUP(B27,'[8]october-2026'!$A:$A,'[8]october-2026'!$C:$C,0,0)</f>
        <v>54900</v>
      </c>
      <c r="CC27">
        <f t="shared" si="139"/>
        <v>9882</v>
      </c>
      <c r="CD27">
        <f t="shared" si="140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1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2"/>
        <v>200</v>
      </c>
      <c r="CK27">
        <f t="shared" si="143"/>
        <v>72010</v>
      </c>
      <c r="CL27">
        <f>_xlfn.XLOOKUP(B27,'[9]november-2026'!$A:$A,'[9]november-2026'!$C:$C,0,0)</f>
        <v>54900</v>
      </c>
      <c r="CM27">
        <f t="shared" si="144"/>
        <v>9882</v>
      </c>
      <c r="CN27">
        <f t="shared" si="145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6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7"/>
        <v>200</v>
      </c>
      <c r="CU27">
        <f t="shared" si="148"/>
        <v>72010</v>
      </c>
      <c r="CV27">
        <f>_xlfn.XLOOKUP(B27,'[10]december-2026'!$A:$A,'[10]december-2026'!$C:$C,0,0)</f>
        <v>54900</v>
      </c>
      <c r="CW27">
        <f t="shared" si="149"/>
        <v>9882</v>
      </c>
      <c r="CX27">
        <f t="shared" si="150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1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2"/>
        <v>200</v>
      </c>
      <c r="DE27">
        <f t="shared" si="153"/>
        <v>72010</v>
      </c>
      <c r="DF27">
        <f xml:space="preserve"> _xlfn.XLOOKUP(B27,
'[11]january-2027'!$A:$A,
'[11]january-2027'!$C:$C,
0,0)</f>
        <v>54900</v>
      </c>
      <c r="DG27">
        <f t="shared" si="154"/>
        <v>9882</v>
      </c>
      <c r="DH27">
        <f t="shared" si="155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200</v>
      </c>
      <c r="DO27">
        <f t="shared" si="158"/>
        <v>72010</v>
      </c>
      <c r="DP27">
        <f xml:space="preserve"> _xlfn.XLOOKUP(B27,
'[12]february-2027'!$A:$A,
'[12]february-2027'!$C:$C,
0,0)</f>
        <v>54900</v>
      </c>
      <c r="DQ27">
        <f t="shared" si="159"/>
        <v>9882</v>
      </c>
      <c r="DR27">
        <f t="shared" si="160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1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2"/>
        <v>200</v>
      </c>
      <c r="DY27">
        <f t="shared" si="163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858945</v>
      </c>
      <c r="EN27">
        <f t="shared" si="166"/>
        <v>2400</v>
      </c>
      <c r="EO27">
        <f t="shared" si="167"/>
        <v>50000</v>
      </c>
      <c r="EP27">
        <v>0</v>
      </c>
      <c r="EQ27">
        <f t="shared" si="168"/>
        <v>806545</v>
      </c>
      <c r="ER27">
        <f t="shared" si="61"/>
        <v>0</v>
      </c>
      <c r="ES27">
        <f t="shared" si="62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720</v>
      </c>
      <c r="FE27">
        <f t="shared" si="64"/>
        <v>720</v>
      </c>
      <c r="FF27">
        <f t="shared" si="65"/>
        <v>805825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805825</v>
      </c>
      <c r="FP27">
        <f t="shared" si="68"/>
        <v>12500</v>
      </c>
      <c r="FQ27">
        <f t="shared" si="69"/>
        <v>61165</v>
      </c>
      <c r="FR27">
        <f t="shared" si="70"/>
        <v>73665</v>
      </c>
      <c r="FS27">
        <f t="shared" si="71"/>
        <v>73665</v>
      </c>
      <c r="FT27">
        <f t="shared" si="72"/>
        <v>2946.6</v>
      </c>
      <c r="FU27">
        <f t="shared" si="73"/>
        <v>76612</v>
      </c>
      <c r="FV27">
        <v>0</v>
      </c>
      <c r="FW27">
        <f t="shared" si="74"/>
        <v>76612</v>
      </c>
      <c r="FX27" t="b">
        <f t="shared" si="75"/>
        <v>1</v>
      </c>
      <c r="FY27">
        <f t="shared" ca="1" si="76"/>
        <v>624</v>
      </c>
      <c r="FZ27">
        <f t="shared" ca="1" si="77"/>
        <v>859569</v>
      </c>
      <c r="GA27">
        <f t="shared" si="78"/>
        <v>75000</v>
      </c>
      <c r="GB27">
        <f t="shared" ca="1" si="79"/>
        <v>784569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384569</v>
      </c>
      <c r="GN27">
        <f t="shared" ca="1" si="91"/>
        <v>19228.45</v>
      </c>
      <c r="GO27">
        <f t="shared" ca="1" si="92"/>
        <v>19228</v>
      </c>
      <c r="GP27">
        <f t="shared" ca="1" si="93"/>
        <v>0</v>
      </c>
      <c r="GQ27">
        <f t="shared" ca="1" si="94"/>
        <v>0</v>
      </c>
      <c r="GR27">
        <f t="shared" ca="1" si="95"/>
        <v>19228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19228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3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7400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578666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526266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490266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490266</v>
      </c>
      <c r="FP28">
        <f t="shared" si="68"/>
        <v>12013</v>
      </c>
      <c r="FQ28">
        <f t="shared" si="69"/>
        <v>0</v>
      </c>
      <c r="FR28">
        <f t="shared" si="70"/>
        <v>12013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834</v>
      </c>
      <c r="FZ28">
        <f t="shared" ca="1" si="77"/>
        <v>579500</v>
      </c>
      <c r="GA28">
        <f t="shared" si="78"/>
        <v>75000</v>
      </c>
      <c r="GB28">
        <f t="shared" ca="1" si="79"/>
        <v>504500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104500</v>
      </c>
      <c r="GN28">
        <f t="shared" ca="1" si="91"/>
        <v>5225</v>
      </c>
      <c r="GO28">
        <f t="shared" ca="1" si="92"/>
        <v>5225</v>
      </c>
      <c r="GP28">
        <f t="shared" ca="1" si="93"/>
        <v>0</v>
      </c>
      <c r="GQ28">
        <f t="shared" ca="1" si="94"/>
        <v>0</v>
      </c>
      <c r="GR28">
        <f t="shared" ca="1" si="95"/>
        <v>5225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5225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3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7400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578667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526267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496267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496267</v>
      </c>
      <c r="FP29">
        <f t="shared" si="68"/>
        <v>12313</v>
      </c>
      <c r="FQ29">
        <f t="shared" si="69"/>
        <v>0</v>
      </c>
      <c r="FR29">
        <f t="shared" si="70"/>
        <v>12313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626</v>
      </c>
      <c r="FZ29">
        <f t="shared" ca="1" si="77"/>
        <v>579293</v>
      </c>
      <c r="GA29">
        <f t="shared" si="78"/>
        <v>75000</v>
      </c>
      <c r="GB29">
        <f t="shared" ca="1" si="79"/>
        <v>504293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104293</v>
      </c>
      <c r="GN29">
        <f t="shared" ca="1" si="91"/>
        <v>5214.6500000000005</v>
      </c>
      <c r="GO29">
        <f t="shared" ca="1" si="92"/>
        <v>5215</v>
      </c>
      <c r="GP29">
        <f t="shared" ca="1" si="93"/>
        <v>0</v>
      </c>
      <c r="GQ29">
        <f t="shared" ca="1" si="94"/>
        <v>0</v>
      </c>
      <c r="GR29">
        <f t="shared" ca="1" si="95"/>
        <v>5215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5215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3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7400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2000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35420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2000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35420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458268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406468</v>
      </c>
      <c r="ER30">
        <f t="shared" ref="ER30" si="252">DV30+DL30+DB30+CR30+CH30+BX30+BN30+BD30+AS30+AI30+Y30+O30</f>
        <v>4000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4000</v>
      </c>
      <c r="FE30">
        <f t="shared" ref="FE30" si="255">IF(FD30&gt;=150000,150000,FD30)</f>
        <v>4000</v>
      </c>
      <c r="FF30">
        <f t="shared" ref="FF30" si="256">EQ30-FE30</f>
        <v>402468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402468</v>
      </c>
      <c r="FP30">
        <f t="shared" ref="FP30" si="258">ROUND(IF(FO30&gt;0,IF(FO30&gt;500000,12500,(FO30-250000)*0.05),0),0)</f>
        <v>7623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7623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1537</v>
      </c>
      <c r="FZ30">
        <f t="shared" ref="FZ30" ca="1" si="267">EM30+FY30</f>
        <v>459805</v>
      </c>
      <c r="GA30">
        <f t="shared" ref="GA30" si="268">IF(EM30&gt;0,75000,0)</f>
        <v>75000</v>
      </c>
      <c r="GB30">
        <f t="shared" ref="GB30" ca="1" si="269">FZ30-GA30</f>
        <v>384805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3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54990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15000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54990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15000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54990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15000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54990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15000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57099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15000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57070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15000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57070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15000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57070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15000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57070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15000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57070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15000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57070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15000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57070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180000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180000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596</v>
      </c>
      <c r="FZ31">
        <f t="shared" ca="1" si="77"/>
        <v>859545</v>
      </c>
      <c r="GA31">
        <f t="shared" si="78"/>
        <v>75000</v>
      </c>
      <c r="GB31">
        <f t="shared" ca="1" si="79"/>
        <v>784545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384545</v>
      </c>
      <c r="GN31">
        <f t="shared" ca="1" si="91"/>
        <v>19227.25</v>
      </c>
      <c r="GO31">
        <f t="shared" ca="1" si="92"/>
        <v>19227</v>
      </c>
      <c r="GP31">
        <f t="shared" ca="1" si="93"/>
        <v>0</v>
      </c>
      <c r="GQ31">
        <f t="shared" ca="1" si="94"/>
        <v>0</v>
      </c>
      <c r="GR31">
        <f t="shared" ca="1" si="95"/>
        <v>19227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19227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3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7400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38550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4000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38550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4000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38550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4000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38550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4000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39880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4000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39850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4000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39850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4000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39850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4000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39850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4000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39850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4000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39850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4000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39850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530830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478430</v>
      </c>
      <c r="ER32">
        <f t="shared" si="61"/>
        <v>48000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48000</v>
      </c>
      <c r="FE32">
        <f t="shared" si="64"/>
        <v>48000</v>
      </c>
      <c r="FF32">
        <f t="shared" si="65"/>
        <v>430430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430430</v>
      </c>
      <c r="FP32">
        <f t="shared" si="68"/>
        <v>9022</v>
      </c>
      <c r="FQ32">
        <f t="shared" si="69"/>
        <v>0</v>
      </c>
      <c r="FR32">
        <f t="shared" si="70"/>
        <v>9022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769</v>
      </c>
      <c r="FZ32">
        <f t="shared" ca="1" si="77"/>
        <v>531599</v>
      </c>
      <c r="GA32">
        <f t="shared" si="78"/>
        <v>75000</v>
      </c>
      <c r="GB32">
        <f t="shared" ca="1" si="79"/>
        <v>456599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56599</v>
      </c>
      <c r="GN32">
        <f t="shared" ca="1" si="91"/>
        <v>2829.9500000000003</v>
      </c>
      <c r="GO32">
        <f t="shared" ca="1" si="92"/>
        <v>2830</v>
      </c>
      <c r="GP32">
        <f t="shared" ca="1" si="93"/>
        <v>0</v>
      </c>
      <c r="GQ32">
        <f t="shared" ca="1" si="94"/>
        <v>0</v>
      </c>
      <c r="GR32">
        <f t="shared" ca="1" si="95"/>
        <v>2830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2830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3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848</v>
      </c>
      <c r="FZ33">
        <f t="shared" ca="1" si="77"/>
        <v>859799</v>
      </c>
      <c r="GA33">
        <f t="shared" si="78"/>
        <v>75000</v>
      </c>
      <c r="GB33">
        <f t="shared" ca="1" si="79"/>
        <v>784799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384799</v>
      </c>
      <c r="GN33">
        <f t="shared" ca="1" si="91"/>
        <v>19239.95</v>
      </c>
      <c r="GO33">
        <f t="shared" ca="1" si="92"/>
        <v>19240</v>
      </c>
      <c r="GP33">
        <f t="shared" ca="1" si="93"/>
        <v>0</v>
      </c>
      <c r="GQ33">
        <f t="shared" ca="1" si="94"/>
        <v>0</v>
      </c>
      <c r="GR33">
        <f t="shared" ca="1" si="95"/>
        <v>19240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19240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3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7400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487672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435472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411472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411472</v>
      </c>
      <c r="FP34">
        <f t="shared" si="68"/>
        <v>8074</v>
      </c>
      <c r="FQ34">
        <f t="shared" si="69"/>
        <v>0</v>
      </c>
      <c r="FR34">
        <f t="shared" si="70"/>
        <v>8074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1846</v>
      </c>
      <c r="FZ34">
        <f t="shared" ca="1" si="77"/>
        <v>489518</v>
      </c>
      <c r="GA34">
        <f t="shared" si="78"/>
        <v>75000</v>
      </c>
      <c r="GB34">
        <f t="shared" ca="1" si="79"/>
        <v>414518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14518</v>
      </c>
      <c r="GN34">
        <f t="shared" ca="1" si="91"/>
        <v>725.90000000000009</v>
      </c>
      <c r="GO34">
        <f t="shared" ca="1" si="92"/>
        <v>726</v>
      </c>
      <c r="GP34">
        <f t="shared" ca="1" si="93"/>
        <v>0</v>
      </c>
      <c r="GQ34">
        <f t="shared" ca="1" si="94"/>
        <v>0</v>
      </c>
      <c r="GR34">
        <f t="shared" ca="1" si="95"/>
        <v>726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726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3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733</v>
      </c>
      <c r="FZ35">
        <f t="shared" ca="1" si="77"/>
        <v>853686</v>
      </c>
      <c r="GA35">
        <f t="shared" si="78"/>
        <v>75000</v>
      </c>
      <c r="GB35">
        <f t="shared" ca="1" si="79"/>
        <v>778686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378686</v>
      </c>
      <c r="GN35">
        <f t="shared" ca="1" si="91"/>
        <v>18934.3</v>
      </c>
      <c r="GO35">
        <f t="shared" ca="1" si="92"/>
        <v>18934</v>
      </c>
      <c r="GP35">
        <f t="shared" ca="1" si="93"/>
        <v>0</v>
      </c>
      <c r="GQ35">
        <f t="shared" ca="1" si="94"/>
        <v>0</v>
      </c>
      <c r="GR35">
        <f t="shared" ca="1" si="95"/>
        <v>18934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18934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3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7400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578674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526274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490274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490274</v>
      </c>
      <c r="FP36">
        <f t="shared" si="68"/>
        <v>12014</v>
      </c>
      <c r="FQ36">
        <f t="shared" si="69"/>
        <v>0</v>
      </c>
      <c r="FR36">
        <f t="shared" si="70"/>
        <v>12014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641</v>
      </c>
      <c r="FZ36">
        <f t="shared" ca="1" si="77"/>
        <v>579315</v>
      </c>
      <c r="GA36">
        <f t="shared" si="78"/>
        <v>75000</v>
      </c>
      <c r="GB36">
        <f t="shared" ca="1" si="79"/>
        <v>504315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104315</v>
      </c>
      <c r="GN36">
        <f t="shared" ca="1" si="91"/>
        <v>5215.75</v>
      </c>
      <c r="GO36">
        <f t="shared" ca="1" si="92"/>
        <v>5216</v>
      </c>
      <c r="GP36">
        <f t="shared" ca="1" si="93"/>
        <v>0</v>
      </c>
      <c r="GQ36">
        <f t="shared" ca="1" si="94"/>
        <v>0</v>
      </c>
      <c r="GR36">
        <f t="shared" ca="1" si="95"/>
        <v>5216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5216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3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7400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40050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2000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40050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2000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40050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2000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40050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2000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41385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2000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41350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2000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41350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2000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41350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2000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41350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2000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41350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2000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41350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2000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41350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524835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472435</v>
      </c>
      <c r="ER37">
        <f t="shared" si="61"/>
        <v>24000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24000</v>
      </c>
      <c r="FE37">
        <f t="shared" si="64"/>
        <v>24000</v>
      </c>
      <c r="FF37">
        <f t="shared" si="65"/>
        <v>448435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448435</v>
      </c>
      <c r="FP37">
        <f t="shared" si="68"/>
        <v>9922</v>
      </c>
      <c r="FQ37">
        <f t="shared" si="69"/>
        <v>0</v>
      </c>
      <c r="FR37">
        <f t="shared" si="70"/>
        <v>9922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872</v>
      </c>
      <c r="FZ37">
        <f t="shared" ca="1" si="77"/>
        <v>525707</v>
      </c>
      <c r="GA37">
        <f t="shared" si="78"/>
        <v>75000</v>
      </c>
      <c r="GB37">
        <f t="shared" ca="1" si="79"/>
        <v>450707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50707</v>
      </c>
      <c r="GN37">
        <f t="shared" ca="1" si="91"/>
        <v>2535.3500000000004</v>
      </c>
      <c r="GO37">
        <f t="shared" ca="1" si="92"/>
        <v>2535</v>
      </c>
      <c r="GP37">
        <f t="shared" ca="1" si="93"/>
        <v>0</v>
      </c>
      <c r="GQ37">
        <f t="shared" ca="1" si="94"/>
        <v>0</v>
      </c>
      <c r="GR37">
        <f t="shared" ca="1" si="95"/>
        <v>2535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2535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3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7400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487676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435476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375476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375476</v>
      </c>
      <c r="FP38">
        <f t="shared" si="68"/>
        <v>6274</v>
      </c>
      <c r="FQ38">
        <f t="shared" si="69"/>
        <v>0</v>
      </c>
      <c r="FR38">
        <f t="shared" si="70"/>
        <v>6274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1436</v>
      </c>
      <c r="FZ38">
        <f t="shared" ca="1" si="77"/>
        <v>489112</v>
      </c>
      <c r="GA38">
        <f t="shared" si="78"/>
        <v>75000</v>
      </c>
      <c r="GB38">
        <f t="shared" ca="1" si="79"/>
        <v>414112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14112</v>
      </c>
      <c r="GN38">
        <f t="shared" ca="1" si="91"/>
        <v>705.6</v>
      </c>
      <c r="GO38">
        <f t="shared" ca="1" si="92"/>
        <v>706</v>
      </c>
      <c r="GP38">
        <f t="shared" ca="1" si="93"/>
        <v>0</v>
      </c>
      <c r="GQ38">
        <f t="shared" ca="1" si="94"/>
        <v>0</v>
      </c>
      <c r="GR38">
        <f t="shared" ca="1" si="95"/>
        <v>706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706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3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631</v>
      </c>
      <c r="FZ39">
        <f t="shared" ca="1" si="77"/>
        <v>859588</v>
      </c>
      <c r="GA39">
        <f t="shared" si="78"/>
        <v>75000</v>
      </c>
      <c r="GB39">
        <f t="shared" ca="1" si="79"/>
        <v>784588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384588</v>
      </c>
      <c r="GN39">
        <f t="shared" ca="1" si="91"/>
        <v>19229.400000000001</v>
      </c>
      <c r="GO39">
        <f t="shared" ca="1" si="92"/>
        <v>19229</v>
      </c>
      <c r="GP39">
        <f t="shared" ca="1" si="93"/>
        <v>0</v>
      </c>
      <c r="GQ39">
        <f t="shared" ca="1" si="94"/>
        <v>0</v>
      </c>
      <c r="GR39">
        <f t="shared" ca="1" si="95"/>
        <v>19229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19229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3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7400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424478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372678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348678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348678</v>
      </c>
      <c r="FP40">
        <f t="shared" si="68"/>
        <v>4934</v>
      </c>
      <c r="FQ40">
        <f t="shared" si="69"/>
        <v>0</v>
      </c>
      <c r="FR40">
        <f t="shared" si="70"/>
        <v>4934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1330</v>
      </c>
      <c r="FZ40">
        <f t="shared" ca="1" si="77"/>
        <v>425808</v>
      </c>
      <c r="GA40">
        <f t="shared" si="78"/>
        <v>75000</v>
      </c>
      <c r="GB40">
        <f t="shared" ca="1" si="79"/>
        <v>350808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3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7400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487679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435479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411479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411479</v>
      </c>
      <c r="FP41">
        <f t="shared" si="68"/>
        <v>8074</v>
      </c>
      <c r="FQ41">
        <f t="shared" si="69"/>
        <v>0</v>
      </c>
      <c r="FR41">
        <f t="shared" si="70"/>
        <v>8074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1989</v>
      </c>
      <c r="FZ41">
        <f t="shared" ca="1" si="77"/>
        <v>489668</v>
      </c>
      <c r="GA41">
        <f t="shared" si="78"/>
        <v>75000</v>
      </c>
      <c r="GB41">
        <f t="shared" ca="1" si="79"/>
        <v>414668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14668</v>
      </c>
      <c r="GN41">
        <f t="shared" ca="1" si="91"/>
        <v>733.40000000000009</v>
      </c>
      <c r="GO41">
        <f t="shared" ca="1" si="92"/>
        <v>733</v>
      </c>
      <c r="GP41">
        <f t="shared" ca="1" si="93"/>
        <v>0</v>
      </c>
      <c r="GQ41">
        <f t="shared" ca="1" si="94"/>
        <v>0</v>
      </c>
      <c r="GR41">
        <f t="shared" ca="1" si="95"/>
        <v>733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733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3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866</v>
      </c>
      <c r="FZ42">
        <f t="shared" ca="1" si="77"/>
        <v>920146</v>
      </c>
      <c r="GA42">
        <f t="shared" si="78"/>
        <v>75000</v>
      </c>
      <c r="GB42">
        <f t="shared" ca="1" si="79"/>
        <v>845146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45146</v>
      </c>
      <c r="GL42">
        <f t="shared" ca="1" si="89"/>
        <v>4514.6000000000004</v>
      </c>
      <c r="GM42">
        <f t="shared" ca="1" si="90"/>
        <v>400000</v>
      </c>
      <c r="GN42">
        <f t="shared" ca="1" si="91"/>
        <v>20000</v>
      </c>
      <c r="GO42">
        <f t="shared" ca="1" si="92"/>
        <v>24515</v>
      </c>
      <c r="GP42">
        <f t="shared" ca="1" si="93"/>
        <v>0</v>
      </c>
      <c r="GQ42">
        <f t="shared" ca="1" si="94"/>
        <v>0</v>
      </c>
      <c r="GR42">
        <f t="shared" ca="1" si="95"/>
        <v>24515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24515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3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7400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487681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435481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411481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411481</v>
      </c>
      <c r="FP43">
        <f t="shared" si="68"/>
        <v>8074</v>
      </c>
      <c r="FQ43">
        <f t="shared" si="69"/>
        <v>0</v>
      </c>
      <c r="FR43">
        <f t="shared" si="70"/>
        <v>8074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2548</v>
      </c>
      <c r="FZ43">
        <f t="shared" ca="1" si="77"/>
        <v>490229</v>
      </c>
      <c r="GA43">
        <f t="shared" si="78"/>
        <v>75000</v>
      </c>
      <c r="GB43">
        <f t="shared" ca="1" si="79"/>
        <v>415229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15229</v>
      </c>
      <c r="GN43">
        <f t="shared" ca="1" si="91"/>
        <v>761.45</v>
      </c>
      <c r="GO43">
        <f t="shared" ca="1" si="92"/>
        <v>761</v>
      </c>
      <c r="GP43">
        <f t="shared" ca="1" si="93"/>
        <v>0</v>
      </c>
      <c r="GQ43">
        <f t="shared" ca="1" si="94"/>
        <v>0</v>
      </c>
      <c r="GR43">
        <f t="shared" ca="1" si="95"/>
        <v>761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761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3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7400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412002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360202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360202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360202</v>
      </c>
      <c r="FP44">
        <f t="shared" si="68"/>
        <v>5510</v>
      </c>
      <c r="FQ44">
        <f t="shared" si="69"/>
        <v>0</v>
      </c>
      <c r="FR44">
        <f t="shared" si="70"/>
        <v>5510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1074</v>
      </c>
      <c r="FZ44">
        <f t="shared" ca="1" si="77"/>
        <v>413076</v>
      </c>
      <c r="GA44">
        <f t="shared" si="78"/>
        <v>75000</v>
      </c>
      <c r="GB44">
        <f t="shared" ca="1" si="79"/>
        <v>338076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3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502</v>
      </c>
      <c r="FZ45">
        <f t="shared" ca="1" si="77"/>
        <v>786665</v>
      </c>
      <c r="GA45">
        <f t="shared" si="78"/>
        <v>75000</v>
      </c>
      <c r="GB45">
        <f t="shared" ca="1" si="79"/>
        <v>711665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311665</v>
      </c>
      <c r="GN45">
        <f t="shared" ca="1" si="91"/>
        <v>15583.25</v>
      </c>
      <c r="GO45">
        <f t="shared" ca="1" si="92"/>
        <v>15583</v>
      </c>
      <c r="GP45">
        <f t="shared" ca="1" si="93"/>
        <v>0</v>
      </c>
      <c r="GQ45">
        <f t="shared" ca="1" si="94"/>
        <v>0</v>
      </c>
      <c r="GR45">
        <f t="shared" ca="1" si="95"/>
        <v>15583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15583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3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7400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556044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503644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473644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473644</v>
      </c>
      <c r="FP46">
        <f t="shared" si="68"/>
        <v>11182</v>
      </c>
      <c r="FQ46">
        <f t="shared" si="69"/>
        <v>0</v>
      </c>
      <c r="FR46">
        <f t="shared" si="70"/>
        <v>11182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835</v>
      </c>
      <c r="FZ46">
        <f t="shared" ca="1" si="77"/>
        <v>556879</v>
      </c>
      <c r="GA46">
        <f t="shared" si="78"/>
        <v>75000</v>
      </c>
      <c r="GB46">
        <f t="shared" ca="1" si="79"/>
        <v>481879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81879</v>
      </c>
      <c r="GN46">
        <f t="shared" ca="1" si="91"/>
        <v>4093.9500000000003</v>
      </c>
      <c r="GO46">
        <f t="shared" ca="1" si="92"/>
        <v>4094</v>
      </c>
      <c r="GP46">
        <f t="shared" ca="1" si="93"/>
        <v>0</v>
      </c>
      <c r="GQ46">
        <f t="shared" ca="1" si="94"/>
        <v>0</v>
      </c>
      <c r="GR46">
        <f t="shared" ca="1" si="95"/>
        <v>4094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4094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3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7400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515765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463365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439365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439365</v>
      </c>
      <c r="FP47">
        <f t="shared" si="68"/>
        <v>9468</v>
      </c>
      <c r="FQ47">
        <f t="shared" si="69"/>
        <v>0</v>
      </c>
      <c r="FR47">
        <f t="shared" si="70"/>
        <v>9468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507</v>
      </c>
      <c r="FZ47">
        <f t="shared" ca="1" si="77"/>
        <v>516272</v>
      </c>
      <c r="GA47">
        <f t="shared" si="78"/>
        <v>75000</v>
      </c>
      <c r="GB47">
        <f t="shared" ca="1" si="79"/>
        <v>441272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41272</v>
      </c>
      <c r="GN47">
        <f t="shared" ca="1" si="91"/>
        <v>2063.6</v>
      </c>
      <c r="GO47">
        <f t="shared" ca="1" si="92"/>
        <v>2064</v>
      </c>
      <c r="GP47">
        <f t="shared" ca="1" si="93"/>
        <v>0</v>
      </c>
      <c r="GQ47">
        <f t="shared" ca="1" si="94"/>
        <v>0</v>
      </c>
      <c r="GR47">
        <f t="shared" ca="1" si="95"/>
        <v>2064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2064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3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60410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7000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60410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7000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60410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7000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60410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7000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62536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7000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62490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7000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62490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7000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62490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7000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62490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7000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62490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7000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62490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7000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62490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84000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84000</v>
      </c>
      <c r="FE48">
        <f t="shared" si="64"/>
        <v>84000</v>
      </c>
      <c r="FF48">
        <f t="shared" si="65"/>
        <v>691606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691606</v>
      </c>
      <c r="FP48">
        <f t="shared" si="68"/>
        <v>12500</v>
      </c>
      <c r="FQ48">
        <f t="shared" si="69"/>
        <v>38321</v>
      </c>
      <c r="FR48">
        <f t="shared" si="70"/>
        <v>50821</v>
      </c>
      <c r="FS48">
        <f t="shared" si="71"/>
        <v>50821</v>
      </c>
      <c r="FT48">
        <f t="shared" si="72"/>
        <v>2032.8400000000001</v>
      </c>
      <c r="FU48">
        <f t="shared" si="73"/>
        <v>52854</v>
      </c>
      <c r="FV48">
        <v>0</v>
      </c>
      <c r="FW48">
        <f t="shared" si="74"/>
        <v>52854</v>
      </c>
      <c r="FX48" t="b">
        <f t="shared" si="75"/>
        <v>1</v>
      </c>
      <c r="FY48">
        <f t="shared" ca="1" si="76"/>
        <v>741</v>
      </c>
      <c r="FZ48">
        <f t="shared" ca="1" si="77"/>
        <v>828747</v>
      </c>
      <c r="GA48">
        <f t="shared" si="78"/>
        <v>75000</v>
      </c>
      <c r="GB48">
        <f t="shared" ca="1" si="79"/>
        <v>753747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353747</v>
      </c>
      <c r="GN48">
        <f t="shared" ca="1" si="91"/>
        <v>17687.350000000002</v>
      </c>
      <c r="GO48">
        <f t="shared" ca="1" si="92"/>
        <v>17687</v>
      </c>
      <c r="GP48">
        <f t="shared" ca="1" si="93"/>
        <v>0</v>
      </c>
      <c r="GQ48">
        <f t="shared" ca="1" si="94"/>
        <v>0</v>
      </c>
      <c r="GR48">
        <f t="shared" ca="1" si="95"/>
        <v>17687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17687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3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7400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578687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526287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466287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466287</v>
      </c>
      <c r="FP49">
        <f t="shared" si="68"/>
        <v>10814</v>
      </c>
      <c r="FQ49">
        <f t="shared" si="69"/>
        <v>0</v>
      </c>
      <c r="FR49">
        <f t="shared" si="70"/>
        <v>10814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697</v>
      </c>
      <c r="FZ49">
        <f t="shared" ca="1" si="77"/>
        <v>579384</v>
      </c>
      <c r="GA49">
        <f t="shared" si="78"/>
        <v>75000</v>
      </c>
      <c r="GB49">
        <f t="shared" ca="1" si="79"/>
        <v>504384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104384</v>
      </c>
      <c r="GN49">
        <f t="shared" ca="1" si="91"/>
        <v>5219.2000000000007</v>
      </c>
      <c r="GO49">
        <f t="shared" ca="1" si="92"/>
        <v>5219</v>
      </c>
      <c r="GP49">
        <f t="shared" ca="1" si="93"/>
        <v>0</v>
      </c>
      <c r="GQ49">
        <f t="shared" ca="1" si="94"/>
        <v>0</v>
      </c>
      <c r="GR49">
        <f t="shared" ca="1" si="95"/>
        <v>5219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5219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3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7400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578688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526288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430288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430288</v>
      </c>
      <c r="FP50">
        <f t="shared" si="68"/>
        <v>9014</v>
      </c>
      <c r="FQ50">
        <f t="shared" si="69"/>
        <v>0</v>
      </c>
      <c r="FR50">
        <f t="shared" si="70"/>
        <v>9014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697</v>
      </c>
      <c r="FZ50">
        <f t="shared" ca="1" si="77"/>
        <v>579385</v>
      </c>
      <c r="GA50">
        <f t="shared" si="78"/>
        <v>75000</v>
      </c>
      <c r="GB50">
        <f t="shared" ca="1" si="79"/>
        <v>504385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104385</v>
      </c>
      <c r="GN50">
        <f t="shared" ca="1" si="91"/>
        <v>5219.25</v>
      </c>
      <c r="GO50">
        <f t="shared" ca="1" si="92"/>
        <v>5219</v>
      </c>
      <c r="GP50">
        <f t="shared" ca="1" si="93"/>
        <v>0</v>
      </c>
      <c r="GQ50">
        <f t="shared" ca="1" si="94"/>
        <v>0</v>
      </c>
      <c r="GR50">
        <f t="shared" ca="1" si="95"/>
        <v>5219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5219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3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7400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578689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526289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466289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466289</v>
      </c>
      <c r="FP51">
        <f t="shared" si="68"/>
        <v>10814</v>
      </c>
      <c r="FQ51">
        <f t="shared" si="69"/>
        <v>0</v>
      </c>
      <c r="FR51">
        <f t="shared" si="70"/>
        <v>10814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760</v>
      </c>
      <c r="FZ51">
        <f t="shared" ca="1" si="77"/>
        <v>579449</v>
      </c>
      <c r="GA51">
        <f t="shared" si="78"/>
        <v>75000</v>
      </c>
      <c r="GB51">
        <f t="shared" ca="1" si="79"/>
        <v>504449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104449</v>
      </c>
      <c r="GN51">
        <f t="shared" ca="1" si="91"/>
        <v>5222.4500000000007</v>
      </c>
      <c r="GO51">
        <f t="shared" ca="1" si="92"/>
        <v>5222</v>
      </c>
      <c r="GP51">
        <f t="shared" ca="1" si="93"/>
        <v>0</v>
      </c>
      <c r="GQ51">
        <f t="shared" ca="1" si="94"/>
        <v>0</v>
      </c>
      <c r="GR51">
        <f t="shared" ca="1" si="95"/>
        <v>5222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5222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3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59960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6000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59960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6000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59960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6000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59960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6000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61960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6000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61910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6000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61910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6000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61910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6000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61910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6000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61910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6000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61910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6000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61910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72000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72000</v>
      </c>
      <c r="FE52">
        <f t="shared" si="64"/>
        <v>72000</v>
      </c>
      <c r="FF52">
        <f t="shared" si="65"/>
        <v>685170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685170</v>
      </c>
      <c r="FP52">
        <f t="shared" si="68"/>
        <v>12500</v>
      </c>
      <c r="FQ52">
        <f t="shared" si="69"/>
        <v>37034</v>
      </c>
      <c r="FR52">
        <f t="shared" si="70"/>
        <v>49534</v>
      </c>
      <c r="FS52">
        <f t="shared" si="71"/>
        <v>49534</v>
      </c>
      <c r="FT52">
        <f t="shared" si="72"/>
        <v>1981.3600000000001</v>
      </c>
      <c r="FU52">
        <f t="shared" si="73"/>
        <v>51515</v>
      </c>
      <c r="FV52">
        <v>0</v>
      </c>
      <c r="FW52">
        <f t="shared" si="74"/>
        <v>51515</v>
      </c>
      <c r="FX52" t="b">
        <f t="shared" si="75"/>
        <v>1</v>
      </c>
      <c r="FY52">
        <f t="shared" ca="1" si="76"/>
        <v>939</v>
      </c>
      <c r="FZ52">
        <f t="shared" ca="1" si="77"/>
        <v>810509</v>
      </c>
      <c r="GA52">
        <f t="shared" si="78"/>
        <v>75000</v>
      </c>
      <c r="GB52">
        <f t="shared" ca="1" si="79"/>
        <v>735509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335509</v>
      </c>
      <c r="GN52">
        <f t="shared" ca="1" si="91"/>
        <v>16775.45</v>
      </c>
      <c r="GO52">
        <f t="shared" ca="1" si="92"/>
        <v>16775</v>
      </c>
      <c r="GP52">
        <f t="shared" ca="1" si="93"/>
        <v>0</v>
      </c>
      <c r="GQ52">
        <f t="shared" ca="1" si="94"/>
        <v>0</v>
      </c>
      <c r="GR52">
        <f t="shared" ca="1" si="95"/>
        <v>16775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16775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3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7400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578691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526291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454291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454291</v>
      </c>
      <c r="FP53">
        <f t="shared" si="68"/>
        <v>10215</v>
      </c>
      <c r="FQ53">
        <f t="shared" si="69"/>
        <v>0</v>
      </c>
      <c r="FR53">
        <f t="shared" si="70"/>
        <v>10215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722</v>
      </c>
      <c r="FZ53">
        <f t="shared" ca="1" si="77"/>
        <v>579413</v>
      </c>
      <c r="GA53">
        <f t="shared" si="78"/>
        <v>75000</v>
      </c>
      <c r="GB53">
        <f t="shared" ca="1" si="79"/>
        <v>504413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104413</v>
      </c>
      <c r="GN53">
        <f t="shared" ca="1" si="91"/>
        <v>5220.6500000000005</v>
      </c>
      <c r="GO53">
        <f t="shared" ca="1" si="92"/>
        <v>5221</v>
      </c>
      <c r="GP53">
        <f t="shared" ca="1" si="93"/>
        <v>0</v>
      </c>
      <c r="GQ53">
        <f t="shared" ca="1" si="94"/>
        <v>0</v>
      </c>
      <c r="GR53">
        <f t="shared" ca="1" si="95"/>
        <v>5221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5221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3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7400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572692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520292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490292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490292</v>
      </c>
      <c r="FP54">
        <f t="shared" si="68"/>
        <v>12015</v>
      </c>
      <c r="FQ54">
        <f t="shared" si="69"/>
        <v>0</v>
      </c>
      <c r="FR54">
        <f t="shared" si="70"/>
        <v>12015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945</v>
      </c>
      <c r="FZ54">
        <f t="shared" ca="1" si="77"/>
        <v>573637</v>
      </c>
      <c r="GA54">
        <f t="shared" si="78"/>
        <v>75000</v>
      </c>
      <c r="GB54">
        <f t="shared" ca="1" si="79"/>
        <v>498637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98637</v>
      </c>
      <c r="GN54">
        <f t="shared" ca="1" si="91"/>
        <v>4931.8500000000004</v>
      </c>
      <c r="GO54">
        <f t="shared" ca="1" si="92"/>
        <v>4932</v>
      </c>
      <c r="GP54">
        <f t="shared" ca="1" si="93"/>
        <v>0</v>
      </c>
      <c r="GQ54">
        <f t="shared" ca="1" si="94"/>
        <v>0</v>
      </c>
      <c r="GR54">
        <f t="shared" ca="1" si="95"/>
        <v>4932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4932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3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7400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583493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531093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471093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471093</v>
      </c>
      <c r="FP55">
        <f t="shared" si="68"/>
        <v>11055</v>
      </c>
      <c r="FQ55">
        <f t="shared" si="69"/>
        <v>0</v>
      </c>
      <c r="FR55">
        <f t="shared" si="70"/>
        <v>11055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890</v>
      </c>
      <c r="FZ55">
        <f t="shared" ca="1" si="77"/>
        <v>584383</v>
      </c>
      <c r="GA55">
        <f t="shared" si="78"/>
        <v>75000</v>
      </c>
      <c r="GB55">
        <f t="shared" ca="1" si="79"/>
        <v>509383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109383</v>
      </c>
      <c r="GN55">
        <f t="shared" ca="1" si="91"/>
        <v>5469.1500000000005</v>
      </c>
      <c r="GO55">
        <f t="shared" ca="1" si="92"/>
        <v>5469</v>
      </c>
      <c r="GP55">
        <f t="shared" ca="1" si="93"/>
        <v>0</v>
      </c>
      <c r="GQ55">
        <f t="shared" ca="1" si="94"/>
        <v>0</v>
      </c>
      <c r="GR55">
        <f t="shared" ca="1" si="95"/>
        <v>5469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5469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3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7400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578694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526294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496294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496294</v>
      </c>
      <c r="FP56">
        <f t="shared" si="68"/>
        <v>12315</v>
      </c>
      <c r="FQ56">
        <f t="shared" si="69"/>
        <v>0</v>
      </c>
      <c r="FR56">
        <f t="shared" si="70"/>
        <v>12315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522</v>
      </c>
      <c r="FZ56">
        <f t="shared" ca="1" si="77"/>
        <v>579216</v>
      </c>
      <c r="GA56">
        <f t="shared" si="78"/>
        <v>75000</v>
      </c>
      <c r="GB56">
        <f t="shared" ca="1" si="79"/>
        <v>504216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104216</v>
      </c>
      <c r="GN56">
        <f t="shared" ca="1" si="91"/>
        <v>5210.8</v>
      </c>
      <c r="GO56">
        <f t="shared" ca="1" si="92"/>
        <v>5211</v>
      </c>
      <c r="GP56">
        <f t="shared" ca="1" si="93"/>
        <v>0</v>
      </c>
      <c r="GQ56">
        <f t="shared" ca="1" si="94"/>
        <v>0</v>
      </c>
      <c r="GR56">
        <f t="shared" ca="1" si="95"/>
        <v>5211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5211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3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7400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562055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509655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467655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467655</v>
      </c>
      <c r="FP57">
        <f t="shared" si="68"/>
        <v>10883</v>
      </c>
      <c r="FQ57">
        <f t="shared" si="69"/>
        <v>0</v>
      </c>
      <c r="FR57">
        <f t="shared" si="70"/>
        <v>10883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608</v>
      </c>
      <c r="FZ57">
        <f t="shared" ca="1" si="77"/>
        <v>562663</v>
      </c>
      <c r="GA57">
        <f t="shared" si="78"/>
        <v>75000</v>
      </c>
      <c r="GB57">
        <f t="shared" ca="1" si="79"/>
        <v>487663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87663</v>
      </c>
      <c r="GN57">
        <f t="shared" ca="1" si="91"/>
        <v>4383.1500000000005</v>
      </c>
      <c r="GO57">
        <f t="shared" ca="1" si="92"/>
        <v>4383</v>
      </c>
      <c r="GP57">
        <f t="shared" ca="1" si="93"/>
        <v>0</v>
      </c>
      <c r="GQ57">
        <f t="shared" ca="1" si="94"/>
        <v>0</v>
      </c>
      <c r="GR57">
        <f t="shared" ca="1" si="95"/>
        <v>4383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4383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3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7400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524856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472456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436456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436456</v>
      </c>
      <c r="FP58">
        <f t="shared" si="68"/>
        <v>9323</v>
      </c>
      <c r="FQ58">
        <f t="shared" si="69"/>
        <v>0</v>
      </c>
      <c r="FR58">
        <f t="shared" si="70"/>
        <v>9323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815</v>
      </c>
      <c r="FZ58">
        <f t="shared" ca="1" si="77"/>
        <v>525671</v>
      </c>
      <c r="GA58">
        <f t="shared" si="78"/>
        <v>75000</v>
      </c>
      <c r="GB58">
        <f t="shared" ca="1" si="79"/>
        <v>450671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50671</v>
      </c>
      <c r="GN58">
        <f t="shared" ca="1" si="91"/>
        <v>2533.5500000000002</v>
      </c>
      <c r="GO58">
        <f t="shared" ca="1" si="92"/>
        <v>2534</v>
      </c>
      <c r="GP58">
        <f t="shared" ca="1" si="93"/>
        <v>0</v>
      </c>
      <c r="GQ58">
        <f t="shared" ca="1" si="94"/>
        <v>0</v>
      </c>
      <c r="GR58">
        <f t="shared" ca="1" si="95"/>
        <v>2534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2534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3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7400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562057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509657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479657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479657</v>
      </c>
      <c r="FP59">
        <f t="shared" si="68"/>
        <v>11483</v>
      </c>
      <c r="FQ59">
        <f t="shared" si="69"/>
        <v>0</v>
      </c>
      <c r="FR59">
        <f t="shared" si="70"/>
        <v>11483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956</v>
      </c>
      <c r="FZ59">
        <f t="shared" ca="1" si="77"/>
        <v>563013</v>
      </c>
      <c r="GA59">
        <f t="shared" si="78"/>
        <v>75000</v>
      </c>
      <c r="GB59">
        <f t="shared" ca="1" si="79"/>
        <v>488013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88013</v>
      </c>
      <c r="GN59">
        <f t="shared" ca="1" si="91"/>
        <v>4400.6500000000005</v>
      </c>
      <c r="GO59">
        <f t="shared" ca="1" si="92"/>
        <v>4401</v>
      </c>
      <c r="GP59">
        <f t="shared" ca="1" si="93"/>
        <v>0</v>
      </c>
      <c r="GQ59">
        <f t="shared" ca="1" si="94"/>
        <v>0</v>
      </c>
      <c r="GR59">
        <f t="shared" ca="1" si="95"/>
        <v>4401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4401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3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7400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636018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583618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547618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547618</v>
      </c>
      <c r="FP60">
        <f t="shared" si="68"/>
        <v>12500</v>
      </c>
      <c r="FQ60">
        <f t="shared" si="69"/>
        <v>9524</v>
      </c>
      <c r="FR60">
        <f t="shared" si="70"/>
        <v>22024</v>
      </c>
      <c r="FS60">
        <f t="shared" si="71"/>
        <v>22024</v>
      </c>
      <c r="FT60">
        <f t="shared" si="72"/>
        <v>880.96</v>
      </c>
      <c r="FU60">
        <f t="shared" si="73"/>
        <v>22905</v>
      </c>
      <c r="FV60">
        <v>0</v>
      </c>
      <c r="FW60">
        <f t="shared" si="74"/>
        <v>22905</v>
      </c>
      <c r="FX60" t="b">
        <f t="shared" si="75"/>
        <v>1</v>
      </c>
      <c r="FY60">
        <f t="shared" ca="1" si="76"/>
        <v>965</v>
      </c>
      <c r="FZ60">
        <f t="shared" ca="1" si="77"/>
        <v>636983</v>
      </c>
      <c r="GA60">
        <f t="shared" si="78"/>
        <v>75000</v>
      </c>
      <c r="GB60">
        <f t="shared" ca="1" si="79"/>
        <v>561983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161983</v>
      </c>
      <c r="GN60">
        <f t="shared" ca="1" si="91"/>
        <v>8099.1500000000005</v>
      </c>
      <c r="GO60">
        <f t="shared" ca="1" si="92"/>
        <v>8099</v>
      </c>
      <c r="GP60">
        <f t="shared" ca="1" si="93"/>
        <v>0</v>
      </c>
      <c r="GQ60">
        <f t="shared" ca="1" si="94"/>
        <v>0</v>
      </c>
      <c r="GR60">
        <f t="shared" ca="1" si="95"/>
        <v>8099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8099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3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7400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562059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509659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479659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479659</v>
      </c>
      <c r="FP61">
        <f t="shared" si="68"/>
        <v>11483</v>
      </c>
      <c r="FQ61">
        <f t="shared" si="69"/>
        <v>0</v>
      </c>
      <c r="FR61">
        <f t="shared" si="70"/>
        <v>11483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677</v>
      </c>
      <c r="FZ61">
        <f t="shared" ca="1" si="77"/>
        <v>562736</v>
      </c>
      <c r="GA61">
        <f t="shared" si="78"/>
        <v>75000</v>
      </c>
      <c r="GB61">
        <f t="shared" ca="1" si="79"/>
        <v>487736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87736</v>
      </c>
      <c r="GN61">
        <f t="shared" ca="1" si="91"/>
        <v>4386.8</v>
      </c>
      <c r="GO61">
        <f t="shared" ca="1" si="92"/>
        <v>4387</v>
      </c>
      <c r="GP61">
        <f t="shared" ca="1" si="93"/>
        <v>0</v>
      </c>
      <c r="GQ61">
        <f t="shared" ca="1" si="94"/>
        <v>0</v>
      </c>
      <c r="GR61">
        <f t="shared" ca="1" si="95"/>
        <v>4387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4387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3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7400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562060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509660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479660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479660</v>
      </c>
      <c r="FP62">
        <f t="shared" si="68"/>
        <v>11483</v>
      </c>
      <c r="FQ62">
        <f t="shared" si="69"/>
        <v>0</v>
      </c>
      <c r="FR62">
        <f t="shared" si="70"/>
        <v>11483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637</v>
      </c>
      <c r="FZ62">
        <f t="shared" ca="1" si="77"/>
        <v>562697</v>
      </c>
      <c r="GA62">
        <f t="shared" si="78"/>
        <v>75000</v>
      </c>
      <c r="GB62">
        <f t="shared" ca="1" si="79"/>
        <v>487697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87697</v>
      </c>
      <c r="GN62">
        <f t="shared" ca="1" si="91"/>
        <v>4384.8500000000004</v>
      </c>
      <c r="GO62">
        <f t="shared" ca="1" si="92"/>
        <v>4385</v>
      </c>
      <c r="GP62">
        <f t="shared" ca="1" si="93"/>
        <v>0</v>
      </c>
      <c r="GQ62">
        <f t="shared" ca="1" si="94"/>
        <v>0</v>
      </c>
      <c r="GR62">
        <f t="shared" ca="1" si="95"/>
        <v>4385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4385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3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7400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530861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480661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456661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406661</v>
      </c>
      <c r="FP63">
        <f t="shared" si="68"/>
        <v>7833</v>
      </c>
      <c r="FQ63">
        <f t="shared" si="69"/>
        <v>0</v>
      </c>
      <c r="FR63">
        <f t="shared" si="70"/>
        <v>7833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686</v>
      </c>
      <c r="FZ63">
        <f t="shared" ca="1" si="77"/>
        <v>531547</v>
      </c>
      <c r="GA63">
        <f t="shared" si="78"/>
        <v>75000</v>
      </c>
      <c r="GB63">
        <f t="shared" ca="1" si="79"/>
        <v>456547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56547</v>
      </c>
      <c r="GN63">
        <f t="shared" ca="1" si="91"/>
        <v>2827.3500000000004</v>
      </c>
      <c r="GO63">
        <f t="shared" ca="1" si="92"/>
        <v>2827</v>
      </c>
      <c r="GP63">
        <f t="shared" ca="1" si="93"/>
        <v>0</v>
      </c>
      <c r="GQ63">
        <f t="shared" ca="1" si="94"/>
        <v>0</v>
      </c>
      <c r="GR63">
        <f t="shared" ca="1" si="95"/>
        <v>2827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2827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3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7400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583502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531102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471102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471102</v>
      </c>
      <c r="FP64">
        <f t="shared" si="68"/>
        <v>11055</v>
      </c>
      <c r="FQ64">
        <f t="shared" si="69"/>
        <v>0</v>
      </c>
      <c r="FR64">
        <f t="shared" si="70"/>
        <v>11055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626</v>
      </c>
      <c r="FZ64">
        <f t="shared" ca="1" si="77"/>
        <v>584128</v>
      </c>
      <c r="GA64">
        <f t="shared" si="78"/>
        <v>75000</v>
      </c>
      <c r="GB64">
        <f t="shared" ca="1" si="79"/>
        <v>509128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109128</v>
      </c>
      <c r="GN64">
        <f t="shared" ca="1" si="91"/>
        <v>5456.4000000000005</v>
      </c>
      <c r="GO64">
        <f t="shared" ca="1" si="92"/>
        <v>5456</v>
      </c>
      <c r="GP64">
        <f t="shared" ca="1" si="93"/>
        <v>0</v>
      </c>
      <c r="GQ64">
        <f t="shared" ca="1" si="94"/>
        <v>0</v>
      </c>
      <c r="GR64">
        <f t="shared" ca="1" si="95"/>
        <v>5456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5456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3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7400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578703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526303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496303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496303</v>
      </c>
      <c r="FP65">
        <f t="shared" si="68"/>
        <v>12315</v>
      </c>
      <c r="FQ65">
        <f t="shared" si="69"/>
        <v>0</v>
      </c>
      <c r="FR65">
        <f t="shared" si="70"/>
        <v>12315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749</v>
      </c>
      <c r="FZ65">
        <f t="shared" ca="1" si="77"/>
        <v>579452</v>
      </c>
      <c r="GA65">
        <f t="shared" si="78"/>
        <v>75000</v>
      </c>
      <c r="GB65">
        <f t="shared" ca="1" si="79"/>
        <v>504452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104452</v>
      </c>
      <c r="GN65">
        <f t="shared" ca="1" si="91"/>
        <v>5222.6000000000004</v>
      </c>
      <c r="GO65">
        <f t="shared" ca="1" si="92"/>
        <v>5223</v>
      </c>
      <c r="GP65">
        <f t="shared" ca="1" si="93"/>
        <v>0</v>
      </c>
      <c r="GQ65">
        <f t="shared" ca="1" si="94"/>
        <v>0</v>
      </c>
      <c r="GR65">
        <f t="shared" ca="1" si="95"/>
        <v>5223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5223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3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7400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556064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503664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473664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473664</v>
      </c>
      <c r="FP66">
        <f t="shared" si="68"/>
        <v>11183</v>
      </c>
      <c r="FQ66">
        <f t="shared" si="69"/>
        <v>0</v>
      </c>
      <c r="FR66">
        <f t="shared" si="70"/>
        <v>11183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690</v>
      </c>
      <c r="FZ66">
        <f t="shared" ca="1" si="77"/>
        <v>556754</v>
      </c>
      <c r="GA66">
        <f t="shared" si="78"/>
        <v>75000</v>
      </c>
      <c r="GB66">
        <f t="shared" ca="1" si="79"/>
        <v>481754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81754</v>
      </c>
      <c r="GN66">
        <f t="shared" ca="1" si="91"/>
        <v>4087.7000000000003</v>
      </c>
      <c r="GO66">
        <f t="shared" ca="1" si="92"/>
        <v>4088</v>
      </c>
      <c r="GP66">
        <f t="shared" ca="1" si="93"/>
        <v>0</v>
      </c>
      <c r="GQ66">
        <f t="shared" ca="1" si="94"/>
        <v>0</v>
      </c>
      <c r="GR66">
        <f t="shared" ca="1" si="95"/>
        <v>4088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4088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3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IF(AND(_xlfn.DAYS("31-03-2026",G67)&gt;=180,(I67+J67)&gt;46000),0,7400)</f>
        <v>7400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572705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520305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490305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490305</v>
      </c>
      <c r="FP67">
        <f t="shared" si="68"/>
        <v>12015</v>
      </c>
      <c r="FQ67">
        <f t="shared" si="69"/>
        <v>0</v>
      </c>
      <c r="FR67">
        <f t="shared" si="70"/>
        <v>12015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816</v>
      </c>
      <c r="FZ67">
        <f t="shared" ca="1" si="77"/>
        <v>573521</v>
      </c>
      <c r="GA67">
        <f t="shared" si="78"/>
        <v>75000</v>
      </c>
      <c r="GB67">
        <f t="shared" ca="1" si="79"/>
        <v>498521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98521</v>
      </c>
      <c r="GN67">
        <f t="shared" ca="1" si="91"/>
        <v>4926.05</v>
      </c>
      <c r="GO67">
        <f t="shared" ca="1" si="92"/>
        <v>4926</v>
      </c>
      <c r="GP67">
        <f t="shared" ca="1" si="93"/>
        <v>0</v>
      </c>
      <c r="GQ67">
        <f t="shared" ca="1" si="94"/>
        <v>0</v>
      </c>
      <c r="GR67">
        <f t="shared" ca="1" si="95"/>
        <v>4926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4926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3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7400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40550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2000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40550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2000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40550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2000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40550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2000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41916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2000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41850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2000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41850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2000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41850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2000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41850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2000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41850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2000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41850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2000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41850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530866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478466</v>
      </c>
      <c r="ER68">
        <f t="shared" si="61"/>
        <v>24000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24000</v>
      </c>
      <c r="FE68">
        <f t="shared" si="64"/>
        <v>24000</v>
      </c>
      <c r="FF68">
        <f t="shared" si="65"/>
        <v>454466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454466</v>
      </c>
      <c r="FP68">
        <f t="shared" si="68"/>
        <v>10223</v>
      </c>
      <c r="FQ68">
        <f t="shared" si="69"/>
        <v>0</v>
      </c>
      <c r="FR68">
        <f t="shared" si="70"/>
        <v>10223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693</v>
      </c>
      <c r="FZ68">
        <f t="shared" ca="1" si="77"/>
        <v>531559</v>
      </c>
      <c r="GA68">
        <f t="shared" si="78"/>
        <v>75000</v>
      </c>
      <c r="GB68">
        <f t="shared" ca="1" si="79"/>
        <v>456559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56559</v>
      </c>
      <c r="GN68">
        <f t="shared" ca="1" si="91"/>
        <v>2827.9500000000003</v>
      </c>
      <c r="GO68">
        <f t="shared" ca="1" si="92"/>
        <v>2828</v>
      </c>
      <c r="GP68">
        <f t="shared" ca="1" si="93"/>
        <v>0</v>
      </c>
      <c r="GQ68">
        <f t="shared" ca="1" si="94"/>
        <v>0</v>
      </c>
      <c r="GR68">
        <f t="shared" ca="1" si="95"/>
        <v>2828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2828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3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7400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515787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463387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439387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439387</v>
      </c>
      <c r="FP69">
        <f t="shared" ref="FP69:FP134" si="365">ROUND(IF(FO69&gt;0,IF(FO69&gt;500000,12500,(FO69-250000)*0.05),0),0)</f>
        <v>9469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9469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871</v>
      </c>
      <c r="FZ69">
        <f t="shared" ref="FZ69:FZ134" ca="1" si="374">EM69+FY69</f>
        <v>516658</v>
      </c>
      <c r="GA69">
        <f t="shared" ref="GA69:GA134" si="375">IF(EM69&gt;0,75000,0)</f>
        <v>75000</v>
      </c>
      <c r="GB69">
        <f t="shared" ref="GB69:GB134" ca="1" si="376">FZ69-GA69</f>
        <v>441658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41658</v>
      </c>
      <c r="GN69">
        <f t="shared" ref="GN69:GN134" ca="1" si="387">GM69*0.05</f>
        <v>2082.9</v>
      </c>
      <c r="GO69">
        <f t="shared" ref="GO69:GO134" ca="1" si="388">ROUND(GD69+GF69+GH69+GJ69+GL69+GN69,0)</f>
        <v>2083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2083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2083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3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7400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487708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435508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411508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411508</v>
      </c>
      <c r="FP70">
        <f t="shared" si="365"/>
        <v>8075</v>
      </c>
      <c r="FQ70">
        <f t="shared" si="366"/>
        <v>0</v>
      </c>
      <c r="FR70">
        <f t="shared" si="367"/>
        <v>8075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2507</v>
      </c>
      <c r="FZ70">
        <f t="shared" ca="1" si="374"/>
        <v>490215</v>
      </c>
      <c r="GA70">
        <f t="shared" si="375"/>
        <v>75000</v>
      </c>
      <c r="GB70">
        <f t="shared" ca="1" si="376"/>
        <v>415215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15215</v>
      </c>
      <c r="GN70">
        <f t="shared" ca="1" si="387"/>
        <v>760.75</v>
      </c>
      <c r="GO70">
        <f t="shared" ca="1" si="388"/>
        <v>761</v>
      </c>
      <c r="GP70">
        <f t="shared" ca="1" si="389"/>
        <v>0</v>
      </c>
      <c r="GQ70">
        <f t="shared" ca="1" si="390"/>
        <v>0</v>
      </c>
      <c r="GR70">
        <f t="shared" ca="1" si="391"/>
        <v>761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761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3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744</v>
      </c>
      <c r="FZ71">
        <f t="shared" ca="1" si="374"/>
        <v>859733</v>
      </c>
      <c r="GA71">
        <f t="shared" si="375"/>
        <v>75000</v>
      </c>
      <c r="GB71">
        <f t="shared" ca="1" si="376"/>
        <v>784733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384733</v>
      </c>
      <c r="GN71">
        <f t="shared" ca="1" si="387"/>
        <v>19236.650000000001</v>
      </c>
      <c r="GO71">
        <f t="shared" ca="1" si="388"/>
        <v>19237</v>
      </c>
      <c r="GP71">
        <f t="shared" ca="1" si="389"/>
        <v>0</v>
      </c>
      <c r="GQ71">
        <f t="shared" ca="1" si="390"/>
        <v>0</v>
      </c>
      <c r="GR71">
        <f t="shared" ca="1" si="391"/>
        <v>19237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19237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3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7400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631230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578830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494830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494830</v>
      </c>
      <c r="FP72">
        <f t="shared" si="365"/>
        <v>12242</v>
      </c>
      <c r="FQ72">
        <f t="shared" si="366"/>
        <v>0</v>
      </c>
      <c r="FR72">
        <f t="shared" si="367"/>
        <v>12242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609</v>
      </c>
      <c r="FZ72">
        <f t="shared" ca="1" si="374"/>
        <v>631839</v>
      </c>
      <c r="GA72">
        <f t="shared" si="375"/>
        <v>75000</v>
      </c>
      <c r="GB72">
        <f t="shared" ca="1" si="376"/>
        <v>556839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156839</v>
      </c>
      <c r="GN72">
        <f t="shared" ca="1" si="387"/>
        <v>7841.9500000000007</v>
      </c>
      <c r="GO72">
        <f t="shared" ca="1" si="388"/>
        <v>7842</v>
      </c>
      <c r="GP72">
        <f t="shared" ca="1" si="389"/>
        <v>0</v>
      </c>
      <c r="GQ72">
        <f t="shared" ca="1" si="390"/>
        <v>0</v>
      </c>
      <c r="GR72">
        <f t="shared" ca="1" si="391"/>
        <v>7842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7842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3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54900</v>
      </c>
      <c r="CC73">
        <f t="shared" si="329"/>
        <v>9882</v>
      </c>
      <c r="CD73">
        <f t="shared" si="330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1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2"/>
        <v>200</v>
      </c>
      <c r="CK73">
        <f t="shared" si="333"/>
        <v>68070</v>
      </c>
      <c r="CL73">
        <f>_xlfn.XLOOKUP(B73,'[9]november-2026'!$A:$A,'[9]november-2026'!$C:$C,0,0)</f>
        <v>54900</v>
      </c>
      <c r="CM73">
        <f t="shared" si="334"/>
        <v>9882</v>
      </c>
      <c r="CN73">
        <f t="shared" si="335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6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7"/>
        <v>200</v>
      </c>
      <c r="CU73">
        <f t="shared" si="338"/>
        <v>68070</v>
      </c>
      <c r="CV73">
        <f>_xlfn.XLOOKUP(B73,'[10]december-2026'!$A:$A,'[10]december-2026'!$C:$C,0,0)</f>
        <v>54900</v>
      </c>
      <c r="CW73">
        <f t="shared" si="339"/>
        <v>9882</v>
      </c>
      <c r="CX73">
        <f t="shared" si="340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1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2"/>
        <v>200</v>
      </c>
      <c r="DE73">
        <f t="shared" si="343"/>
        <v>68070</v>
      </c>
      <c r="DF73">
        <f xml:space="preserve"> _xlfn.XLOOKUP(B73,
'[11]january-2027'!$A:$A,
'[11]january-2027'!$C:$C,
0,0)</f>
        <v>54900</v>
      </c>
      <c r="DG73">
        <f t="shared" si="344"/>
        <v>9882</v>
      </c>
      <c r="DH73">
        <f t="shared" si="345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200</v>
      </c>
      <c r="DO73">
        <f t="shared" si="348"/>
        <v>68070</v>
      </c>
      <c r="DP73">
        <f xml:space="preserve"> _xlfn.XLOOKUP(B73,
'[12]february-2027'!$A:$A,
'[12]february-2027'!$C:$C,
0,0)</f>
        <v>54900</v>
      </c>
      <c r="DQ73">
        <f t="shared" si="349"/>
        <v>9882</v>
      </c>
      <c r="DR73">
        <f t="shared" si="350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1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2"/>
        <v>200</v>
      </c>
      <c r="DY73">
        <f t="shared" si="353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858991</v>
      </c>
      <c r="EN73">
        <f t="shared" si="356"/>
        <v>2400</v>
      </c>
      <c r="EO73">
        <f t="shared" si="357"/>
        <v>50000</v>
      </c>
      <c r="EP73">
        <v>0</v>
      </c>
      <c r="EQ73">
        <f t="shared" si="358"/>
        <v>806591</v>
      </c>
      <c r="ER73">
        <f t="shared" si="359"/>
        <v>48000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48000</v>
      </c>
      <c r="FE73">
        <f t="shared" si="362"/>
        <v>48000</v>
      </c>
      <c r="FF73">
        <f t="shared" si="363"/>
        <v>758591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758591</v>
      </c>
      <c r="FP73">
        <f t="shared" si="365"/>
        <v>12500</v>
      </c>
      <c r="FQ73">
        <f t="shared" si="366"/>
        <v>51718</v>
      </c>
      <c r="FR73">
        <f t="shared" si="367"/>
        <v>64218</v>
      </c>
      <c r="FS73">
        <f t="shared" si="368"/>
        <v>64218</v>
      </c>
      <c r="FT73">
        <f t="shared" si="369"/>
        <v>2568.7200000000003</v>
      </c>
      <c r="FU73">
        <f t="shared" si="370"/>
        <v>66787</v>
      </c>
      <c r="FV73">
        <v>0</v>
      </c>
      <c r="FW73">
        <f t="shared" si="371"/>
        <v>66787</v>
      </c>
      <c r="FX73" t="b">
        <f t="shared" si="372"/>
        <v>1</v>
      </c>
      <c r="FY73">
        <f t="shared" ca="1" si="373"/>
        <v>905</v>
      </c>
      <c r="FZ73">
        <f t="shared" ca="1" si="374"/>
        <v>859896</v>
      </c>
      <c r="GA73">
        <f t="shared" si="375"/>
        <v>75000</v>
      </c>
      <c r="GB73">
        <f t="shared" ca="1" si="376"/>
        <v>784896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384896</v>
      </c>
      <c r="GN73">
        <f t="shared" ca="1" si="387"/>
        <v>19244.8</v>
      </c>
      <c r="GO73">
        <f t="shared" ca="1" si="388"/>
        <v>19245</v>
      </c>
      <c r="GP73">
        <f t="shared" ca="1" si="389"/>
        <v>0</v>
      </c>
      <c r="GQ73">
        <f t="shared" ca="1" si="390"/>
        <v>0</v>
      </c>
      <c r="GR73">
        <f t="shared" ca="1" si="391"/>
        <v>19245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19245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3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7400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578712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526312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496312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496312</v>
      </c>
      <c r="FP74">
        <f t="shared" si="365"/>
        <v>12316</v>
      </c>
      <c r="FQ74">
        <f t="shared" si="366"/>
        <v>0</v>
      </c>
      <c r="FR74">
        <f t="shared" si="367"/>
        <v>12316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711</v>
      </c>
      <c r="FZ74">
        <f t="shared" ca="1" si="374"/>
        <v>579423</v>
      </c>
      <c r="GA74">
        <f t="shared" si="375"/>
        <v>75000</v>
      </c>
      <c r="GB74">
        <f t="shared" ca="1" si="376"/>
        <v>504423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104423</v>
      </c>
      <c r="GN74">
        <f t="shared" ca="1" si="387"/>
        <v>5221.1500000000005</v>
      </c>
      <c r="GO74">
        <f t="shared" ca="1" si="388"/>
        <v>5221</v>
      </c>
      <c r="GP74">
        <f t="shared" ca="1" si="389"/>
        <v>0</v>
      </c>
      <c r="GQ74">
        <f t="shared" ca="1" si="390"/>
        <v>0</v>
      </c>
      <c r="GR74">
        <f t="shared" ca="1" si="391"/>
        <v>5221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5221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3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7400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578713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526313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496313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496313</v>
      </c>
      <c r="FP75">
        <f t="shared" si="365"/>
        <v>12316</v>
      </c>
      <c r="FQ75">
        <f t="shared" si="366"/>
        <v>0</v>
      </c>
      <c r="FR75">
        <f t="shared" si="367"/>
        <v>12316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952</v>
      </c>
      <c r="FZ75">
        <f t="shared" ca="1" si="374"/>
        <v>579665</v>
      </c>
      <c r="GA75">
        <f t="shared" si="375"/>
        <v>75000</v>
      </c>
      <c r="GB75">
        <f t="shared" ca="1" si="376"/>
        <v>504665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104665</v>
      </c>
      <c r="GN75">
        <f t="shared" ca="1" si="387"/>
        <v>5233.25</v>
      </c>
      <c r="GO75">
        <f t="shared" ca="1" si="388"/>
        <v>5233</v>
      </c>
      <c r="GP75">
        <f t="shared" ca="1" si="389"/>
        <v>0</v>
      </c>
      <c r="GQ75">
        <f t="shared" ca="1" si="390"/>
        <v>0</v>
      </c>
      <c r="GR75">
        <f t="shared" ca="1" si="391"/>
        <v>5233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5233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3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53300</v>
      </c>
      <c r="BS76">
        <f t="shared" si="324"/>
        <v>9594</v>
      </c>
      <c r="BT76">
        <f t="shared" si="325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6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7"/>
        <v>200</v>
      </c>
      <c r="CA76">
        <f t="shared" si="328"/>
        <v>63990</v>
      </c>
      <c r="CB76">
        <f>_xlfn.XLOOKUP(B76,'[8]october-2026'!$A:$A,'[8]october-2026'!$C:$C,0,0)</f>
        <v>53300</v>
      </c>
      <c r="CC76">
        <f t="shared" si="329"/>
        <v>9594</v>
      </c>
      <c r="CD76">
        <f t="shared" si="330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1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2"/>
        <v>200</v>
      </c>
      <c r="CK76">
        <f t="shared" si="333"/>
        <v>63990</v>
      </c>
      <c r="CL76">
        <f>_xlfn.XLOOKUP(B76,'[9]november-2026'!$A:$A,'[9]november-2026'!$C:$C,0,0)</f>
        <v>53300</v>
      </c>
      <c r="CM76">
        <f t="shared" si="334"/>
        <v>9594</v>
      </c>
      <c r="CN76">
        <f t="shared" si="335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6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7"/>
        <v>200</v>
      </c>
      <c r="CU76">
        <f t="shared" si="338"/>
        <v>63990</v>
      </c>
      <c r="CV76">
        <f>_xlfn.XLOOKUP(B76,'[10]december-2026'!$A:$A,'[10]december-2026'!$C:$C,0,0)</f>
        <v>53300</v>
      </c>
      <c r="CW76">
        <f t="shared" si="339"/>
        <v>9594</v>
      </c>
      <c r="CX76">
        <f t="shared" si="340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200</v>
      </c>
      <c r="DE76">
        <f t="shared" si="343"/>
        <v>63990</v>
      </c>
      <c r="DF76">
        <f xml:space="preserve"> _xlfn.XLOOKUP(B76,
'[11]january-2027'!$A:$A,
'[11]january-2027'!$C:$C,
0,0)</f>
        <v>53300</v>
      </c>
      <c r="DG76">
        <f t="shared" si="344"/>
        <v>9594</v>
      </c>
      <c r="DH76">
        <f t="shared" si="345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200</v>
      </c>
      <c r="DO76">
        <f t="shared" si="348"/>
        <v>63990</v>
      </c>
      <c r="DP76">
        <f xml:space="preserve"> _xlfn.XLOOKUP(B76,
'[12]february-2027'!$A:$A,
'[12]february-2027'!$C:$C,
0,0)</f>
        <v>53300</v>
      </c>
      <c r="DQ76">
        <f t="shared" si="349"/>
        <v>9594</v>
      </c>
      <c r="DR76">
        <f t="shared" si="350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1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2"/>
        <v>200</v>
      </c>
      <c r="DY76">
        <f t="shared" si="353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834034</v>
      </c>
      <c r="EN76">
        <f t="shared" si="356"/>
        <v>2400</v>
      </c>
      <c r="EO76">
        <f t="shared" si="357"/>
        <v>50000</v>
      </c>
      <c r="EP76">
        <v>0</v>
      </c>
      <c r="EQ76">
        <f t="shared" si="358"/>
        <v>781634</v>
      </c>
      <c r="ER76">
        <f t="shared" si="359"/>
        <v>72000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72000</v>
      </c>
      <c r="FE76">
        <f t="shared" si="362"/>
        <v>72000</v>
      </c>
      <c r="FF76">
        <f t="shared" si="363"/>
        <v>709634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709634</v>
      </c>
      <c r="FP76">
        <f t="shared" si="365"/>
        <v>12500</v>
      </c>
      <c r="FQ76">
        <f t="shared" si="366"/>
        <v>41927</v>
      </c>
      <c r="FR76">
        <f t="shared" si="367"/>
        <v>54427</v>
      </c>
      <c r="FS76">
        <f t="shared" si="368"/>
        <v>54427</v>
      </c>
      <c r="FT76">
        <f t="shared" si="369"/>
        <v>2177.08</v>
      </c>
      <c r="FU76">
        <f t="shared" si="370"/>
        <v>56604</v>
      </c>
      <c r="FV76">
        <v>0</v>
      </c>
      <c r="FW76">
        <f t="shared" si="371"/>
        <v>56604</v>
      </c>
      <c r="FX76" t="b">
        <f t="shared" si="372"/>
        <v>1</v>
      </c>
      <c r="FY76">
        <f t="shared" ca="1" si="373"/>
        <v>898</v>
      </c>
      <c r="FZ76">
        <f t="shared" ca="1" si="374"/>
        <v>834932</v>
      </c>
      <c r="GA76">
        <f t="shared" si="375"/>
        <v>75000</v>
      </c>
      <c r="GB76">
        <f t="shared" ca="1" si="376"/>
        <v>759932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359932</v>
      </c>
      <c r="GN76">
        <f t="shared" ca="1" si="387"/>
        <v>17996.600000000002</v>
      </c>
      <c r="GO76">
        <f t="shared" ca="1" si="388"/>
        <v>17997</v>
      </c>
      <c r="GP76">
        <f t="shared" ca="1" si="389"/>
        <v>0</v>
      </c>
      <c r="GQ76">
        <f t="shared" ca="1" si="390"/>
        <v>0</v>
      </c>
      <c r="GR76">
        <f t="shared" ca="1" si="391"/>
        <v>17997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17997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3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658</v>
      </c>
      <c r="FZ77">
        <f t="shared" ca="1" si="374"/>
        <v>776053</v>
      </c>
      <c r="GA77">
        <f t="shared" si="375"/>
        <v>75000</v>
      </c>
      <c r="GB77">
        <f t="shared" ca="1" si="376"/>
        <v>701053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301053</v>
      </c>
      <c r="GN77">
        <f t="shared" ca="1" si="387"/>
        <v>15052.650000000001</v>
      </c>
      <c r="GO77">
        <f t="shared" ca="1" si="388"/>
        <v>15053</v>
      </c>
      <c r="GP77">
        <f t="shared" ca="1" si="389"/>
        <v>0</v>
      </c>
      <c r="GQ77">
        <f t="shared" ca="1" si="390"/>
        <v>0</v>
      </c>
      <c r="GR77">
        <f t="shared" ca="1" si="391"/>
        <v>15053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15053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3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7400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487716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435516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411516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411516</v>
      </c>
      <c r="FP78">
        <f t="shared" si="365"/>
        <v>8076</v>
      </c>
      <c r="FQ78">
        <f t="shared" si="366"/>
        <v>0</v>
      </c>
      <c r="FR78">
        <f t="shared" si="367"/>
        <v>8076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2157</v>
      </c>
      <c r="FZ78">
        <f t="shared" ca="1" si="374"/>
        <v>489873</v>
      </c>
      <c r="GA78">
        <f t="shared" si="375"/>
        <v>75000</v>
      </c>
      <c r="GB78">
        <f t="shared" ca="1" si="376"/>
        <v>414873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14873</v>
      </c>
      <c r="GN78">
        <f t="shared" ca="1" si="387"/>
        <v>743.65000000000009</v>
      </c>
      <c r="GO78">
        <f t="shared" ca="1" si="388"/>
        <v>744</v>
      </c>
      <c r="GP78">
        <f t="shared" ca="1" si="389"/>
        <v>0</v>
      </c>
      <c r="GQ78">
        <f t="shared" ca="1" si="390"/>
        <v>0</v>
      </c>
      <c r="GR78">
        <f t="shared" ca="1" si="391"/>
        <v>744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744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3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7400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583517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531117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471117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471117</v>
      </c>
      <c r="FP79">
        <f t="shared" si="365"/>
        <v>11056</v>
      </c>
      <c r="FQ79">
        <f t="shared" si="366"/>
        <v>0</v>
      </c>
      <c r="FR79">
        <f t="shared" si="367"/>
        <v>11056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905</v>
      </c>
      <c r="FZ79">
        <f t="shared" ca="1" si="374"/>
        <v>584422</v>
      </c>
      <c r="GA79">
        <f t="shared" si="375"/>
        <v>75000</v>
      </c>
      <c r="GB79">
        <f t="shared" ca="1" si="376"/>
        <v>509422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109422</v>
      </c>
      <c r="GN79">
        <f t="shared" ca="1" si="387"/>
        <v>5471.1</v>
      </c>
      <c r="GO79">
        <f t="shared" ca="1" si="388"/>
        <v>5471</v>
      </c>
      <c r="GP79">
        <f t="shared" ca="1" si="389"/>
        <v>0</v>
      </c>
      <c r="GQ79">
        <f t="shared" ca="1" si="390"/>
        <v>0</v>
      </c>
      <c r="GR79">
        <f t="shared" ca="1" si="391"/>
        <v>5471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5471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3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7400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578718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526318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496318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496318</v>
      </c>
      <c r="FP80">
        <f t="shared" si="365"/>
        <v>12316</v>
      </c>
      <c r="FQ80">
        <f t="shared" si="366"/>
        <v>0</v>
      </c>
      <c r="FR80">
        <f t="shared" si="367"/>
        <v>12316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504</v>
      </c>
      <c r="FZ80">
        <f t="shared" ca="1" si="374"/>
        <v>579222</v>
      </c>
      <c r="GA80">
        <f t="shared" si="375"/>
        <v>75000</v>
      </c>
      <c r="GB80">
        <f t="shared" ca="1" si="376"/>
        <v>504222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104222</v>
      </c>
      <c r="GN80">
        <f t="shared" ca="1" si="387"/>
        <v>5211.1000000000004</v>
      </c>
      <c r="GO80">
        <f t="shared" ca="1" si="388"/>
        <v>5211</v>
      </c>
      <c r="GP80">
        <f t="shared" ca="1" si="389"/>
        <v>0</v>
      </c>
      <c r="GQ80">
        <f t="shared" ca="1" si="390"/>
        <v>0</v>
      </c>
      <c r="GR80">
        <f t="shared" ca="1" si="391"/>
        <v>5211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5211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3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7400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40550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2000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40550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2000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40550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2000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40550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2000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41929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2000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41850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2000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41850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2000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41850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2000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41850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2000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41850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2000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41850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2000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41850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530879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478479</v>
      </c>
      <c r="ER81">
        <f t="shared" si="359"/>
        <v>24000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24000</v>
      </c>
      <c r="FE81">
        <f t="shared" si="362"/>
        <v>24000</v>
      </c>
      <c r="FF81">
        <f t="shared" si="363"/>
        <v>454479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454479</v>
      </c>
      <c r="FP81">
        <f t="shared" si="365"/>
        <v>10224</v>
      </c>
      <c r="FQ81">
        <f t="shared" si="366"/>
        <v>0</v>
      </c>
      <c r="FR81">
        <f t="shared" si="367"/>
        <v>10224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717</v>
      </c>
      <c r="FZ81">
        <f t="shared" ca="1" si="374"/>
        <v>531596</v>
      </c>
      <c r="GA81">
        <f t="shared" si="375"/>
        <v>75000</v>
      </c>
      <c r="GB81">
        <f t="shared" ca="1" si="376"/>
        <v>456596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56596</v>
      </c>
      <c r="GN81">
        <f t="shared" ca="1" si="387"/>
        <v>2829.8</v>
      </c>
      <c r="GO81">
        <f t="shared" ca="1" si="388"/>
        <v>2830</v>
      </c>
      <c r="GP81">
        <f t="shared" ca="1" si="389"/>
        <v>0</v>
      </c>
      <c r="GQ81">
        <f t="shared" ca="1" si="390"/>
        <v>0</v>
      </c>
      <c r="GR81">
        <f t="shared" ca="1" si="391"/>
        <v>2830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2830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3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7400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40550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2000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40550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2000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40550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2000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40550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2000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41930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2000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41850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2000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41850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2000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41850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2000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41850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2000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41850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2000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41850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2000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41850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530880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478480</v>
      </c>
      <c r="ER82">
        <f t="shared" si="359"/>
        <v>24000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24000</v>
      </c>
      <c r="FE82">
        <f t="shared" si="362"/>
        <v>24000</v>
      </c>
      <c r="FF82">
        <f t="shared" si="363"/>
        <v>454480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454480</v>
      </c>
      <c r="FP82">
        <f t="shared" si="365"/>
        <v>10224</v>
      </c>
      <c r="FQ82">
        <f t="shared" si="366"/>
        <v>0</v>
      </c>
      <c r="FR82">
        <f t="shared" si="367"/>
        <v>10224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634</v>
      </c>
      <c r="FZ82">
        <f t="shared" ca="1" si="374"/>
        <v>531514</v>
      </c>
      <c r="GA82">
        <f t="shared" si="375"/>
        <v>75000</v>
      </c>
      <c r="GB82">
        <f t="shared" ca="1" si="376"/>
        <v>456514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56514</v>
      </c>
      <c r="GN82">
        <f t="shared" ca="1" si="387"/>
        <v>2825.7000000000003</v>
      </c>
      <c r="GO82">
        <f t="shared" ca="1" si="388"/>
        <v>2826</v>
      </c>
      <c r="GP82">
        <f t="shared" ca="1" si="389"/>
        <v>0</v>
      </c>
      <c r="GQ82">
        <f t="shared" ca="1" si="390"/>
        <v>0</v>
      </c>
      <c r="GR82">
        <f t="shared" ca="1" si="391"/>
        <v>2826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2826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3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7400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481721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429921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405921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405921</v>
      </c>
      <c r="FP83">
        <f t="shared" si="365"/>
        <v>7796</v>
      </c>
      <c r="FQ83">
        <f t="shared" si="366"/>
        <v>0</v>
      </c>
      <c r="FR83">
        <f t="shared" si="367"/>
        <v>7796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1691</v>
      </c>
      <c r="FZ83">
        <f t="shared" ca="1" si="374"/>
        <v>483412</v>
      </c>
      <c r="GA83">
        <f t="shared" si="375"/>
        <v>75000</v>
      </c>
      <c r="GB83">
        <f t="shared" ca="1" si="376"/>
        <v>408412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8412</v>
      </c>
      <c r="GN83">
        <f t="shared" ca="1" si="387"/>
        <v>420.6</v>
      </c>
      <c r="GO83">
        <f t="shared" ca="1" si="388"/>
        <v>421</v>
      </c>
      <c r="GP83">
        <f t="shared" ca="1" si="389"/>
        <v>0</v>
      </c>
      <c r="GQ83">
        <f t="shared" ca="1" si="390"/>
        <v>0</v>
      </c>
      <c r="GR83">
        <f t="shared" ca="1" si="391"/>
        <v>421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421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3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7400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583522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531122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501122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501122</v>
      </c>
      <c r="FP84">
        <f t="shared" si="365"/>
        <v>12500</v>
      </c>
      <c r="FQ84">
        <f t="shared" si="366"/>
        <v>224</v>
      </c>
      <c r="FR84">
        <f t="shared" si="367"/>
        <v>12724</v>
      </c>
      <c r="FS84">
        <f t="shared" si="368"/>
        <v>12724</v>
      </c>
      <c r="FT84">
        <f t="shared" si="369"/>
        <v>508.96000000000004</v>
      </c>
      <c r="FU84">
        <f t="shared" si="370"/>
        <v>13233</v>
      </c>
      <c r="FV84">
        <v>0</v>
      </c>
      <c r="FW84">
        <f t="shared" si="371"/>
        <v>13233</v>
      </c>
      <c r="FX84" t="b">
        <f t="shared" si="372"/>
        <v>1</v>
      </c>
      <c r="FY84">
        <f t="shared" ca="1" si="373"/>
        <v>691</v>
      </c>
      <c r="FZ84">
        <f t="shared" ca="1" si="374"/>
        <v>584213</v>
      </c>
      <c r="GA84">
        <f t="shared" si="375"/>
        <v>75000</v>
      </c>
      <c r="GB84">
        <f t="shared" ca="1" si="376"/>
        <v>509213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109213</v>
      </c>
      <c r="GN84">
        <f t="shared" ca="1" si="387"/>
        <v>5460.6500000000005</v>
      </c>
      <c r="GO84">
        <f t="shared" ca="1" si="388"/>
        <v>5461</v>
      </c>
      <c r="GP84">
        <f t="shared" ca="1" si="389"/>
        <v>0</v>
      </c>
      <c r="GQ84">
        <f t="shared" ca="1" si="390"/>
        <v>0</v>
      </c>
      <c r="GR84">
        <f t="shared" ca="1" si="391"/>
        <v>5461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5461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3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7400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556083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503683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473683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473683</v>
      </c>
      <c r="FP85">
        <f t="shared" si="365"/>
        <v>11184</v>
      </c>
      <c r="FQ85">
        <f t="shared" si="366"/>
        <v>0</v>
      </c>
      <c r="FR85">
        <f t="shared" si="367"/>
        <v>11184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955</v>
      </c>
      <c r="FZ85">
        <f t="shared" ca="1" si="374"/>
        <v>557038</v>
      </c>
      <c r="GA85">
        <f t="shared" si="375"/>
        <v>75000</v>
      </c>
      <c r="GB85">
        <f t="shared" ca="1" si="376"/>
        <v>482038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82038</v>
      </c>
      <c r="GN85">
        <f t="shared" ca="1" si="387"/>
        <v>4101.9000000000005</v>
      </c>
      <c r="GO85">
        <f t="shared" ca="1" si="388"/>
        <v>4102</v>
      </c>
      <c r="GP85">
        <f t="shared" ca="1" si="389"/>
        <v>0</v>
      </c>
      <c r="GQ85">
        <f t="shared" ca="1" si="390"/>
        <v>0</v>
      </c>
      <c r="GR85">
        <f t="shared" ca="1" si="391"/>
        <v>4102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4102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3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7400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566884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514484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478484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478484</v>
      </c>
      <c r="FP86">
        <f t="shared" si="365"/>
        <v>11424</v>
      </c>
      <c r="FQ86">
        <f t="shared" si="366"/>
        <v>0</v>
      </c>
      <c r="FR86">
        <f t="shared" si="367"/>
        <v>11424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908</v>
      </c>
      <c r="FZ86">
        <f t="shared" ca="1" si="374"/>
        <v>567792</v>
      </c>
      <c r="GA86">
        <f t="shared" si="375"/>
        <v>75000</v>
      </c>
      <c r="GB86">
        <f t="shared" ca="1" si="376"/>
        <v>492792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92792</v>
      </c>
      <c r="GN86">
        <f t="shared" ca="1" si="387"/>
        <v>4639.6000000000004</v>
      </c>
      <c r="GO86">
        <f t="shared" ca="1" si="388"/>
        <v>4640</v>
      </c>
      <c r="GP86">
        <f t="shared" ca="1" si="389"/>
        <v>0</v>
      </c>
      <c r="GQ86">
        <f t="shared" ca="1" si="390"/>
        <v>0</v>
      </c>
      <c r="GR86">
        <f t="shared" ca="1" si="391"/>
        <v>4640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4640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3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7400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501765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449365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425365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425365</v>
      </c>
      <c r="FP87">
        <f t="shared" si="365"/>
        <v>8768</v>
      </c>
      <c r="FQ87">
        <f t="shared" si="366"/>
        <v>0</v>
      </c>
      <c r="FR87">
        <f t="shared" si="367"/>
        <v>8768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586</v>
      </c>
      <c r="FZ87">
        <f t="shared" ca="1" si="374"/>
        <v>502351</v>
      </c>
      <c r="GA87">
        <f t="shared" si="375"/>
        <v>75000</v>
      </c>
      <c r="GB87">
        <f t="shared" ca="1" si="376"/>
        <v>427351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27351</v>
      </c>
      <c r="GN87">
        <f t="shared" ca="1" si="387"/>
        <v>1367.5500000000002</v>
      </c>
      <c r="GO87">
        <f t="shared" ca="1" si="388"/>
        <v>1368</v>
      </c>
      <c r="GP87">
        <f t="shared" ca="1" si="389"/>
        <v>0</v>
      </c>
      <c r="GQ87">
        <f t="shared" ca="1" si="390"/>
        <v>0</v>
      </c>
      <c r="GR87">
        <f t="shared" ca="1" si="391"/>
        <v>1368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1368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3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542</v>
      </c>
      <c r="FZ88">
        <f t="shared" ca="1" si="374"/>
        <v>810148</v>
      </c>
      <c r="GA88">
        <f t="shared" si="375"/>
        <v>75000</v>
      </c>
      <c r="GB88">
        <f t="shared" ca="1" si="376"/>
        <v>735148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335148</v>
      </c>
      <c r="GN88">
        <f t="shared" ca="1" si="387"/>
        <v>16757.400000000001</v>
      </c>
      <c r="GO88">
        <f t="shared" ca="1" si="388"/>
        <v>16757</v>
      </c>
      <c r="GP88">
        <f t="shared" ca="1" si="389"/>
        <v>0</v>
      </c>
      <c r="GQ88">
        <f t="shared" ca="1" si="390"/>
        <v>0</v>
      </c>
      <c r="GR88">
        <f t="shared" ca="1" si="391"/>
        <v>16757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16757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3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7400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572727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520327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484327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484327</v>
      </c>
      <c r="FP89">
        <f t="shared" si="365"/>
        <v>11716</v>
      </c>
      <c r="FQ89">
        <f t="shared" si="366"/>
        <v>0</v>
      </c>
      <c r="FR89">
        <f t="shared" si="367"/>
        <v>11716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582</v>
      </c>
      <c r="FZ89">
        <f t="shared" ca="1" si="374"/>
        <v>573309</v>
      </c>
      <c r="GA89">
        <f t="shared" si="375"/>
        <v>75000</v>
      </c>
      <c r="GB89">
        <f t="shared" ca="1" si="376"/>
        <v>498309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98309</v>
      </c>
      <c r="GN89">
        <f t="shared" ca="1" si="387"/>
        <v>4915.4500000000007</v>
      </c>
      <c r="GO89">
        <f t="shared" ca="1" si="388"/>
        <v>4915</v>
      </c>
      <c r="GP89">
        <f t="shared" ca="1" si="389"/>
        <v>0</v>
      </c>
      <c r="GQ89">
        <f t="shared" ca="1" si="390"/>
        <v>0</v>
      </c>
      <c r="GR89">
        <f t="shared" ca="1" si="391"/>
        <v>4915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4915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3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7400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530888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478488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454488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454488</v>
      </c>
      <c r="FP90">
        <f t="shared" si="365"/>
        <v>10224</v>
      </c>
      <c r="FQ90">
        <f t="shared" si="366"/>
        <v>0</v>
      </c>
      <c r="FR90">
        <f t="shared" si="367"/>
        <v>10224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723</v>
      </c>
      <c r="FZ90">
        <f t="shared" ca="1" si="374"/>
        <v>531611</v>
      </c>
      <c r="GA90">
        <f t="shared" si="375"/>
        <v>75000</v>
      </c>
      <c r="GB90">
        <f t="shared" ca="1" si="376"/>
        <v>456611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56611</v>
      </c>
      <c r="GN90">
        <f t="shared" ca="1" si="387"/>
        <v>2830.55</v>
      </c>
      <c r="GO90">
        <f t="shared" ca="1" si="388"/>
        <v>2831</v>
      </c>
      <c r="GP90">
        <f t="shared" ca="1" si="389"/>
        <v>0</v>
      </c>
      <c r="GQ90">
        <f t="shared" ca="1" si="390"/>
        <v>0</v>
      </c>
      <c r="GR90">
        <f t="shared" ca="1" si="391"/>
        <v>2831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2831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3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976</v>
      </c>
      <c r="FZ91">
        <f t="shared" ca="1" si="374"/>
        <v>920305</v>
      </c>
      <c r="GA91">
        <f t="shared" si="375"/>
        <v>75000</v>
      </c>
      <c r="GB91">
        <f t="shared" ca="1" si="376"/>
        <v>845305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45305</v>
      </c>
      <c r="GL91">
        <f t="shared" ca="1" si="385"/>
        <v>4530.5</v>
      </c>
      <c r="GM91">
        <f t="shared" ca="1" si="386"/>
        <v>400000</v>
      </c>
      <c r="GN91">
        <f t="shared" ca="1" si="387"/>
        <v>20000</v>
      </c>
      <c r="GO91">
        <f t="shared" ca="1" si="388"/>
        <v>24531</v>
      </c>
      <c r="GP91">
        <f t="shared" ca="1" si="389"/>
        <v>0</v>
      </c>
      <c r="GQ91">
        <f t="shared" ca="1" si="390"/>
        <v>0</v>
      </c>
      <c r="GR91">
        <f t="shared" ca="1" si="391"/>
        <v>24531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24531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3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60550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3000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60550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3000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60550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3000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60550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3000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62590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3000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62500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3000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62500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3000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62500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3000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62500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3000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62500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3000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62500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3000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62500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36000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36720</v>
      </c>
      <c r="FE92">
        <f t="shared" si="362"/>
        <v>36720</v>
      </c>
      <c r="FF92">
        <f t="shared" si="363"/>
        <v>692290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692290</v>
      </c>
      <c r="FP92">
        <f t="shared" si="365"/>
        <v>12500</v>
      </c>
      <c r="FQ92">
        <f t="shared" si="366"/>
        <v>38458</v>
      </c>
      <c r="FR92">
        <f t="shared" si="367"/>
        <v>50958</v>
      </c>
      <c r="FS92">
        <f t="shared" si="368"/>
        <v>50958</v>
      </c>
      <c r="FT92">
        <f t="shared" si="369"/>
        <v>2038.32</v>
      </c>
      <c r="FU92">
        <f t="shared" si="370"/>
        <v>52996</v>
      </c>
      <c r="FV92">
        <v>0</v>
      </c>
      <c r="FW92">
        <f t="shared" si="371"/>
        <v>52996</v>
      </c>
      <c r="FX92" t="b">
        <f t="shared" si="372"/>
        <v>1</v>
      </c>
      <c r="FY92">
        <f t="shared" ca="1" si="373"/>
        <v>862</v>
      </c>
      <c r="FZ92">
        <f t="shared" ca="1" si="374"/>
        <v>782272</v>
      </c>
      <c r="GA92">
        <f t="shared" si="375"/>
        <v>75000</v>
      </c>
      <c r="GB92">
        <f t="shared" ca="1" si="376"/>
        <v>707272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307272</v>
      </c>
      <c r="GN92">
        <f t="shared" ca="1" si="387"/>
        <v>15363.6</v>
      </c>
      <c r="GO92">
        <f t="shared" ca="1" si="388"/>
        <v>15364</v>
      </c>
      <c r="GP92">
        <f t="shared" ca="1" si="389"/>
        <v>0</v>
      </c>
      <c r="GQ92">
        <f t="shared" ca="1" si="390"/>
        <v>0</v>
      </c>
      <c r="GR92">
        <f t="shared" ca="1" si="391"/>
        <v>15364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15364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3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7400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595891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543491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507491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507491</v>
      </c>
      <c r="FP93">
        <f t="shared" si="365"/>
        <v>12500</v>
      </c>
      <c r="FQ93">
        <f t="shared" si="366"/>
        <v>1498</v>
      </c>
      <c r="FR93">
        <f t="shared" si="367"/>
        <v>13998</v>
      </c>
      <c r="FS93">
        <f t="shared" si="368"/>
        <v>13998</v>
      </c>
      <c r="FT93">
        <f t="shared" si="369"/>
        <v>559.91999999999996</v>
      </c>
      <c r="FU93">
        <f t="shared" si="370"/>
        <v>14558</v>
      </c>
      <c r="FV93">
        <v>0</v>
      </c>
      <c r="FW93">
        <f t="shared" si="371"/>
        <v>14558</v>
      </c>
      <c r="FX93" t="b">
        <f t="shared" si="372"/>
        <v>1</v>
      </c>
      <c r="FY93">
        <f t="shared" ca="1" si="373"/>
        <v>745</v>
      </c>
      <c r="FZ93">
        <f t="shared" ca="1" si="374"/>
        <v>596636</v>
      </c>
      <c r="GA93">
        <f t="shared" si="375"/>
        <v>75000</v>
      </c>
      <c r="GB93">
        <f t="shared" ca="1" si="376"/>
        <v>521636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121636</v>
      </c>
      <c r="GN93">
        <f t="shared" ca="1" si="387"/>
        <v>6081.8</v>
      </c>
      <c r="GO93">
        <f t="shared" ca="1" si="388"/>
        <v>6082</v>
      </c>
      <c r="GP93">
        <f t="shared" ca="1" si="389"/>
        <v>0</v>
      </c>
      <c r="GQ93">
        <f t="shared" ca="1" si="390"/>
        <v>0</v>
      </c>
      <c r="GR93">
        <f t="shared" ca="1" si="391"/>
        <v>6082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6082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3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7400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578732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526332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490332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490332</v>
      </c>
      <c r="FP94">
        <f t="shared" si="365"/>
        <v>12017</v>
      </c>
      <c r="FQ94">
        <f t="shared" si="366"/>
        <v>0</v>
      </c>
      <c r="FR94">
        <f t="shared" si="367"/>
        <v>12017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711</v>
      </c>
      <c r="FZ94">
        <f t="shared" ca="1" si="374"/>
        <v>579443</v>
      </c>
      <c r="GA94">
        <f t="shared" si="375"/>
        <v>75000</v>
      </c>
      <c r="GB94">
        <f t="shared" ca="1" si="376"/>
        <v>504443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104443</v>
      </c>
      <c r="GN94">
        <f t="shared" ca="1" si="387"/>
        <v>5222.1500000000005</v>
      </c>
      <c r="GO94">
        <f t="shared" ca="1" si="388"/>
        <v>5222</v>
      </c>
      <c r="GP94">
        <f t="shared" ca="1" si="389"/>
        <v>0</v>
      </c>
      <c r="GQ94">
        <f t="shared" ca="1" si="390"/>
        <v>0</v>
      </c>
      <c r="GR94">
        <f t="shared" ca="1" si="391"/>
        <v>5222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5222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3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7400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487733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435533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411533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411533</v>
      </c>
      <c r="FP95">
        <f t="shared" si="365"/>
        <v>8077</v>
      </c>
      <c r="FQ95">
        <f t="shared" si="366"/>
        <v>0</v>
      </c>
      <c r="FR95">
        <f t="shared" si="367"/>
        <v>8077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2828</v>
      </c>
      <c r="FZ95">
        <f t="shared" ca="1" si="374"/>
        <v>490561</v>
      </c>
      <c r="GA95">
        <f t="shared" si="375"/>
        <v>75000</v>
      </c>
      <c r="GB95">
        <f t="shared" ca="1" si="376"/>
        <v>415561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15561</v>
      </c>
      <c r="GN95">
        <f t="shared" ca="1" si="387"/>
        <v>778.05000000000007</v>
      </c>
      <c r="GO95">
        <f t="shared" ca="1" si="388"/>
        <v>778</v>
      </c>
      <c r="GP95">
        <f t="shared" ca="1" si="389"/>
        <v>0</v>
      </c>
      <c r="GQ95">
        <f t="shared" ca="1" si="390"/>
        <v>0</v>
      </c>
      <c r="GR95">
        <f t="shared" ca="1" si="391"/>
        <v>778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778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3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7400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578734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526334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496334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496334</v>
      </c>
      <c r="FP96">
        <f t="shared" si="365"/>
        <v>12317</v>
      </c>
      <c r="FQ96">
        <f t="shared" si="366"/>
        <v>0</v>
      </c>
      <c r="FR96">
        <f t="shared" si="367"/>
        <v>12317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567</v>
      </c>
      <c r="FZ96">
        <f t="shared" ca="1" si="374"/>
        <v>579301</v>
      </c>
      <c r="GA96">
        <f t="shared" si="375"/>
        <v>75000</v>
      </c>
      <c r="GB96">
        <f t="shared" ca="1" si="376"/>
        <v>504301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104301</v>
      </c>
      <c r="GN96">
        <f t="shared" ca="1" si="387"/>
        <v>5215.05</v>
      </c>
      <c r="GO96">
        <f t="shared" ca="1" si="388"/>
        <v>5215</v>
      </c>
      <c r="GP96">
        <f t="shared" ca="1" si="389"/>
        <v>0</v>
      </c>
      <c r="GQ96">
        <f t="shared" ca="1" si="390"/>
        <v>0</v>
      </c>
      <c r="GR96">
        <f t="shared" ca="1" si="391"/>
        <v>5215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5215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3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7400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430535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378735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354735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354735</v>
      </c>
      <c r="FP97">
        <f t="shared" si="365"/>
        <v>5237</v>
      </c>
      <c r="FQ97">
        <f t="shared" si="366"/>
        <v>0</v>
      </c>
      <c r="FR97">
        <f t="shared" si="367"/>
        <v>5237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2431</v>
      </c>
      <c r="FZ97">
        <f t="shared" ca="1" si="374"/>
        <v>432966</v>
      </c>
      <c r="GA97">
        <f t="shared" si="375"/>
        <v>75000</v>
      </c>
      <c r="GB97">
        <f t="shared" ca="1" si="376"/>
        <v>357966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3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7400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487736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435536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411536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411536</v>
      </c>
      <c r="FP98">
        <f t="shared" si="365"/>
        <v>8077</v>
      </c>
      <c r="FQ98">
        <f t="shared" si="366"/>
        <v>0</v>
      </c>
      <c r="FR98">
        <f t="shared" si="367"/>
        <v>8077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1920</v>
      </c>
      <c r="FZ98">
        <f t="shared" ca="1" si="374"/>
        <v>489656</v>
      </c>
      <c r="GA98">
        <f t="shared" si="375"/>
        <v>75000</v>
      </c>
      <c r="GB98">
        <f t="shared" ca="1" si="376"/>
        <v>414656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14656</v>
      </c>
      <c r="GN98">
        <f t="shared" ca="1" si="387"/>
        <v>732.80000000000007</v>
      </c>
      <c r="GO98">
        <f t="shared" ca="1" si="388"/>
        <v>733</v>
      </c>
      <c r="GP98">
        <f t="shared" ca="1" si="389"/>
        <v>0</v>
      </c>
      <c r="GQ98">
        <f t="shared" ca="1" si="390"/>
        <v>0</v>
      </c>
      <c r="GR98">
        <f t="shared" ca="1" si="391"/>
        <v>733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733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3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7400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2000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35420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2000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35420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458337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406537</v>
      </c>
      <c r="ER99">
        <f t="shared" ref="ER99" si="401">DV99+DL99+DB99+CR99+CH99+BX99+BN99+BD99+AS99+AI99+Y99+O99</f>
        <v>4000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4000</v>
      </c>
      <c r="FE99">
        <f t="shared" ref="FE99" si="404">IF(FD99&gt;=150000,150000,FD99)</f>
        <v>4000</v>
      </c>
      <c r="FF99">
        <f t="shared" ref="FF99" si="405">EQ99-FE99</f>
        <v>402537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402537</v>
      </c>
      <c r="FP99">
        <f t="shared" ref="FP99" si="407">ROUND(IF(FO99&gt;0,IF(FO99&gt;500000,12500,(FO99-250000)*0.05),0),0)</f>
        <v>7627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7627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2405</v>
      </c>
      <c r="FZ99">
        <f t="shared" ref="FZ99" ca="1" si="416">EM99+FY99</f>
        <v>460742</v>
      </c>
      <c r="GA99">
        <f t="shared" ref="GA99" si="417">IF(EM99&gt;0,75000,0)</f>
        <v>75000</v>
      </c>
      <c r="GB99">
        <f t="shared" ref="GB99" ca="1" si="418">FZ99-GA99</f>
        <v>385742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3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7400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583538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531138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501138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501138</v>
      </c>
      <c r="FP100">
        <f t="shared" si="365"/>
        <v>12500</v>
      </c>
      <c r="FQ100">
        <f t="shared" si="366"/>
        <v>228</v>
      </c>
      <c r="FR100">
        <f t="shared" si="367"/>
        <v>12728</v>
      </c>
      <c r="FS100">
        <f t="shared" si="368"/>
        <v>12728</v>
      </c>
      <c r="FT100">
        <f t="shared" si="369"/>
        <v>509.12</v>
      </c>
      <c r="FU100">
        <f t="shared" si="370"/>
        <v>13237</v>
      </c>
      <c r="FV100">
        <v>0</v>
      </c>
      <c r="FW100">
        <f t="shared" si="371"/>
        <v>13237</v>
      </c>
      <c r="FX100" t="b">
        <f t="shared" si="372"/>
        <v>1</v>
      </c>
      <c r="FY100">
        <f t="shared" ca="1" si="373"/>
        <v>620</v>
      </c>
      <c r="FZ100">
        <f t="shared" ca="1" si="374"/>
        <v>584158</v>
      </c>
      <c r="GA100">
        <f t="shared" si="375"/>
        <v>75000</v>
      </c>
      <c r="GB100">
        <f t="shared" ca="1" si="376"/>
        <v>509158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109158</v>
      </c>
      <c r="GN100">
        <f t="shared" ca="1" si="387"/>
        <v>5457.9000000000005</v>
      </c>
      <c r="GO100">
        <f t="shared" ca="1" si="388"/>
        <v>5458</v>
      </c>
      <c r="GP100">
        <f t="shared" ca="1" si="389"/>
        <v>0</v>
      </c>
      <c r="GQ100">
        <f t="shared" ca="1" si="390"/>
        <v>0</v>
      </c>
      <c r="GR100">
        <f t="shared" ca="1" si="391"/>
        <v>5458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5458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3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7400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578739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526339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490339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490339</v>
      </c>
      <c r="FP101">
        <f t="shared" si="365"/>
        <v>12017</v>
      </c>
      <c r="FQ101">
        <f t="shared" si="366"/>
        <v>0</v>
      </c>
      <c r="FR101">
        <f t="shared" si="367"/>
        <v>12017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916</v>
      </c>
      <c r="FZ101">
        <f t="shared" ca="1" si="374"/>
        <v>579655</v>
      </c>
      <c r="GA101">
        <f t="shared" si="375"/>
        <v>75000</v>
      </c>
      <c r="GB101">
        <f t="shared" ca="1" si="376"/>
        <v>504655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104655</v>
      </c>
      <c r="GN101">
        <f t="shared" ca="1" si="387"/>
        <v>5232.75</v>
      </c>
      <c r="GO101">
        <f t="shared" ca="1" si="388"/>
        <v>5233</v>
      </c>
      <c r="GP101">
        <f t="shared" ca="1" si="389"/>
        <v>0</v>
      </c>
      <c r="GQ101">
        <f t="shared" ca="1" si="390"/>
        <v>0</v>
      </c>
      <c r="GR101">
        <f t="shared" ca="1" si="391"/>
        <v>5233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5233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3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7400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483060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430860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406860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406860</v>
      </c>
      <c r="FP102">
        <f t="shared" si="365"/>
        <v>7843</v>
      </c>
      <c r="FQ102">
        <f t="shared" si="366"/>
        <v>0</v>
      </c>
      <c r="FR102">
        <f t="shared" si="367"/>
        <v>7843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2234</v>
      </c>
      <c r="FZ102">
        <f t="shared" ca="1" si="374"/>
        <v>485294</v>
      </c>
      <c r="GA102">
        <f t="shared" si="375"/>
        <v>75000</v>
      </c>
      <c r="GB102">
        <f t="shared" ca="1" si="376"/>
        <v>410294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10294</v>
      </c>
      <c r="GN102">
        <f t="shared" ca="1" si="387"/>
        <v>514.70000000000005</v>
      </c>
      <c r="GO102">
        <f t="shared" ca="1" si="388"/>
        <v>515</v>
      </c>
      <c r="GP102">
        <f t="shared" ca="1" si="389"/>
        <v>0</v>
      </c>
      <c r="GQ102">
        <f t="shared" ca="1" si="390"/>
        <v>0</v>
      </c>
      <c r="GR102">
        <f t="shared" ca="1" si="391"/>
        <v>515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515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3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7400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40550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2000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40550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2000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40550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2000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40550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2000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41951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2000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41850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2000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41850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2000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41850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2000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41850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2000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41850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2000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41850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2000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41850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530901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478501</v>
      </c>
      <c r="ER103">
        <f t="shared" si="359"/>
        <v>24000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24000</v>
      </c>
      <c r="FE103">
        <f t="shared" si="362"/>
        <v>24000</v>
      </c>
      <c r="FF103">
        <f t="shared" si="363"/>
        <v>454501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454501</v>
      </c>
      <c r="FP103">
        <f t="shared" si="365"/>
        <v>10225</v>
      </c>
      <c r="FQ103">
        <f t="shared" si="366"/>
        <v>0</v>
      </c>
      <c r="FR103">
        <f t="shared" si="367"/>
        <v>10225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950</v>
      </c>
      <c r="FZ103">
        <f t="shared" ca="1" si="374"/>
        <v>531851</v>
      </c>
      <c r="GA103">
        <f t="shared" si="375"/>
        <v>75000</v>
      </c>
      <c r="GB103">
        <f t="shared" ca="1" si="376"/>
        <v>456851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56851</v>
      </c>
      <c r="GN103">
        <f t="shared" ca="1" si="387"/>
        <v>2842.55</v>
      </c>
      <c r="GO103">
        <f t="shared" ca="1" si="388"/>
        <v>2843</v>
      </c>
      <c r="GP103">
        <f t="shared" ca="1" si="389"/>
        <v>0</v>
      </c>
      <c r="GQ103">
        <f t="shared" ca="1" si="390"/>
        <v>0</v>
      </c>
      <c r="GR103">
        <f t="shared" ca="1" si="391"/>
        <v>2843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2843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3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7400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562102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509702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479702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479702</v>
      </c>
      <c r="FP104">
        <f t="shared" si="365"/>
        <v>11485</v>
      </c>
      <c r="FQ104">
        <f t="shared" si="366"/>
        <v>0</v>
      </c>
      <c r="FR104">
        <f t="shared" si="367"/>
        <v>11485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952</v>
      </c>
      <c r="FZ104">
        <f t="shared" ca="1" si="374"/>
        <v>563054</v>
      </c>
      <c r="GA104">
        <f t="shared" si="375"/>
        <v>75000</v>
      </c>
      <c r="GB104">
        <f t="shared" ca="1" si="376"/>
        <v>488054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88054</v>
      </c>
      <c r="GN104">
        <f t="shared" ca="1" si="387"/>
        <v>4402.7</v>
      </c>
      <c r="GO104">
        <f t="shared" ca="1" si="388"/>
        <v>4403</v>
      </c>
      <c r="GP104">
        <f t="shared" ca="1" si="389"/>
        <v>0</v>
      </c>
      <c r="GQ104">
        <f t="shared" ca="1" si="390"/>
        <v>0</v>
      </c>
      <c r="GR104">
        <f t="shared" ca="1" si="391"/>
        <v>4403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4403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3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680</v>
      </c>
      <c r="FZ105">
        <f t="shared" ca="1" si="374"/>
        <v>834743</v>
      </c>
      <c r="GA105">
        <f t="shared" si="375"/>
        <v>75000</v>
      </c>
      <c r="GB105">
        <f t="shared" ca="1" si="376"/>
        <v>759743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359743</v>
      </c>
      <c r="GN105">
        <f t="shared" ca="1" si="387"/>
        <v>17987.150000000001</v>
      </c>
      <c r="GO105">
        <f t="shared" ca="1" si="388"/>
        <v>17987</v>
      </c>
      <c r="GP105">
        <f t="shared" ca="1" si="389"/>
        <v>0</v>
      </c>
      <c r="GQ105">
        <f t="shared" ca="1" si="390"/>
        <v>0</v>
      </c>
      <c r="GR105">
        <f t="shared" ca="1" si="391"/>
        <v>17987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17987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3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7400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530904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478504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454504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454504</v>
      </c>
      <c r="FP106">
        <f t="shared" si="365"/>
        <v>10225</v>
      </c>
      <c r="FQ106">
        <f t="shared" si="366"/>
        <v>0</v>
      </c>
      <c r="FR106">
        <f t="shared" si="367"/>
        <v>10225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541</v>
      </c>
      <c r="FZ106">
        <f t="shared" ca="1" si="374"/>
        <v>531445</v>
      </c>
      <c r="GA106">
        <f t="shared" si="375"/>
        <v>75000</v>
      </c>
      <c r="GB106">
        <f t="shared" ca="1" si="376"/>
        <v>456445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56445</v>
      </c>
      <c r="GN106">
        <f t="shared" ca="1" si="387"/>
        <v>2822.25</v>
      </c>
      <c r="GO106">
        <f t="shared" ca="1" si="388"/>
        <v>2822</v>
      </c>
      <c r="GP106">
        <f t="shared" ca="1" si="389"/>
        <v>0</v>
      </c>
      <c r="GQ106">
        <f t="shared" ca="1" si="390"/>
        <v>0</v>
      </c>
      <c r="GR106">
        <f t="shared" ca="1" si="391"/>
        <v>2822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2822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3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7400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430545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378745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354745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354745</v>
      </c>
      <c r="FP107">
        <f t="shared" si="365"/>
        <v>5237</v>
      </c>
      <c r="FQ107">
        <f t="shared" si="366"/>
        <v>0</v>
      </c>
      <c r="FR107">
        <f t="shared" si="367"/>
        <v>5237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1054</v>
      </c>
      <c r="FZ107">
        <f t="shared" ca="1" si="374"/>
        <v>431599</v>
      </c>
      <c r="GA107">
        <f t="shared" si="375"/>
        <v>75000</v>
      </c>
      <c r="GB107">
        <f t="shared" ca="1" si="376"/>
        <v>356599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3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7400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583546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531146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483146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483146</v>
      </c>
      <c r="FP108">
        <f t="shared" si="365"/>
        <v>11657</v>
      </c>
      <c r="FQ108">
        <f t="shared" si="366"/>
        <v>0</v>
      </c>
      <c r="FR108">
        <f t="shared" si="367"/>
        <v>11657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948</v>
      </c>
      <c r="FZ108">
        <f t="shared" ca="1" si="374"/>
        <v>584494</v>
      </c>
      <c r="GA108">
        <f t="shared" si="375"/>
        <v>75000</v>
      </c>
      <c r="GB108">
        <f t="shared" ca="1" si="376"/>
        <v>509494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109494</v>
      </c>
      <c r="GN108">
        <f t="shared" ca="1" si="387"/>
        <v>5474.7000000000007</v>
      </c>
      <c r="GO108">
        <f t="shared" ca="1" si="388"/>
        <v>5475</v>
      </c>
      <c r="GP108">
        <f t="shared" ca="1" si="389"/>
        <v>0</v>
      </c>
      <c r="GQ108">
        <f t="shared" ca="1" si="390"/>
        <v>0</v>
      </c>
      <c r="GR108">
        <f t="shared" ca="1" si="391"/>
        <v>5475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5475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3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7400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578747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526347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478347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478347</v>
      </c>
      <c r="FP109">
        <f t="shared" si="365"/>
        <v>11417</v>
      </c>
      <c r="FQ109">
        <f t="shared" si="366"/>
        <v>0</v>
      </c>
      <c r="FR109">
        <f t="shared" si="367"/>
        <v>11417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720</v>
      </c>
      <c r="FZ109">
        <f t="shared" ca="1" si="374"/>
        <v>579467</v>
      </c>
      <c r="GA109">
        <f t="shared" si="375"/>
        <v>75000</v>
      </c>
      <c r="GB109">
        <f t="shared" ca="1" si="376"/>
        <v>504467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104467</v>
      </c>
      <c r="GN109">
        <f t="shared" ca="1" si="387"/>
        <v>5223.3500000000004</v>
      </c>
      <c r="GO109">
        <f t="shared" ca="1" si="388"/>
        <v>5223</v>
      </c>
      <c r="GP109">
        <f t="shared" ca="1" si="389"/>
        <v>0</v>
      </c>
      <c r="GQ109">
        <f t="shared" ca="1" si="390"/>
        <v>0</v>
      </c>
      <c r="GR109">
        <f t="shared" ca="1" si="391"/>
        <v>5223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5223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3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7400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530908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478508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454508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454508</v>
      </c>
      <c r="FP110">
        <f t="shared" si="365"/>
        <v>10225</v>
      </c>
      <c r="FQ110">
        <f t="shared" si="366"/>
        <v>0</v>
      </c>
      <c r="FR110">
        <f t="shared" si="367"/>
        <v>10225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771</v>
      </c>
      <c r="FZ110">
        <f t="shared" ca="1" si="374"/>
        <v>531679</v>
      </c>
      <c r="GA110">
        <f t="shared" si="375"/>
        <v>75000</v>
      </c>
      <c r="GB110">
        <f t="shared" ca="1" si="376"/>
        <v>456679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56679</v>
      </c>
      <c r="GN110">
        <f t="shared" ca="1" si="387"/>
        <v>2833.9500000000003</v>
      </c>
      <c r="GO110">
        <f t="shared" ca="1" si="388"/>
        <v>2834</v>
      </c>
      <c r="GP110">
        <f t="shared" ca="1" si="389"/>
        <v>0</v>
      </c>
      <c r="GQ110">
        <f t="shared" ca="1" si="390"/>
        <v>0</v>
      </c>
      <c r="GR110">
        <f t="shared" ca="1" si="391"/>
        <v>2834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2834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3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7400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487749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435549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411549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411549</v>
      </c>
      <c r="FP111">
        <f t="shared" si="365"/>
        <v>8077</v>
      </c>
      <c r="FQ111">
        <f t="shared" si="366"/>
        <v>0</v>
      </c>
      <c r="FR111">
        <f t="shared" si="367"/>
        <v>8077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2882</v>
      </c>
      <c r="FZ111">
        <f t="shared" ca="1" si="374"/>
        <v>490631</v>
      </c>
      <c r="GA111">
        <f t="shared" si="375"/>
        <v>75000</v>
      </c>
      <c r="GB111">
        <f t="shared" ca="1" si="376"/>
        <v>415631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15631</v>
      </c>
      <c r="GN111">
        <f t="shared" ca="1" si="387"/>
        <v>781.55000000000007</v>
      </c>
      <c r="GO111">
        <f t="shared" ca="1" si="388"/>
        <v>782</v>
      </c>
      <c r="GP111">
        <f t="shared" ca="1" si="389"/>
        <v>0</v>
      </c>
      <c r="GQ111">
        <f t="shared" ca="1" si="390"/>
        <v>0</v>
      </c>
      <c r="GR111">
        <f t="shared" ca="1" si="391"/>
        <v>782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782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3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7400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566910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514510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484510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484510</v>
      </c>
      <c r="FP112">
        <f t="shared" si="365"/>
        <v>11726</v>
      </c>
      <c r="FQ112">
        <f t="shared" si="366"/>
        <v>0</v>
      </c>
      <c r="FR112">
        <f t="shared" si="367"/>
        <v>11726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789</v>
      </c>
      <c r="FZ112">
        <f t="shared" ca="1" si="374"/>
        <v>567699</v>
      </c>
      <c r="GA112">
        <f t="shared" si="375"/>
        <v>75000</v>
      </c>
      <c r="GB112">
        <f t="shared" ca="1" si="376"/>
        <v>492699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92699</v>
      </c>
      <c r="GN112">
        <f t="shared" ca="1" si="387"/>
        <v>4634.95</v>
      </c>
      <c r="GO112">
        <f t="shared" ca="1" si="388"/>
        <v>4635</v>
      </c>
      <c r="GP112">
        <f t="shared" ca="1" si="389"/>
        <v>0</v>
      </c>
      <c r="GQ112">
        <f t="shared" ca="1" si="390"/>
        <v>0</v>
      </c>
      <c r="GR112">
        <f t="shared" ca="1" si="391"/>
        <v>4635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4635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3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7400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562111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509711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479711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479711</v>
      </c>
      <c r="FP113">
        <f t="shared" si="365"/>
        <v>11486</v>
      </c>
      <c r="FQ113">
        <f t="shared" si="366"/>
        <v>0</v>
      </c>
      <c r="FR113">
        <f t="shared" si="367"/>
        <v>11486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998</v>
      </c>
      <c r="FZ113">
        <f t="shared" ca="1" si="374"/>
        <v>563109</v>
      </c>
      <c r="GA113">
        <f t="shared" si="375"/>
        <v>75000</v>
      </c>
      <c r="GB113">
        <f t="shared" ca="1" si="376"/>
        <v>488109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88109</v>
      </c>
      <c r="GN113">
        <f t="shared" ca="1" si="387"/>
        <v>4405.45</v>
      </c>
      <c r="GO113">
        <f t="shared" ca="1" si="388"/>
        <v>4405</v>
      </c>
      <c r="GP113">
        <f t="shared" ca="1" si="389"/>
        <v>0</v>
      </c>
      <c r="GQ113">
        <f t="shared" ca="1" si="390"/>
        <v>0</v>
      </c>
      <c r="GR113">
        <f t="shared" ca="1" si="391"/>
        <v>4405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4405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3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7400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524912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472512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448512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448512</v>
      </c>
      <c r="FP114">
        <f t="shared" si="365"/>
        <v>9926</v>
      </c>
      <c r="FQ114">
        <f t="shared" si="366"/>
        <v>0</v>
      </c>
      <c r="FR114">
        <f t="shared" si="367"/>
        <v>9926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876</v>
      </c>
      <c r="FZ114">
        <f t="shared" ca="1" si="374"/>
        <v>525788</v>
      </c>
      <c r="GA114">
        <f t="shared" si="375"/>
        <v>75000</v>
      </c>
      <c r="GB114">
        <f t="shared" ca="1" si="376"/>
        <v>450788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50788</v>
      </c>
      <c r="GN114">
        <f t="shared" ca="1" si="387"/>
        <v>2539.4</v>
      </c>
      <c r="GO114">
        <f t="shared" ca="1" si="388"/>
        <v>2539</v>
      </c>
      <c r="GP114">
        <f t="shared" ca="1" si="389"/>
        <v>0</v>
      </c>
      <c r="GQ114">
        <f t="shared" ca="1" si="390"/>
        <v>0</v>
      </c>
      <c r="GR114">
        <f t="shared" ca="1" si="391"/>
        <v>2539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2539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3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653</v>
      </c>
      <c r="FZ115">
        <f t="shared" ca="1" si="374"/>
        <v>859686</v>
      </c>
      <c r="GA115">
        <f t="shared" si="375"/>
        <v>75000</v>
      </c>
      <c r="GB115">
        <f t="shared" ca="1" si="376"/>
        <v>784686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384686</v>
      </c>
      <c r="GN115">
        <f t="shared" ca="1" si="387"/>
        <v>19234.3</v>
      </c>
      <c r="GO115">
        <f t="shared" ca="1" si="388"/>
        <v>19234</v>
      </c>
      <c r="GP115">
        <f t="shared" ca="1" si="389"/>
        <v>0</v>
      </c>
      <c r="GQ115">
        <f t="shared" ca="1" si="390"/>
        <v>0</v>
      </c>
      <c r="GR115">
        <f t="shared" ca="1" si="391"/>
        <v>19234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19234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3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7400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40000</v>
      </c>
      <c r="CM116">
        <f t="shared" si="334"/>
        <v>7200</v>
      </c>
      <c r="CN116">
        <f t="shared" si="335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6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7"/>
        <v>200</v>
      </c>
      <c r="CU116">
        <f t="shared" si="338"/>
        <v>47300</v>
      </c>
      <c r="CV116">
        <f>_xlfn.XLOOKUP(B116,'[10]december-2026'!$A:$A,'[10]december-2026'!$C:$C,0,0)</f>
        <v>40000</v>
      </c>
      <c r="CW116">
        <f t="shared" si="339"/>
        <v>7200</v>
      </c>
      <c r="CX116">
        <f t="shared" si="340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1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2"/>
        <v>200</v>
      </c>
      <c r="DE116">
        <f t="shared" si="343"/>
        <v>47300</v>
      </c>
      <c r="DF116">
        <f xml:space="preserve"> _xlfn.XLOOKUP(B116,
'[11]january-2027'!$A:$A,
'[11]january-2027'!$C:$C,
0,0)</f>
        <v>40000</v>
      </c>
      <c r="DG116">
        <f t="shared" si="344"/>
        <v>7200</v>
      </c>
      <c r="DH116">
        <f t="shared" si="345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200</v>
      </c>
      <c r="DO116">
        <f t="shared" si="348"/>
        <v>47300</v>
      </c>
      <c r="DP116">
        <f xml:space="preserve"> _xlfn.XLOOKUP(B116,
'[12]february-2027'!$A:$A,
'[12]february-2027'!$C:$C,
0,0)</f>
        <v>40000</v>
      </c>
      <c r="DQ116">
        <f t="shared" si="349"/>
        <v>7200</v>
      </c>
      <c r="DR116">
        <f t="shared" si="350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1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2"/>
        <v>200</v>
      </c>
      <c r="DY116">
        <f t="shared" si="353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631274</v>
      </c>
      <c r="EN116">
        <f t="shared" si="356"/>
        <v>2400</v>
      </c>
      <c r="EO116">
        <f t="shared" si="357"/>
        <v>50000</v>
      </c>
      <c r="EP116">
        <v>0</v>
      </c>
      <c r="EQ116">
        <f t="shared" si="358"/>
        <v>578874</v>
      </c>
      <c r="ER116">
        <f t="shared" si="359"/>
        <v>60000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60000</v>
      </c>
      <c r="FE116">
        <f t="shared" si="362"/>
        <v>60000</v>
      </c>
      <c r="FF116">
        <f t="shared" si="363"/>
        <v>518874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518874</v>
      </c>
      <c r="FP116">
        <f t="shared" si="365"/>
        <v>12500</v>
      </c>
      <c r="FQ116">
        <f t="shared" si="366"/>
        <v>3775</v>
      </c>
      <c r="FR116">
        <f t="shared" si="367"/>
        <v>16275</v>
      </c>
      <c r="FS116">
        <f t="shared" si="368"/>
        <v>16275</v>
      </c>
      <c r="FT116">
        <f t="shared" si="369"/>
        <v>651</v>
      </c>
      <c r="FU116">
        <f t="shared" si="370"/>
        <v>16926</v>
      </c>
      <c r="FV116">
        <v>0</v>
      </c>
      <c r="FW116">
        <f t="shared" si="371"/>
        <v>16926</v>
      </c>
      <c r="FX116" t="b">
        <f t="shared" si="372"/>
        <v>1</v>
      </c>
      <c r="FY116">
        <f t="shared" ca="1" si="373"/>
        <v>636</v>
      </c>
      <c r="FZ116">
        <f t="shared" ca="1" si="374"/>
        <v>631910</v>
      </c>
      <c r="GA116">
        <f t="shared" si="375"/>
        <v>75000</v>
      </c>
      <c r="GB116">
        <f t="shared" ca="1" si="376"/>
        <v>556910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156910</v>
      </c>
      <c r="GN116">
        <f t="shared" ca="1" si="387"/>
        <v>7845.5</v>
      </c>
      <c r="GO116">
        <f t="shared" ca="1" si="388"/>
        <v>7846</v>
      </c>
      <c r="GP116">
        <f t="shared" ca="1" si="389"/>
        <v>0</v>
      </c>
      <c r="GQ116">
        <f t="shared" ca="1" si="390"/>
        <v>0</v>
      </c>
      <c r="GR116">
        <f t="shared" ca="1" si="391"/>
        <v>7846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7846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3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7400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520235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467835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443835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443835</v>
      </c>
      <c r="FP117">
        <f t="shared" si="365"/>
        <v>9692</v>
      </c>
      <c r="FQ117">
        <f t="shared" si="366"/>
        <v>0</v>
      </c>
      <c r="FR117">
        <f t="shared" si="367"/>
        <v>9692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542</v>
      </c>
      <c r="FZ117">
        <f t="shared" ca="1" si="374"/>
        <v>520777</v>
      </c>
      <c r="GA117">
        <f t="shared" si="375"/>
        <v>75000</v>
      </c>
      <c r="GB117">
        <f t="shared" ca="1" si="376"/>
        <v>445777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45777</v>
      </c>
      <c r="GN117">
        <f t="shared" ca="1" si="387"/>
        <v>2288.85</v>
      </c>
      <c r="GO117">
        <f t="shared" ca="1" si="388"/>
        <v>2289</v>
      </c>
      <c r="GP117">
        <f t="shared" ca="1" si="389"/>
        <v>0</v>
      </c>
      <c r="GQ117">
        <f t="shared" ca="1" si="390"/>
        <v>0</v>
      </c>
      <c r="GR117">
        <f t="shared" ca="1" si="391"/>
        <v>2289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2289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3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789</v>
      </c>
      <c r="FZ118">
        <f t="shared" ca="1" si="374"/>
        <v>882585</v>
      </c>
      <c r="GA118">
        <f t="shared" si="375"/>
        <v>75000</v>
      </c>
      <c r="GB118">
        <f t="shared" ca="1" si="376"/>
        <v>807585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7585</v>
      </c>
      <c r="GL118">
        <f t="shared" ca="1" si="385"/>
        <v>758.5</v>
      </c>
      <c r="GM118">
        <f t="shared" ca="1" si="386"/>
        <v>400000</v>
      </c>
      <c r="GN118">
        <f t="shared" ca="1" si="387"/>
        <v>20000</v>
      </c>
      <c r="GO118">
        <f t="shared" ca="1" si="388"/>
        <v>20759</v>
      </c>
      <c r="GP118">
        <f t="shared" ca="1" si="389"/>
        <v>0</v>
      </c>
      <c r="GQ118">
        <f t="shared" ca="1" si="390"/>
        <v>0</v>
      </c>
      <c r="GR118">
        <f t="shared" ca="1" si="391"/>
        <v>20759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20759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3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7400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556117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503717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473717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473717</v>
      </c>
      <c r="FP119">
        <f t="shared" si="365"/>
        <v>11186</v>
      </c>
      <c r="FQ119">
        <f t="shared" si="366"/>
        <v>0</v>
      </c>
      <c r="FR119">
        <f t="shared" si="367"/>
        <v>11186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715</v>
      </c>
      <c r="FZ119">
        <f t="shared" ca="1" si="374"/>
        <v>556832</v>
      </c>
      <c r="GA119">
        <f t="shared" si="375"/>
        <v>75000</v>
      </c>
      <c r="GB119">
        <f t="shared" ca="1" si="376"/>
        <v>481832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81832</v>
      </c>
      <c r="GN119">
        <f t="shared" ca="1" si="387"/>
        <v>4091.6000000000004</v>
      </c>
      <c r="GO119">
        <f t="shared" ca="1" si="388"/>
        <v>4092</v>
      </c>
      <c r="GP119">
        <f t="shared" ca="1" si="389"/>
        <v>0</v>
      </c>
      <c r="GQ119">
        <f t="shared" ca="1" si="390"/>
        <v>0</v>
      </c>
      <c r="GR119">
        <f t="shared" ca="1" si="391"/>
        <v>4092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4092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3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964</v>
      </c>
      <c r="FZ120">
        <f t="shared" ca="1" si="374"/>
        <v>860002</v>
      </c>
      <c r="GA120">
        <f t="shared" si="375"/>
        <v>75000</v>
      </c>
      <c r="GB120">
        <f t="shared" ca="1" si="376"/>
        <v>785002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385002</v>
      </c>
      <c r="GN120">
        <f t="shared" ca="1" si="387"/>
        <v>19250.100000000002</v>
      </c>
      <c r="GO120">
        <f t="shared" ca="1" si="388"/>
        <v>19250</v>
      </c>
      <c r="GP120">
        <f t="shared" ca="1" si="389"/>
        <v>0</v>
      </c>
      <c r="GQ120">
        <f t="shared" ca="1" si="390"/>
        <v>0</v>
      </c>
      <c r="GR120">
        <f t="shared" ca="1" si="391"/>
        <v>19250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19250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3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600</v>
      </c>
      <c r="FZ121">
        <f t="shared" ca="1" si="374"/>
        <v>776039</v>
      </c>
      <c r="GA121">
        <f t="shared" si="375"/>
        <v>75000</v>
      </c>
      <c r="GB121">
        <f t="shared" ca="1" si="376"/>
        <v>701039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301039</v>
      </c>
      <c r="GN121">
        <f t="shared" ca="1" si="387"/>
        <v>15051.95</v>
      </c>
      <c r="GO121">
        <f t="shared" ca="1" si="388"/>
        <v>15052</v>
      </c>
      <c r="GP121">
        <f t="shared" ca="1" si="389"/>
        <v>0</v>
      </c>
      <c r="GQ121">
        <f t="shared" ca="1" si="390"/>
        <v>0</v>
      </c>
      <c r="GR121">
        <f t="shared" ca="1" si="391"/>
        <v>15052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15052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3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7400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40950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5000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40950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5000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40950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5000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40950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5000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42500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5000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42380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5000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42380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5000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42380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5000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42380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5000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42380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5000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42380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5000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42380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572760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520360</v>
      </c>
      <c r="ER122">
        <f t="shared" si="359"/>
        <v>60000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60000</v>
      </c>
      <c r="FE122">
        <f t="shared" si="362"/>
        <v>60000</v>
      </c>
      <c r="FF122">
        <f t="shared" si="363"/>
        <v>460360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460360</v>
      </c>
      <c r="FP122">
        <f t="shared" si="365"/>
        <v>10518</v>
      </c>
      <c r="FQ122">
        <f t="shared" si="366"/>
        <v>0</v>
      </c>
      <c r="FR122">
        <f t="shared" si="367"/>
        <v>10518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620</v>
      </c>
      <c r="FZ122">
        <f t="shared" ca="1" si="374"/>
        <v>573380</v>
      </c>
      <c r="GA122">
        <f t="shared" si="375"/>
        <v>75000</v>
      </c>
      <c r="GB122">
        <f t="shared" ca="1" si="376"/>
        <v>498380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98380</v>
      </c>
      <c r="GN122">
        <f t="shared" ca="1" si="387"/>
        <v>4919</v>
      </c>
      <c r="GO122">
        <f t="shared" ca="1" si="388"/>
        <v>4919</v>
      </c>
      <c r="GP122">
        <f t="shared" ca="1" si="389"/>
        <v>0</v>
      </c>
      <c r="GQ122">
        <f t="shared" ca="1" si="390"/>
        <v>0</v>
      </c>
      <c r="GR122">
        <f t="shared" ca="1" si="391"/>
        <v>4919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4919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3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7400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578761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526361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466361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466361</v>
      </c>
      <c r="FP123">
        <f t="shared" si="365"/>
        <v>10818</v>
      </c>
      <c r="FQ123">
        <f t="shared" si="366"/>
        <v>0</v>
      </c>
      <c r="FR123">
        <f t="shared" si="367"/>
        <v>10818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625</v>
      </c>
      <c r="FZ123">
        <f t="shared" ca="1" si="374"/>
        <v>579386</v>
      </c>
      <c r="GA123">
        <f t="shared" si="375"/>
        <v>75000</v>
      </c>
      <c r="GB123">
        <f t="shared" ca="1" si="376"/>
        <v>504386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104386</v>
      </c>
      <c r="GN123">
        <f t="shared" ca="1" si="387"/>
        <v>5219.3</v>
      </c>
      <c r="GO123">
        <f t="shared" ca="1" si="388"/>
        <v>5219</v>
      </c>
      <c r="GP123">
        <f t="shared" ca="1" si="389"/>
        <v>0</v>
      </c>
      <c r="GQ123">
        <f t="shared" ca="1" si="390"/>
        <v>0</v>
      </c>
      <c r="GR123">
        <f t="shared" ca="1" si="391"/>
        <v>5219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5219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3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7400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524922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472522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448522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448522</v>
      </c>
      <c r="FP124">
        <f t="shared" si="365"/>
        <v>9926</v>
      </c>
      <c r="FQ124">
        <f t="shared" si="366"/>
        <v>0</v>
      </c>
      <c r="FR124">
        <f t="shared" si="367"/>
        <v>9926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501</v>
      </c>
      <c r="FZ124">
        <f t="shared" ca="1" si="374"/>
        <v>525423</v>
      </c>
      <c r="GA124">
        <f t="shared" si="375"/>
        <v>75000</v>
      </c>
      <c r="GB124">
        <f t="shared" ca="1" si="376"/>
        <v>450423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50423</v>
      </c>
      <c r="GN124">
        <f t="shared" ca="1" si="387"/>
        <v>2521.15</v>
      </c>
      <c r="GO124">
        <f t="shared" ca="1" si="388"/>
        <v>2521</v>
      </c>
      <c r="GP124">
        <f t="shared" ca="1" si="389"/>
        <v>0</v>
      </c>
      <c r="GQ124">
        <f t="shared" ca="1" si="390"/>
        <v>0</v>
      </c>
      <c r="GR124">
        <f t="shared" ca="1" si="391"/>
        <v>2521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2521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3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7400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530923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478523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454523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454523</v>
      </c>
      <c r="FP125">
        <f t="shared" si="365"/>
        <v>10226</v>
      </c>
      <c r="FQ125">
        <f t="shared" si="366"/>
        <v>0</v>
      </c>
      <c r="FR125">
        <f t="shared" si="367"/>
        <v>10226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584</v>
      </c>
      <c r="FZ125">
        <f t="shared" ca="1" si="374"/>
        <v>531507</v>
      </c>
      <c r="GA125">
        <f t="shared" si="375"/>
        <v>75000</v>
      </c>
      <c r="GB125">
        <f t="shared" ca="1" si="376"/>
        <v>456507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56507</v>
      </c>
      <c r="GN125">
        <f t="shared" ca="1" si="387"/>
        <v>2825.3500000000004</v>
      </c>
      <c r="GO125">
        <f t="shared" ca="1" si="388"/>
        <v>2825</v>
      </c>
      <c r="GP125">
        <f t="shared" ca="1" si="389"/>
        <v>0</v>
      </c>
      <c r="GQ125">
        <f t="shared" ca="1" si="390"/>
        <v>0</v>
      </c>
      <c r="GR125">
        <f t="shared" ca="1" si="391"/>
        <v>2825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2825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3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4"/>
        <v>7400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40550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2000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40550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2000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40550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2000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40550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2000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41974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2000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41850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2000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41850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2000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41850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2000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41850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2000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41850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2000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41850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2000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41850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530924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478524</v>
      </c>
      <c r="ER126">
        <f t="shared" ref="ER126" si="441">DV126+DL126+DB126+CR126+CH126+BX126+BN126+BD126+AS126+AI126+Y126+O126</f>
        <v>24000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24000</v>
      </c>
      <c r="FE126">
        <f t="shared" ref="FE126" si="444">IF(FD126&gt;=150000,150000,FD126)</f>
        <v>24000</v>
      </c>
      <c r="FF126">
        <f t="shared" ref="FF126" si="445">EQ126-FE126</f>
        <v>454524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454524</v>
      </c>
      <c r="FP126">
        <f t="shared" ref="FP126" si="447">ROUND(IF(FO126&gt;0,IF(FO126&gt;500000,12500,(FO126-250000)*0.05),0),0)</f>
        <v>10226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10226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606</v>
      </c>
      <c r="FZ126">
        <f t="shared" ref="FZ126" ca="1" si="456">EM126+FY126</f>
        <v>531530</v>
      </c>
      <c r="GA126">
        <f t="shared" ref="GA126" si="457">IF(EM126&gt;0,75000,0)</f>
        <v>75000</v>
      </c>
      <c r="GB126">
        <f t="shared" ref="GB126" ca="1" si="458">FZ126-GA126</f>
        <v>456530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56530</v>
      </c>
      <c r="GN126">
        <f t="shared" ref="GN126" ca="1" si="469">GM126*0.05</f>
        <v>2826.5</v>
      </c>
      <c r="GO126">
        <f t="shared" ref="GO126" ca="1" si="470">ROUND(GD126+GF126+GH126+GJ126+GL126+GN126,0)</f>
        <v>2827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2827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2827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3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576</v>
      </c>
      <c r="FZ127">
        <f t="shared" ca="1" si="374"/>
        <v>786821</v>
      </c>
      <c r="GA127">
        <f t="shared" si="375"/>
        <v>75000</v>
      </c>
      <c r="GB127">
        <f t="shared" ca="1" si="376"/>
        <v>711821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311821</v>
      </c>
      <c r="GN127">
        <f t="shared" ca="1" si="387"/>
        <v>15591.050000000001</v>
      </c>
      <c r="GO127">
        <f t="shared" ca="1" si="388"/>
        <v>15591</v>
      </c>
      <c r="GP127">
        <f t="shared" ca="1" si="389"/>
        <v>0</v>
      </c>
      <c r="GQ127">
        <f t="shared" ca="1" si="390"/>
        <v>0</v>
      </c>
      <c r="GR127">
        <f t="shared" ca="1" si="391"/>
        <v>15591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15591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3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7400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530926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478526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454526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454526</v>
      </c>
      <c r="FP128">
        <f t="shared" si="365"/>
        <v>10226</v>
      </c>
      <c r="FQ128">
        <f t="shared" si="366"/>
        <v>0</v>
      </c>
      <c r="FR128">
        <f t="shared" si="367"/>
        <v>10226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785</v>
      </c>
      <c r="FZ128">
        <f t="shared" ca="1" si="374"/>
        <v>531711</v>
      </c>
      <c r="GA128">
        <f t="shared" si="375"/>
        <v>75000</v>
      </c>
      <c r="GB128">
        <f t="shared" ca="1" si="376"/>
        <v>456711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56711</v>
      </c>
      <c r="GN128">
        <f t="shared" ca="1" si="387"/>
        <v>2835.55</v>
      </c>
      <c r="GO128">
        <f t="shared" ca="1" si="388"/>
        <v>2836</v>
      </c>
      <c r="GP128">
        <f t="shared" ca="1" si="389"/>
        <v>0</v>
      </c>
      <c r="GQ128">
        <f t="shared" ca="1" si="390"/>
        <v>0</v>
      </c>
      <c r="GR128">
        <f t="shared" ca="1" si="391"/>
        <v>2836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2836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3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7400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562127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509727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479727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479727</v>
      </c>
      <c r="FP129">
        <f t="shared" si="365"/>
        <v>11486</v>
      </c>
      <c r="FQ129">
        <f t="shared" si="366"/>
        <v>0</v>
      </c>
      <c r="FR129">
        <f t="shared" si="367"/>
        <v>11486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856</v>
      </c>
      <c r="FZ129">
        <f t="shared" ca="1" si="374"/>
        <v>562983</v>
      </c>
      <c r="GA129">
        <f t="shared" si="375"/>
        <v>75000</v>
      </c>
      <c r="GB129">
        <f t="shared" ca="1" si="376"/>
        <v>487983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87983</v>
      </c>
      <c r="GN129">
        <f t="shared" ca="1" si="387"/>
        <v>4399.1500000000005</v>
      </c>
      <c r="GO129">
        <f t="shared" ca="1" si="388"/>
        <v>4399</v>
      </c>
      <c r="GP129">
        <f t="shared" ca="1" si="389"/>
        <v>0</v>
      </c>
      <c r="GQ129">
        <f t="shared" ca="1" si="390"/>
        <v>0</v>
      </c>
      <c r="GR129">
        <f t="shared" ca="1" si="391"/>
        <v>4399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4399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3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7400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560928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508528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478528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478528</v>
      </c>
      <c r="FP130">
        <f t="shared" si="365"/>
        <v>11426</v>
      </c>
      <c r="FQ130">
        <f t="shared" si="366"/>
        <v>0</v>
      </c>
      <c r="FR130">
        <f t="shared" si="367"/>
        <v>11426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961</v>
      </c>
      <c r="FZ130">
        <f t="shared" ca="1" si="374"/>
        <v>561889</v>
      </c>
      <c r="GA130">
        <f t="shared" si="375"/>
        <v>75000</v>
      </c>
      <c r="GB130">
        <f t="shared" ca="1" si="376"/>
        <v>486889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86889</v>
      </c>
      <c r="GN130">
        <f t="shared" ca="1" si="387"/>
        <v>4344.45</v>
      </c>
      <c r="GO130">
        <f t="shared" ca="1" si="388"/>
        <v>4344</v>
      </c>
      <c r="GP130">
        <f t="shared" ca="1" si="389"/>
        <v>0</v>
      </c>
      <c r="GQ130">
        <f t="shared" ca="1" si="390"/>
        <v>0</v>
      </c>
      <c r="GR130">
        <f t="shared" ca="1" si="391"/>
        <v>4344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4344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3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IF(AND(_xlfn.DAYS("31-03-2026",G131)&gt;=180,(I131+J131)&gt;46000),0,7400)</f>
        <v>7400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524929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472529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448529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448529</v>
      </c>
      <c r="FP131">
        <f t="shared" si="365"/>
        <v>9926</v>
      </c>
      <c r="FQ131">
        <f t="shared" si="366"/>
        <v>0</v>
      </c>
      <c r="FR131">
        <f t="shared" si="367"/>
        <v>9926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569</v>
      </c>
      <c r="FZ131">
        <f t="shared" ca="1" si="374"/>
        <v>525498</v>
      </c>
      <c r="GA131">
        <f t="shared" si="375"/>
        <v>75000</v>
      </c>
      <c r="GB131">
        <f t="shared" ca="1" si="376"/>
        <v>450498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50498</v>
      </c>
      <c r="GN131">
        <f t="shared" ca="1" si="387"/>
        <v>2524.9</v>
      </c>
      <c r="GO131">
        <f t="shared" ca="1" si="388"/>
        <v>2525</v>
      </c>
      <c r="GP131">
        <f t="shared" ca="1" si="389"/>
        <v>0</v>
      </c>
      <c r="GQ131">
        <f t="shared" ca="1" si="390"/>
        <v>0</v>
      </c>
      <c r="GR131">
        <f t="shared" ca="1" si="391"/>
        <v>2525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2525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3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7400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487770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435570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411570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411570</v>
      </c>
      <c r="FP132">
        <f t="shared" si="365"/>
        <v>8079</v>
      </c>
      <c r="FQ132">
        <f t="shared" si="366"/>
        <v>0</v>
      </c>
      <c r="FR132">
        <f t="shared" si="367"/>
        <v>8079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1752</v>
      </c>
      <c r="FZ132">
        <f t="shared" ca="1" si="374"/>
        <v>489522</v>
      </c>
      <c r="GA132">
        <f t="shared" si="375"/>
        <v>75000</v>
      </c>
      <c r="GB132">
        <f t="shared" ca="1" si="376"/>
        <v>414522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14522</v>
      </c>
      <c r="GN132">
        <f t="shared" ca="1" si="387"/>
        <v>726.1</v>
      </c>
      <c r="GO132">
        <f t="shared" ca="1" si="388"/>
        <v>726</v>
      </c>
      <c r="GP132">
        <f t="shared" ca="1" si="389"/>
        <v>0</v>
      </c>
      <c r="GQ132">
        <f t="shared" ca="1" si="390"/>
        <v>0</v>
      </c>
      <c r="GR132">
        <f t="shared" ca="1" si="391"/>
        <v>726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726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3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582</v>
      </c>
      <c r="FZ133">
        <f t="shared" ca="1" si="374"/>
        <v>859633</v>
      </c>
      <c r="GA133">
        <f t="shared" si="375"/>
        <v>75000</v>
      </c>
      <c r="GB133">
        <f t="shared" ca="1" si="376"/>
        <v>784633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384633</v>
      </c>
      <c r="GN133">
        <f t="shared" ca="1" si="387"/>
        <v>19231.650000000001</v>
      </c>
      <c r="GO133">
        <f t="shared" ca="1" si="388"/>
        <v>19232</v>
      </c>
      <c r="GP133">
        <f t="shared" ca="1" si="389"/>
        <v>0</v>
      </c>
      <c r="GQ133">
        <f t="shared" ca="1" si="390"/>
        <v>0</v>
      </c>
      <c r="GR133">
        <f t="shared" ca="1" si="391"/>
        <v>19232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19232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3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7400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530932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478532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442532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442532</v>
      </c>
      <c r="FP134">
        <f t="shared" si="365"/>
        <v>9627</v>
      </c>
      <c r="FQ134">
        <f t="shared" si="366"/>
        <v>0</v>
      </c>
      <c r="FR134">
        <f t="shared" si="367"/>
        <v>9627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762</v>
      </c>
      <c r="FZ134">
        <f t="shared" ca="1" si="374"/>
        <v>531694</v>
      </c>
      <c r="GA134">
        <f t="shared" si="375"/>
        <v>75000</v>
      </c>
      <c r="GB134">
        <f t="shared" ca="1" si="376"/>
        <v>456694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56694</v>
      </c>
      <c r="GN134">
        <f t="shared" ca="1" si="387"/>
        <v>2834.7000000000003</v>
      </c>
      <c r="GO134">
        <f t="shared" ca="1" si="388"/>
        <v>2835</v>
      </c>
      <c r="GP134">
        <f t="shared" ca="1" si="389"/>
        <v>0</v>
      </c>
      <c r="GQ134">
        <f t="shared" ca="1" si="390"/>
        <v>0</v>
      </c>
      <c r="GR134">
        <f t="shared" ca="1" si="391"/>
        <v>2835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2835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3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7400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400133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348333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324333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324333</v>
      </c>
      <c r="FP135">
        <f t="shared" ref="FP135:FP199" si="555">ROUND(IF(FO135&gt;0,IF(FO135&gt;500000,12500,(FO135-250000)*0.05),0),0)</f>
        <v>3717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3717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2005</v>
      </c>
      <c r="FZ135">
        <f t="shared" ref="FZ135:FZ199" ca="1" si="564">EM135+FY135</f>
        <v>402138</v>
      </c>
      <c r="GA135">
        <f t="shared" ref="GA135:GA199" si="565">IF(EM135&gt;0,75000,0)</f>
        <v>75000</v>
      </c>
      <c r="GB135">
        <f t="shared" ref="GB135:GB199" ca="1" si="566">FZ135-GA135</f>
        <v>327138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3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7400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562134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509734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479734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479734</v>
      </c>
      <c r="FP136">
        <f t="shared" si="555"/>
        <v>11487</v>
      </c>
      <c r="FQ136">
        <f t="shared" si="556"/>
        <v>0</v>
      </c>
      <c r="FR136">
        <f t="shared" si="557"/>
        <v>11487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936</v>
      </c>
      <c r="FZ136">
        <f t="shared" ca="1" si="564"/>
        <v>563070</v>
      </c>
      <c r="GA136">
        <f t="shared" si="565"/>
        <v>75000</v>
      </c>
      <c r="GB136">
        <f t="shared" ca="1" si="566"/>
        <v>488070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88070</v>
      </c>
      <c r="GN136">
        <f t="shared" ca="1" si="577"/>
        <v>4403.5</v>
      </c>
      <c r="GO136">
        <f t="shared" ca="1" si="578"/>
        <v>4404</v>
      </c>
      <c r="GP136">
        <f t="shared" ca="1" si="579"/>
        <v>0</v>
      </c>
      <c r="GQ136">
        <f t="shared" ca="1" si="580"/>
        <v>0</v>
      </c>
      <c r="GR136">
        <f t="shared" ca="1" si="581"/>
        <v>4404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4404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3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7400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33505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33370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33370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33370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33370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33370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33370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33370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406135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354335</v>
      </c>
      <c r="ER137">
        <f t="shared" si="549"/>
        <v>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0</v>
      </c>
      <c r="FE137">
        <f t="shared" si="552"/>
        <v>0</v>
      </c>
      <c r="FF137">
        <f t="shared" si="553"/>
        <v>354335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354335</v>
      </c>
      <c r="FP137">
        <f t="shared" si="555"/>
        <v>5217</v>
      </c>
      <c r="FQ137">
        <f t="shared" si="556"/>
        <v>0</v>
      </c>
      <c r="FR137">
        <f t="shared" si="557"/>
        <v>5217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1973</v>
      </c>
      <c r="FZ137">
        <f t="shared" ca="1" si="564"/>
        <v>408108</v>
      </c>
      <c r="GA137">
        <f t="shared" si="565"/>
        <v>75000</v>
      </c>
      <c r="GB137">
        <f t="shared" ca="1" si="566"/>
        <v>333108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3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7400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600736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548336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488336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488336</v>
      </c>
      <c r="FP138">
        <f t="shared" si="555"/>
        <v>11917</v>
      </c>
      <c r="FQ138">
        <f t="shared" si="556"/>
        <v>0</v>
      </c>
      <c r="FR138">
        <f t="shared" si="557"/>
        <v>11917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584</v>
      </c>
      <c r="FZ138">
        <f t="shared" ca="1" si="564"/>
        <v>601320</v>
      </c>
      <c r="GA138">
        <f t="shared" si="565"/>
        <v>75000</v>
      </c>
      <c r="GB138">
        <f t="shared" ca="1" si="566"/>
        <v>526320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126320</v>
      </c>
      <c r="GN138">
        <f t="shared" ca="1" si="577"/>
        <v>6316</v>
      </c>
      <c r="GO138">
        <f t="shared" ca="1" si="578"/>
        <v>6316</v>
      </c>
      <c r="GP138">
        <f t="shared" ca="1" si="579"/>
        <v>0</v>
      </c>
      <c r="GQ138">
        <f t="shared" ca="1" si="580"/>
        <v>0</v>
      </c>
      <c r="GR138">
        <f t="shared" ca="1" si="581"/>
        <v>6316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6316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3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7400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487777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435577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411577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411577</v>
      </c>
      <c r="FP139">
        <f t="shared" si="555"/>
        <v>8079</v>
      </c>
      <c r="FQ139">
        <f t="shared" si="556"/>
        <v>0</v>
      </c>
      <c r="FR139">
        <f t="shared" si="557"/>
        <v>8079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2562</v>
      </c>
      <c r="FZ139">
        <f t="shared" ca="1" si="564"/>
        <v>490339</v>
      </c>
      <c r="GA139">
        <f t="shared" si="565"/>
        <v>75000</v>
      </c>
      <c r="GB139">
        <f t="shared" ca="1" si="566"/>
        <v>415339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15339</v>
      </c>
      <c r="GN139">
        <f t="shared" ca="1" si="577"/>
        <v>766.95</v>
      </c>
      <c r="GO139">
        <f t="shared" ca="1" si="578"/>
        <v>767</v>
      </c>
      <c r="GP139">
        <f t="shared" ca="1" si="579"/>
        <v>0</v>
      </c>
      <c r="GQ139">
        <f t="shared" ca="1" si="580"/>
        <v>0</v>
      </c>
      <c r="GR139">
        <f t="shared" ca="1" si="581"/>
        <v>767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767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3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7400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406138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354338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330338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330338</v>
      </c>
      <c r="FP140">
        <f t="shared" si="555"/>
        <v>4017</v>
      </c>
      <c r="FQ140">
        <f t="shared" si="556"/>
        <v>0</v>
      </c>
      <c r="FR140">
        <f t="shared" si="557"/>
        <v>4017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1463</v>
      </c>
      <c r="FZ140">
        <f t="shared" ca="1" si="564"/>
        <v>407601</v>
      </c>
      <c r="GA140">
        <f t="shared" si="565"/>
        <v>75000</v>
      </c>
      <c r="GB140">
        <f t="shared" ca="1" si="566"/>
        <v>332601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3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664</v>
      </c>
      <c r="FZ141">
        <f t="shared" ca="1" si="564"/>
        <v>786923</v>
      </c>
      <c r="GA141">
        <f t="shared" si="565"/>
        <v>75000</v>
      </c>
      <c r="GB141">
        <f t="shared" ca="1" si="566"/>
        <v>711923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311923</v>
      </c>
      <c r="GN141">
        <f t="shared" ca="1" si="577"/>
        <v>15596.150000000001</v>
      </c>
      <c r="GO141">
        <f t="shared" ca="1" si="578"/>
        <v>15596</v>
      </c>
      <c r="GP141">
        <f t="shared" ca="1" si="579"/>
        <v>0</v>
      </c>
      <c r="GQ141">
        <f t="shared" ca="1" si="580"/>
        <v>0</v>
      </c>
      <c r="GR141">
        <f t="shared" ca="1" si="581"/>
        <v>15596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15596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3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7400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578780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526380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490380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490380</v>
      </c>
      <c r="FP142">
        <f t="shared" si="555"/>
        <v>12019</v>
      </c>
      <c r="FQ142">
        <f t="shared" si="556"/>
        <v>0</v>
      </c>
      <c r="FR142">
        <f t="shared" si="557"/>
        <v>12019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928</v>
      </c>
      <c r="FZ142">
        <f t="shared" ca="1" si="564"/>
        <v>579708</v>
      </c>
      <c r="GA142">
        <f t="shared" si="565"/>
        <v>75000</v>
      </c>
      <c r="GB142">
        <f t="shared" ca="1" si="566"/>
        <v>504708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104708</v>
      </c>
      <c r="GN142">
        <f t="shared" ca="1" si="577"/>
        <v>5235.4000000000005</v>
      </c>
      <c r="GO142">
        <f t="shared" ca="1" si="578"/>
        <v>5235</v>
      </c>
      <c r="GP142">
        <f t="shared" ca="1" si="579"/>
        <v>0</v>
      </c>
      <c r="GQ142">
        <f t="shared" ca="1" si="580"/>
        <v>0</v>
      </c>
      <c r="GR142">
        <f t="shared" ca="1" si="581"/>
        <v>5235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5235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3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7400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556141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503741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467741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467741</v>
      </c>
      <c r="FP143">
        <f t="shared" si="555"/>
        <v>10887</v>
      </c>
      <c r="FQ143">
        <f t="shared" si="556"/>
        <v>0</v>
      </c>
      <c r="FR143">
        <f t="shared" si="557"/>
        <v>10887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615</v>
      </c>
      <c r="FZ143">
        <f t="shared" ca="1" si="564"/>
        <v>556756</v>
      </c>
      <c r="GA143">
        <f t="shared" si="565"/>
        <v>75000</v>
      </c>
      <c r="GB143">
        <f t="shared" ca="1" si="566"/>
        <v>481756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81756</v>
      </c>
      <c r="GN143">
        <f t="shared" ca="1" si="577"/>
        <v>4087.8</v>
      </c>
      <c r="GO143">
        <f t="shared" ca="1" si="578"/>
        <v>4088</v>
      </c>
      <c r="GP143">
        <f t="shared" ca="1" si="579"/>
        <v>0</v>
      </c>
      <c r="GQ143">
        <f t="shared" ca="1" si="580"/>
        <v>0</v>
      </c>
      <c r="GR143">
        <f t="shared" ca="1" si="581"/>
        <v>4088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4088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3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7400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487782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435582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387582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387582</v>
      </c>
      <c r="FP144">
        <f t="shared" si="555"/>
        <v>6879</v>
      </c>
      <c r="FQ144">
        <f t="shared" si="556"/>
        <v>0</v>
      </c>
      <c r="FR144">
        <f t="shared" si="557"/>
        <v>6879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2168</v>
      </c>
      <c r="FZ144">
        <f t="shared" ca="1" si="564"/>
        <v>489950</v>
      </c>
      <c r="GA144">
        <f t="shared" si="565"/>
        <v>75000</v>
      </c>
      <c r="GB144">
        <f t="shared" ca="1" si="566"/>
        <v>414950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14950</v>
      </c>
      <c r="GN144">
        <f t="shared" ca="1" si="577"/>
        <v>747.5</v>
      </c>
      <c r="GO144">
        <f t="shared" ca="1" si="578"/>
        <v>748</v>
      </c>
      <c r="GP144">
        <f t="shared" ca="1" si="579"/>
        <v>0</v>
      </c>
      <c r="GQ144">
        <f t="shared" ca="1" si="580"/>
        <v>0</v>
      </c>
      <c r="GR144">
        <f t="shared" ca="1" si="581"/>
        <v>748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748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3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7400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481783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429933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405933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405933</v>
      </c>
      <c r="FP145">
        <f t="shared" si="555"/>
        <v>7797</v>
      </c>
      <c r="FQ145">
        <f t="shared" si="556"/>
        <v>0</v>
      </c>
      <c r="FR145">
        <f t="shared" si="557"/>
        <v>7797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1061</v>
      </c>
      <c r="FZ145">
        <f t="shared" ca="1" si="564"/>
        <v>482844</v>
      </c>
      <c r="GA145">
        <f t="shared" si="565"/>
        <v>75000</v>
      </c>
      <c r="GB145">
        <f t="shared" ca="1" si="566"/>
        <v>407844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7844</v>
      </c>
      <c r="GN145">
        <f t="shared" ca="1" si="577"/>
        <v>392.20000000000005</v>
      </c>
      <c r="GO145">
        <f t="shared" ca="1" si="578"/>
        <v>392</v>
      </c>
      <c r="GP145">
        <f t="shared" ca="1" si="579"/>
        <v>0</v>
      </c>
      <c r="GQ145">
        <f t="shared" ca="1" si="580"/>
        <v>0</v>
      </c>
      <c r="GR145">
        <f t="shared" ca="1" si="581"/>
        <v>392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392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3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7400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583584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531184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447184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447184</v>
      </c>
      <c r="FP146">
        <f t="shared" si="555"/>
        <v>9859</v>
      </c>
      <c r="FQ146">
        <f t="shared" si="556"/>
        <v>0</v>
      </c>
      <c r="FR146">
        <f t="shared" si="557"/>
        <v>9859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989</v>
      </c>
      <c r="FZ146">
        <f t="shared" ca="1" si="564"/>
        <v>584573</v>
      </c>
      <c r="GA146">
        <f t="shared" si="565"/>
        <v>75000</v>
      </c>
      <c r="GB146">
        <f t="shared" ca="1" si="566"/>
        <v>509573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109573</v>
      </c>
      <c r="GN146">
        <f t="shared" ca="1" si="577"/>
        <v>5478.6500000000005</v>
      </c>
      <c r="GO146">
        <f t="shared" ca="1" si="578"/>
        <v>5479</v>
      </c>
      <c r="GP146">
        <f t="shared" ca="1" si="579"/>
        <v>0</v>
      </c>
      <c r="GQ146">
        <f t="shared" ca="1" si="580"/>
        <v>0</v>
      </c>
      <c r="GR146">
        <f t="shared" ca="1" si="581"/>
        <v>5479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5479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3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7400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515865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463465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415465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415465</v>
      </c>
      <c r="FP147">
        <f t="shared" si="555"/>
        <v>8273</v>
      </c>
      <c r="FQ147">
        <f t="shared" si="556"/>
        <v>0</v>
      </c>
      <c r="FR147">
        <f t="shared" si="557"/>
        <v>8273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552</v>
      </c>
      <c r="FZ147">
        <f t="shared" ca="1" si="564"/>
        <v>516417</v>
      </c>
      <c r="GA147">
        <f t="shared" si="565"/>
        <v>75000</v>
      </c>
      <c r="GB147">
        <f t="shared" ca="1" si="566"/>
        <v>441417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41417</v>
      </c>
      <c r="GN147">
        <f t="shared" ca="1" si="577"/>
        <v>2070.85</v>
      </c>
      <c r="GO147">
        <f t="shared" ca="1" si="578"/>
        <v>2071</v>
      </c>
      <c r="GP147">
        <f t="shared" ca="1" si="579"/>
        <v>0</v>
      </c>
      <c r="GQ147">
        <f t="shared" ca="1" si="580"/>
        <v>0</v>
      </c>
      <c r="GR147">
        <f t="shared" ca="1" si="581"/>
        <v>2071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2071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3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7400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481786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429936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405936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405936</v>
      </c>
      <c r="FP148">
        <f t="shared" si="555"/>
        <v>7797</v>
      </c>
      <c r="FQ148">
        <f t="shared" si="556"/>
        <v>0</v>
      </c>
      <c r="FR148">
        <f t="shared" si="557"/>
        <v>7797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1751</v>
      </c>
      <c r="FZ148">
        <f t="shared" ca="1" si="564"/>
        <v>483537</v>
      </c>
      <c r="GA148">
        <f t="shared" si="565"/>
        <v>75000</v>
      </c>
      <c r="GB148">
        <f t="shared" ca="1" si="566"/>
        <v>408537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8537</v>
      </c>
      <c r="GN148">
        <f t="shared" ca="1" si="577"/>
        <v>426.85</v>
      </c>
      <c r="GO148">
        <f t="shared" ca="1" si="578"/>
        <v>427</v>
      </c>
      <c r="GP148">
        <f t="shared" ca="1" si="579"/>
        <v>0</v>
      </c>
      <c r="GQ148">
        <f t="shared" ca="1" si="580"/>
        <v>0</v>
      </c>
      <c r="GR148">
        <f t="shared" ca="1" si="581"/>
        <v>427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427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3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891</v>
      </c>
      <c r="FZ149">
        <f t="shared" ca="1" si="564"/>
        <v>834998</v>
      </c>
      <c r="GA149">
        <f t="shared" si="565"/>
        <v>75000</v>
      </c>
      <c r="GB149">
        <f t="shared" ca="1" si="566"/>
        <v>759998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359998</v>
      </c>
      <c r="GN149">
        <f t="shared" ca="1" si="577"/>
        <v>17999.900000000001</v>
      </c>
      <c r="GO149">
        <f t="shared" ca="1" si="578"/>
        <v>18000</v>
      </c>
      <c r="GP149">
        <f t="shared" ca="1" si="579"/>
        <v>0</v>
      </c>
      <c r="GQ149">
        <f t="shared" ca="1" si="580"/>
        <v>0</v>
      </c>
      <c r="GR149">
        <f t="shared" ca="1" si="581"/>
        <v>18000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18000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3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7400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625308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575108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545108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495108</v>
      </c>
      <c r="FP150">
        <f t="shared" si="555"/>
        <v>12255</v>
      </c>
      <c r="FQ150">
        <f t="shared" si="556"/>
        <v>0</v>
      </c>
      <c r="FR150">
        <f t="shared" si="557"/>
        <v>12255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979</v>
      </c>
      <c r="FZ150">
        <f t="shared" ca="1" si="564"/>
        <v>626287</v>
      </c>
      <c r="GA150">
        <f t="shared" si="565"/>
        <v>75000</v>
      </c>
      <c r="GB150">
        <f t="shared" ca="1" si="566"/>
        <v>551287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151287</v>
      </c>
      <c r="GN150">
        <f t="shared" ca="1" si="577"/>
        <v>7564.35</v>
      </c>
      <c r="GO150">
        <f t="shared" ca="1" si="578"/>
        <v>7564</v>
      </c>
      <c r="GP150">
        <f t="shared" ca="1" si="579"/>
        <v>0</v>
      </c>
      <c r="GQ150">
        <f t="shared" ca="1" si="580"/>
        <v>0</v>
      </c>
      <c r="GR150">
        <f t="shared" ca="1" si="581"/>
        <v>7564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7564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3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7400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631309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578909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548909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548909</v>
      </c>
      <c r="FP151">
        <f t="shared" si="555"/>
        <v>12500</v>
      </c>
      <c r="FQ151">
        <f t="shared" si="556"/>
        <v>9782</v>
      </c>
      <c r="FR151">
        <f t="shared" si="557"/>
        <v>22282</v>
      </c>
      <c r="FS151">
        <f t="shared" si="558"/>
        <v>22282</v>
      </c>
      <c r="FT151">
        <f t="shared" si="559"/>
        <v>891.28</v>
      </c>
      <c r="FU151">
        <f t="shared" si="560"/>
        <v>23173</v>
      </c>
      <c r="FV151">
        <v>0</v>
      </c>
      <c r="FW151">
        <f t="shared" si="561"/>
        <v>23173</v>
      </c>
      <c r="FX151" t="b">
        <f t="shared" si="562"/>
        <v>1</v>
      </c>
      <c r="FY151">
        <f t="shared" ca="1" si="563"/>
        <v>812</v>
      </c>
      <c r="FZ151">
        <f t="shared" ca="1" si="564"/>
        <v>632121</v>
      </c>
      <c r="GA151">
        <f t="shared" si="565"/>
        <v>75000</v>
      </c>
      <c r="GB151">
        <f t="shared" ca="1" si="566"/>
        <v>557121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157121</v>
      </c>
      <c r="GN151">
        <f t="shared" ca="1" si="577"/>
        <v>7856.05</v>
      </c>
      <c r="GO151">
        <f t="shared" ca="1" si="578"/>
        <v>7856</v>
      </c>
      <c r="GP151">
        <f t="shared" ca="1" si="579"/>
        <v>0</v>
      </c>
      <c r="GQ151">
        <f t="shared" ca="1" si="580"/>
        <v>0</v>
      </c>
      <c r="GR151">
        <f t="shared" ca="1" si="581"/>
        <v>7856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7856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3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866</v>
      </c>
      <c r="FZ152">
        <f t="shared" ca="1" si="564"/>
        <v>781136</v>
      </c>
      <c r="GA152">
        <f t="shared" si="565"/>
        <v>75000</v>
      </c>
      <c r="GB152">
        <f t="shared" ca="1" si="566"/>
        <v>706136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306136</v>
      </c>
      <c r="GN152">
        <f t="shared" ca="1" si="577"/>
        <v>15306.800000000001</v>
      </c>
      <c r="GO152">
        <f t="shared" ca="1" si="578"/>
        <v>15307</v>
      </c>
      <c r="GP152">
        <f t="shared" ca="1" si="579"/>
        <v>0</v>
      </c>
      <c r="GQ152">
        <f t="shared" ca="1" si="580"/>
        <v>0</v>
      </c>
      <c r="GR152">
        <f t="shared" ca="1" si="581"/>
        <v>15307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15307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3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7400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40550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2000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40550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2000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40550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2000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40550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2000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42001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2000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41850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2000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41850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2000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41850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2000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41850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2000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41850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2000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41850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2000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41850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530951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478551</v>
      </c>
      <c r="ER153">
        <f t="shared" si="549"/>
        <v>24000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24000</v>
      </c>
      <c r="FE153">
        <f t="shared" si="552"/>
        <v>24000</v>
      </c>
      <c r="FF153">
        <f t="shared" si="553"/>
        <v>454551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454551</v>
      </c>
      <c r="FP153">
        <f t="shared" si="555"/>
        <v>10228</v>
      </c>
      <c r="FQ153">
        <f t="shared" si="556"/>
        <v>0</v>
      </c>
      <c r="FR153">
        <f t="shared" si="557"/>
        <v>10228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512</v>
      </c>
      <c r="FZ153">
        <f t="shared" ca="1" si="564"/>
        <v>531463</v>
      </c>
      <c r="GA153">
        <f t="shared" si="565"/>
        <v>75000</v>
      </c>
      <c r="GB153">
        <f t="shared" ca="1" si="566"/>
        <v>456463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56463</v>
      </c>
      <c r="GN153">
        <f t="shared" ca="1" si="577"/>
        <v>2823.15</v>
      </c>
      <c r="GO153">
        <f t="shared" ca="1" si="578"/>
        <v>2823</v>
      </c>
      <c r="GP153">
        <f t="shared" ca="1" si="579"/>
        <v>0</v>
      </c>
      <c r="GQ153">
        <f t="shared" ca="1" si="580"/>
        <v>0</v>
      </c>
      <c r="GR153">
        <f t="shared" ca="1" si="581"/>
        <v>2823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2823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3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7400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40550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2000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40550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2000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40550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2000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40550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2000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42002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2000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41850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2000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41850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2000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41850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2000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41850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2000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41850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2000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41850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2000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41850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530952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478552</v>
      </c>
      <c r="ER154">
        <f t="shared" si="549"/>
        <v>24000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24000</v>
      </c>
      <c r="FE154">
        <f t="shared" si="552"/>
        <v>24000</v>
      </c>
      <c r="FF154">
        <f t="shared" si="553"/>
        <v>454552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454552</v>
      </c>
      <c r="FP154">
        <f t="shared" si="555"/>
        <v>10228</v>
      </c>
      <c r="FQ154">
        <f t="shared" si="556"/>
        <v>0</v>
      </c>
      <c r="FR154">
        <f t="shared" si="557"/>
        <v>10228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946</v>
      </c>
      <c r="FZ154">
        <f t="shared" ca="1" si="564"/>
        <v>531898</v>
      </c>
      <c r="GA154">
        <f t="shared" si="565"/>
        <v>75000</v>
      </c>
      <c r="GB154">
        <f t="shared" ca="1" si="566"/>
        <v>456898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56898</v>
      </c>
      <c r="GN154">
        <f t="shared" ca="1" si="577"/>
        <v>2844.9</v>
      </c>
      <c r="GO154">
        <f t="shared" ca="1" si="578"/>
        <v>2845</v>
      </c>
      <c r="GP154">
        <f t="shared" ca="1" si="579"/>
        <v>0</v>
      </c>
      <c r="GQ154">
        <f t="shared" ca="1" si="580"/>
        <v>0</v>
      </c>
      <c r="GR154">
        <f t="shared" ca="1" si="581"/>
        <v>2845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2845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3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7400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481793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429943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405943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405943</v>
      </c>
      <c r="FP155">
        <f t="shared" si="555"/>
        <v>7797</v>
      </c>
      <c r="FQ155">
        <f t="shared" si="556"/>
        <v>0</v>
      </c>
      <c r="FR155">
        <f t="shared" si="557"/>
        <v>7797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1582</v>
      </c>
      <c r="FZ155">
        <f t="shared" ca="1" si="564"/>
        <v>483375</v>
      </c>
      <c r="GA155">
        <f t="shared" si="565"/>
        <v>75000</v>
      </c>
      <c r="GB155">
        <f t="shared" ca="1" si="566"/>
        <v>408375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8375</v>
      </c>
      <c r="GN155">
        <f t="shared" ca="1" si="577"/>
        <v>418.75</v>
      </c>
      <c r="GO155">
        <f t="shared" ca="1" si="578"/>
        <v>419</v>
      </c>
      <c r="GP155">
        <f t="shared" ca="1" si="579"/>
        <v>0</v>
      </c>
      <c r="GQ155">
        <f t="shared" ca="1" si="580"/>
        <v>0</v>
      </c>
      <c r="GR155">
        <f t="shared" ca="1" si="581"/>
        <v>419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419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3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57960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8000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57960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8000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57960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8000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57960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8000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60064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8000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59910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8000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59910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8000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59910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8000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59910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8000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59910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8000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59910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8000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59910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96000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96000</v>
      </c>
      <c r="FE156">
        <f t="shared" si="552"/>
        <v>96000</v>
      </c>
      <c r="FF156">
        <f t="shared" si="553"/>
        <v>661274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661274</v>
      </c>
      <c r="FP156">
        <f t="shared" si="555"/>
        <v>12500</v>
      </c>
      <c r="FQ156">
        <f t="shared" si="556"/>
        <v>32255</v>
      </c>
      <c r="FR156">
        <f t="shared" si="557"/>
        <v>44755</v>
      </c>
      <c r="FS156">
        <f t="shared" si="558"/>
        <v>44755</v>
      </c>
      <c r="FT156">
        <f t="shared" si="559"/>
        <v>1790.2</v>
      </c>
      <c r="FU156">
        <f t="shared" si="560"/>
        <v>46545</v>
      </c>
      <c r="FV156">
        <v>0</v>
      </c>
      <c r="FW156">
        <f t="shared" si="561"/>
        <v>46545</v>
      </c>
      <c r="FX156" t="b">
        <f t="shared" si="562"/>
        <v>1</v>
      </c>
      <c r="FY156">
        <f t="shared" ca="1" si="563"/>
        <v>611</v>
      </c>
      <c r="FZ156">
        <f t="shared" ca="1" si="564"/>
        <v>810285</v>
      </c>
      <c r="GA156">
        <f t="shared" si="565"/>
        <v>75000</v>
      </c>
      <c r="GB156">
        <f t="shared" ca="1" si="566"/>
        <v>735285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335285</v>
      </c>
      <c r="GN156">
        <f t="shared" ca="1" si="577"/>
        <v>16764.25</v>
      </c>
      <c r="GO156">
        <f t="shared" ca="1" si="578"/>
        <v>16764</v>
      </c>
      <c r="GP156">
        <f t="shared" ca="1" si="579"/>
        <v>0</v>
      </c>
      <c r="GQ156">
        <f t="shared" ca="1" si="580"/>
        <v>0</v>
      </c>
      <c r="GR156">
        <f t="shared" ca="1" si="581"/>
        <v>16764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16764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3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54110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9000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54110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9000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54110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9000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54110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9000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56215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9000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56060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9000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56060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9000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56060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9000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56060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9000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56060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9000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56060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9000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56060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108000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108000</v>
      </c>
      <c r="FE157">
        <f t="shared" si="552"/>
        <v>108000</v>
      </c>
      <c r="FF157">
        <f t="shared" si="553"/>
        <v>615075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615075</v>
      </c>
      <c r="FP157">
        <f t="shared" si="555"/>
        <v>12500</v>
      </c>
      <c r="FQ157">
        <f t="shared" si="556"/>
        <v>23015</v>
      </c>
      <c r="FR157">
        <f t="shared" si="557"/>
        <v>35515</v>
      </c>
      <c r="FS157">
        <f t="shared" si="558"/>
        <v>35515</v>
      </c>
      <c r="FT157">
        <f t="shared" si="559"/>
        <v>1420.6000000000001</v>
      </c>
      <c r="FU157">
        <f t="shared" si="560"/>
        <v>36936</v>
      </c>
      <c r="FV157">
        <v>0</v>
      </c>
      <c r="FW157">
        <f t="shared" si="561"/>
        <v>36936</v>
      </c>
      <c r="FX157" t="b">
        <f t="shared" si="562"/>
        <v>1</v>
      </c>
      <c r="FY157">
        <f t="shared" ca="1" si="563"/>
        <v>559</v>
      </c>
      <c r="FZ157">
        <f t="shared" ca="1" si="564"/>
        <v>776034</v>
      </c>
      <c r="GA157">
        <f t="shared" si="565"/>
        <v>75000</v>
      </c>
      <c r="GB157">
        <f t="shared" ca="1" si="566"/>
        <v>701034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301034</v>
      </c>
      <c r="GN157">
        <f t="shared" ca="1" si="577"/>
        <v>15051.7</v>
      </c>
      <c r="GO157">
        <f t="shared" ca="1" si="578"/>
        <v>15052</v>
      </c>
      <c r="GP157">
        <f t="shared" ca="1" si="579"/>
        <v>0</v>
      </c>
      <c r="GQ157">
        <f t="shared" ca="1" si="580"/>
        <v>0</v>
      </c>
      <c r="GR157">
        <f t="shared" ca="1" si="581"/>
        <v>15052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15052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3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7400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625316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572916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536916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536916</v>
      </c>
      <c r="FP158">
        <f t="shared" si="555"/>
        <v>12500</v>
      </c>
      <c r="FQ158">
        <f t="shared" si="556"/>
        <v>7383</v>
      </c>
      <c r="FR158">
        <f t="shared" si="557"/>
        <v>19883</v>
      </c>
      <c r="FS158">
        <f t="shared" si="558"/>
        <v>19883</v>
      </c>
      <c r="FT158">
        <f t="shared" si="559"/>
        <v>795.32</v>
      </c>
      <c r="FU158">
        <f t="shared" si="560"/>
        <v>20678</v>
      </c>
      <c r="FV158">
        <v>0</v>
      </c>
      <c r="FW158">
        <f t="shared" si="561"/>
        <v>20678</v>
      </c>
      <c r="FX158" t="b">
        <f t="shared" si="562"/>
        <v>1</v>
      </c>
      <c r="FY158">
        <f t="shared" ca="1" si="563"/>
        <v>517</v>
      </c>
      <c r="FZ158">
        <f t="shared" ca="1" si="564"/>
        <v>625833</v>
      </c>
      <c r="GA158">
        <f t="shared" si="565"/>
        <v>75000</v>
      </c>
      <c r="GB158">
        <f t="shared" ca="1" si="566"/>
        <v>550833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150833</v>
      </c>
      <c r="GN158">
        <f t="shared" ca="1" si="577"/>
        <v>7541.6500000000005</v>
      </c>
      <c r="GO158">
        <f t="shared" ca="1" si="578"/>
        <v>7542</v>
      </c>
      <c r="GP158">
        <f t="shared" ca="1" si="579"/>
        <v>0</v>
      </c>
      <c r="GQ158">
        <f t="shared" ca="1" si="580"/>
        <v>0</v>
      </c>
      <c r="GR158">
        <f t="shared" ca="1" si="581"/>
        <v>7542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7542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3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7400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42150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3000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42150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3000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42150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3000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42150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3000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43607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3000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43450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3000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43450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3000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43450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3000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43450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3000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43450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3000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43450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3000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43450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562157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509757</v>
      </c>
      <c r="ER159">
        <f t="shared" si="549"/>
        <v>36000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36000</v>
      </c>
      <c r="FE159">
        <f t="shared" si="552"/>
        <v>36000</v>
      </c>
      <c r="FF159">
        <f t="shared" si="553"/>
        <v>473757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473757</v>
      </c>
      <c r="FP159">
        <f t="shared" si="555"/>
        <v>11188</v>
      </c>
      <c r="FQ159">
        <f t="shared" si="556"/>
        <v>0</v>
      </c>
      <c r="FR159">
        <f t="shared" si="557"/>
        <v>11188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853</v>
      </c>
      <c r="FZ159">
        <f t="shared" ca="1" si="564"/>
        <v>563010</v>
      </c>
      <c r="GA159">
        <f t="shared" si="565"/>
        <v>75000</v>
      </c>
      <c r="GB159">
        <f t="shared" ca="1" si="566"/>
        <v>488010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88010</v>
      </c>
      <c r="GN159">
        <f t="shared" ca="1" si="577"/>
        <v>4400.5</v>
      </c>
      <c r="GO159">
        <f t="shared" ca="1" si="578"/>
        <v>4401</v>
      </c>
      <c r="GP159">
        <f t="shared" ca="1" si="579"/>
        <v>0</v>
      </c>
      <c r="GQ159">
        <f t="shared" ca="1" si="580"/>
        <v>0</v>
      </c>
      <c r="GR159">
        <f t="shared" ca="1" si="581"/>
        <v>4401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4401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3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55950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8000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55950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8000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55950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8000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55950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8000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58058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8000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57900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8000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57900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8000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57900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8000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57900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8000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57900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8000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57900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8000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57900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96000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96720</v>
      </c>
      <c r="FE160">
        <f t="shared" si="552"/>
        <v>96720</v>
      </c>
      <c r="FF160">
        <f t="shared" si="553"/>
        <v>637158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637158</v>
      </c>
      <c r="FP160">
        <f t="shared" si="555"/>
        <v>12500</v>
      </c>
      <c r="FQ160">
        <f t="shared" si="556"/>
        <v>27432</v>
      </c>
      <c r="FR160">
        <f t="shared" si="557"/>
        <v>39932</v>
      </c>
      <c r="FS160">
        <f t="shared" si="558"/>
        <v>39932</v>
      </c>
      <c r="FT160">
        <f t="shared" si="559"/>
        <v>1597.28</v>
      </c>
      <c r="FU160">
        <f t="shared" si="560"/>
        <v>41529</v>
      </c>
      <c r="FV160">
        <v>0</v>
      </c>
      <c r="FW160">
        <f t="shared" si="561"/>
        <v>41529</v>
      </c>
      <c r="FX160" t="b">
        <f t="shared" si="562"/>
        <v>1</v>
      </c>
      <c r="FY160">
        <f t="shared" ca="1" si="563"/>
        <v>623</v>
      </c>
      <c r="FZ160">
        <f t="shared" ca="1" si="564"/>
        <v>786901</v>
      </c>
      <c r="GA160">
        <f t="shared" si="565"/>
        <v>75000</v>
      </c>
      <c r="GB160">
        <f t="shared" ca="1" si="566"/>
        <v>711901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311901</v>
      </c>
      <c r="GN160">
        <f t="shared" ca="1" si="577"/>
        <v>15595.050000000001</v>
      </c>
      <c r="GO160">
        <f t="shared" ca="1" si="578"/>
        <v>15595</v>
      </c>
      <c r="GP160">
        <f t="shared" ca="1" si="579"/>
        <v>0</v>
      </c>
      <c r="GQ160">
        <f t="shared" ca="1" si="580"/>
        <v>0</v>
      </c>
      <c r="GR160">
        <f t="shared" ca="1" si="581"/>
        <v>15595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15595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3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7400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578799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526399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466399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466399</v>
      </c>
      <c r="FP161">
        <f t="shared" si="555"/>
        <v>10820</v>
      </c>
      <c r="FQ161">
        <f t="shared" si="556"/>
        <v>0</v>
      </c>
      <c r="FR161">
        <f t="shared" si="557"/>
        <v>10820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648</v>
      </c>
      <c r="FZ161">
        <f t="shared" ca="1" si="564"/>
        <v>579447</v>
      </c>
      <c r="GA161">
        <f t="shared" si="565"/>
        <v>75000</v>
      </c>
      <c r="GB161">
        <f t="shared" ca="1" si="566"/>
        <v>504447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104447</v>
      </c>
      <c r="GN161">
        <f t="shared" ca="1" si="577"/>
        <v>5222.3500000000004</v>
      </c>
      <c r="GO161">
        <f t="shared" ca="1" si="578"/>
        <v>5222</v>
      </c>
      <c r="GP161">
        <f t="shared" ca="1" si="579"/>
        <v>0</v>
      </c>
      <c r="GQ161">
        <f t="shared" ca="1" si="580"/>
        <v>0</v>
      </c>
      <c r="GR161">
        <f t="shared" ca="1" si="581"/>
        <v>5222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5222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3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7400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572800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520400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448400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448400</v>
      </c>
      <c r="FP162">
        <f t="shared" si="555"/>
        <v>9920</v>
      </c>
      <c r="FQ162">
        <f t="shared" si="556"/>
        <v>0</v>
      </c>
      <c r="FR162">
        <f t="shared" si="557"/>
        <v>9920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848</v>
      </c>
      <c r="FZ162">
        <f t="shared" ca="1" si="564"/>
        <v>573648</v>
      </c>
      <c r="GA162">
        <f t="shared" si="565"/>
        <v>75000</v>
      </c>
      <c r="GB162">
        <f t="shared" ca="1" si="566"/>
        <v>498648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98648</v>
      </c>
      <c r="GN162">
        <f t="shared" ca="1" si="577"/>
        <v>4932.4000000000005</v>
      </c>
      <c r="GO162">
        <f t="shared" ca="1" si="578"/>
        <v>4932</v>
      </c>
      <c r="GP162">
        <f t="shared" ca="1" si="579"/>
        <v>0</v>
      </c>
      <c r="GQ162">
        <f t="shared" ca="1" si="580"/>
        <v>0</v>
      </c>
      <c r="GR162">
        <f t="shared" ca="1" si="581"/>
        <v>4932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4932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3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7400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35090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4000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35090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4000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35090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4000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35090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4000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36371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4000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36210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4000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36210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4000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36210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4000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36210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4000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36210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4000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36210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4000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36210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487801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435601</v>
      </c>
      <c r="ER163">
        <f t="shared" si="549"/>
        <v>48000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48000</v>
      </c>
      <c r="FE163">
        <f t="shared" si="552"/>
        <v>48000</v>
      </c>
      <c r="FF163">
        <f t="shared" si="553"/>
        <v>387601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387601</v>
      </c>
      <c r="FP163">
        <f t="shared" si="555"/>
        <v>6880</v>
      </c>
      <c r="FQ163">
        <f t="shared" si="556"/>
        <v>0</v>
      </c>
      <c r="FR163">
        <f t="shared" si="557"/>
        <v>6880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2653</v>
      </c>
      <c r="FZ163">
        <f t="shared" ca="1" si="564"/>
        <v>490454</v>
      </c>
      <c r="GA163">
        <f t="shared" si="565"/>
        <v>75000</v>
      </c>
      <c r="GB163">
        <f t="shared" ca="1" si="566"/>
        <v>415454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15454</v>
      </c>
      <c r="GN163">
        <f t="shared" ca="1" si="577"/>
        <v>772.7</v>
      </c>
      <c r="GO163">
        <f t="shared" ca="1" si="578"/>
        <v>773</v>
      </c>
      <c r="GP163">
        <f t="shared" ca="1" si="579"/>
        <v>0</v>
      </c>
      <c r="GQ163">
        <f t="shared" ca="1" si="580"/>
        <v>0</v>
      </c>
      <c r="GR163">
        <f t="shared" ca="1" si="581"/>
        <v>773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773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3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7400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487802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435602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411602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411602</v>
      </c>
      <c r="FP164">
        <f t="shared" si="555"/>
        <v>8080</v>
      </c>
      <c r="FQ164">
        <f t="shared" si="556"/>
        <v>0</v>
      </c>
      <c r="FR164">
        <f t="shared" si="557"/>
        <v>8080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1788</v>
      </c>
      <c r="FZ164">
        <f t="shared" ca="1" si="564"/>
        <v>489590</v>
      </c>
      <c r="GA164">
        <f t="shared" si="565"/>
        <v>75000</v>
      </c>
      <c r="GB164">
        <f t="shared" ca="1" si="566"/>
        <v>414590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14590</v>
      </c>
      <c r="GN164">
        <f t="shared" ca="1" si="577"/>
        <v>729.5</v>
      </c>
      <c r="GO164">
        <f t="shared" ca="1" si="578"/>
        <v>730</v>
      </c>
      <c r="GP164">
        <f t="shared" ca="1" si="579"/>
        <v>0</v>
      </c>
      <c r="GQ164">
        <f t="shared" ca="1" si="580"/>
        <v>0</v>
      </c>
      <c r="GR164">
        <f t="shared" ca="1" si="581"/>
        <v>730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730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3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602</v>
      </c>
      <c r="FZ165">
        <f t="shared" ca="1" si="564"/>
        <v>859685</v>
      </c>
      <c r="GA165">
        <f t="shared" si="565"/>
        <v>75000</v>
      </c>
      <c r="GB165">
        <f t="shared" ca="1" si="566"/>
        <v>784685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384685</v>
      </c>
      <c r="GN165">
        <f t="shared" ca="1" si="577"/>
        <v>19234.25</v>
      </c>
      <c r="GO165">
        <f t="shared" ca="1" si="578"/>
        <v>19234</v>
      </c>
      <c r="GP165">
        <f t="shared" ca="1" si="579"/>
        <v>0</v>
      </c>
      <c r="GQ165">
        <f t="shared" ca="1" si="580"/>
        <v>0</v>
      </c>
      <c r="GR165">
        <f t="shared" ca="1" si="581"/>
        <v>19234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19234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3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7400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578804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526404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478404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478404</v>
      </c>
      <c r="FP166">
        <f t="shared" si="555"/>
        <v>11420</v>
      </c>
      <c r="FQ166">
        <f t="shared" si="556"/>
        <v>0</v>
      </c>
      <c r="FR166">
        <f t="shared" si="557"/>
        <v>11420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989</v>
      </c>
      <c r="FZ166">
        <f t="shared" ca="1" si="564"/>
        <v>579793</v>
      </c>
      <c r="GA166">
        <f t="shared" si="565"/>
        <v>75000</v>
      </c>
      <c r="GB166">
        <f t="shared" ca="1" si="566"/>
        <v>504793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104793</v>
      </c>
      <c r="GN166">
        <f t="shared" ca="1" si="577"/>
        <v>5239.6500000000005</v>
      </c>
      <c r="GO166">
        <f t="shared" ca="1" si="578"/>
        <v>5240</v>
      </c>
      <c r="GP166">
        <f t="shared" ca="1" si="579"/>
        <v>0</v>
      </c>
      <c r="GQ166">
        <f t="shared" ca="1" si="580"/>
        <v>0</v>
      </c>
      <c r="GR166">
        <f t="shared" ca="1" si="581"/>
        <v>5240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5240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3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7400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578805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526405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478405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478405</v>
      </c>
      <c r="FP167">
        <f t="shared" si="555"/>
        <v>11420</v>
      </c>
      <c r="FQ167">
        <f t="shared" si="556"/>
        <v>0</v>
      </c>
      <c r="FR167">
        <f t="shared" si="557"/>
        <v>11420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667</v>
      </c>
      <c r="FZ167">
        <f t="shared" ca="1" si="564"/>
        <v>579472</v>
      </c>
      <c r="GA167">
        <f t="shared" si="565"/>
        <v>75000</v>
      </c>
      <c r="GB167">
        <f t="shared" ca="1" si="566"/>
        <v>504472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104472</v>
      </c>
      <c r="GN167">
        <f t="shared" ca="1" si="577"/>
        <v>5223.6000000000004</v>
      </c>
      <c r="GO167">
        <f t="shared" ca="1" si="578"/>
        <v>5224</v>
      </c>
      <c r="GP167">
        <f t="shared" ca="1" si="579"/>
        <v>0</v>
      </c>
      <c r="GQ167">
        <f t="shared" ca="1" si="580"/>
        <v>0</v>
      </c>
      <c r="GR167">
        <f t="shared" ca="1" si="581"/>
        <v>5224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5224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3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7400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578806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526406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478406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478406</v>
      </c>
      <c r="FP168">
        <f t="shared" si="555"/>
        <v>11420</v>
      </c>
      <c r="FQ168">
        <f t="shared" si="556"/>
        <v>0</v>
      </c>
      <c r="FR168">
        <f t="shared" si="557"/>
        <v>11420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857</v>
      </c>
      <c r="FZ168">
        <f t="shared" ca="1" si="564"/>
        <v>579663</v>
      </c>
      <c r="GA168">
        <f t="shared" si="565"/>
        <v>75000</v>
      </c>
      <c r="GB168">
        <f t="shared" ca="1" si="566"/>
        <v>504663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104663</v>
      </c>
      <c r="GN168">
        <f t="shared" ca="1" si="577"/>
        <v>5233.1500000000005</v>
      </c>
      <c r="GO168">
        <f t="shared" ca="1" si="578"/>
        <v>5233</v>
      </c>
      <c r="GP168">
        <f t="shared" ca="1" si="579"/>
        <v>0</v>
      </c>
      <c r="GQ168">
        <f t="shared" ca="1" si="580"/>
        <v>0</v>
      </c>
      <c r="GR168">
        <f t="shared" ca="1" si="581"/>
        <v>5233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5233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3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7400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578807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526407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478407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478407</v>
      </c>
      <c r="FP169">
        <f t="shared" si="555"/>
        <v>11420</v>
      </c>
      <c r="FQ169">
        <f t="shared" si="556"/>
        <v>0</v>
      </c>
      <c r="FR169">
        <f t="shared" si="557"/>
        <v>11420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735</v>
      </c>
      <c r="FZ169">
        <f t="shared" ca="1" si="564"/>
        <v>579542</v>
      </c>
      <c r="GA169">
        <f t="shared" si="565"/>
        <v>75000</v>
      </c>
      <c r="GB169">
        <f t="shared" ca="1" si="566"/>
        <v>504542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104542</v>
      </c>
      <c r="GN169">
        <f t="shared" ca="1" si="577"/>
        <v>5227.1000000000004</v>
      </c>
      <c r="GO169">
        <f t="shared" ca="1" si="578"/>
        <v>5227</v>
      </c>
      <c r="GP169">
        <f t="shared" ca="1" si="579"/>
        <v>0</v>
      </c>
      <c r="GQ169">
        <f t="shared" ca="1" si="580"/>
        <v>0</v>
      </c>
      <c r="GR169">
        <f t="shared" ca="1" si="581"/>
        <v>5227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5227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3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7400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562168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509768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473768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473768</v>
      </c>
      <c r="FP170">
        <f t="shared" si="555"/>
        <v>11188</v>
      </c>
      <c r="FQ170">
        <f t="shared" si="556"/>
        <v>0</v>
      </c>
      <c r="FR170">
        <f t="shared" si="557"/>
        <v>11188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606</v>
      </c>
      <c r="FZ170">
        <f t="shared" ca="1" si="564"/>
        <v>562774</v>
      </c>
      <c r="GA170">
        <f t="shared" si="565"/>
        <v>75000</v>
      </c>
      <c r="GB170">
        <f t="shared" ca="1" si="566"/>
        <v>487774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87774</v>
      </c>
      <c r="GN170">
        <f t="shared" ca="1" si="577"/>
        <v>4388.7</v>
      </c>
      <c r="GO170">
        <f t="shared" ca="1" si="578"/>
        <v>4389</v>
      </c>
      <c r="GP170">
        <f t="shared" ca="1" si="579"/>
        <v>0</v>
      </c>
      <c r="GQ170">
        <f t="shared" ca="1" si="580"/>
        <v>0</v>
      </c>
      <c r="GR170">
        <f t="shared" ca="1" si="581"/>
        <v>4389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4389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3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7400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2000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35920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2000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35920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464409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412609</v>
      </c>
      <c r="ER171">
        <f t="shared" ref="ER171" si="590">DV171+DL171+DB171+CR171+CH171+BX171+BN171+BD171+AS171+AI171+Y171+O171</f>
        <v>4000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4000</v>
      </c>
      <c r="FE171">
        <f t="shared" ref="FE171" si="593">IF(FD171&gt;=150000,150000,FD171)</f>
        <v>4000</v>
      </c>
      <c r="FF171">
        <f t="shared" ref="FF171" si="594">EQ171-FE171</f>
        <v>408609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408609</v>
      </c>
      <c r="FP171">
        <f t="shared" ref="FP171" si="596">ROUND(IF(FO171&gt;0,IF(FO171&gt;500000,12500,(FO171-250000)*0.05),0),0)</f>
        <v>7930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7930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1984</v>
      </c>
      <c r="FZ171">
        <f t="shared" ref="FZ171" ca="1" si="605">EM171+FY171</f>
        <v>466393</v>
      </c>
      <c r="GA171">
        <f t="shared" ref="GA171" si="606">IF(EM171&gt;0,75000,0)</f>
        <v>75000</v>
      </c>
      <c r="GB171">
        <f t="shared" ref="GB171" ca="1" si="607">FZ171-GA171</f>
        <v>391393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3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645</v>
      </c>
      <c r="FZ172">
        <f t="shared" ca="1" si="564"/>
        <v>780935</v>
      </c>
      <c r="GA172">
        <f t="shared" si="565"/>
        <v>75000</v>
      </c>
      <c r="GB172">
        <f t="shared" ca="1" si="566"/>
        <v>705935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305935</v>
      </c>
      <c r="GN172">
        <f t="shared" ca="1" si="577"/>
        <v>15296.75</v>
      </c>
      <c r="GO172">
        <f t="shared" ca="1" si="578"/>
        <v>15297</v>
      </c>
      <c r="GP172">
        <f t="shared" ca="1" si="579"/>
        <v>0</v>
      </c>
      <c r="GQ172">
        <f t="shared" ca="1" si="580"/>
        <v>0</v>
      </c>
      <c r="GR172">
        <f t="shared" ca="1" si="581"/>
        <v>15297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15297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3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7400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572811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520411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484411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484411</v>
      </c>
      <c r="FP173">
        <f t="shared" si="555"/>
        <v>11721</v>
      </c>
      <c r="FQ173">
        <f t="shared" si="556"/>
        <v>0</v>
      </c>
      <c r="FR173">
        <f t="shared" si="557"/>
        <v>11721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530</v>
      </c>
      <c r="FZ173">
        <f t="shared" ca="1" si="564"/>
        <v>573341</v>
      </c>
      <c r="GA173">
        <f t="shared" si="565"/>
        <v>75000</v>
      </c>
      <c r="GB173">
        <f t="shared" ca="1" si="566"/>
        <v>498341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98341</v>
      </c>
      <c r="GN173">
        <f t="shared" ca="1" si="577"/>
        <v>4917.05</v>
      </c>
      <c r="GO173">
        <f t="shared" ca="1" si="578"/>
        <v>4917</v>
      </c>
      <c r="GP173">
        <f t="shared" ca="1" si="579"/>
        <v>0</v>
      </c>
      <c r="GQ173">
        <f t="shared" ca="1" si="580"/>
        <v>0</v>
      </c>
      <c r="GR173">
        <f t="shared" ca="1" si="581"/>
        <v>4917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4917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3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7400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578812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526412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490412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490412</v>
      </c>
      <c r="FP174">
        <f t="shared" si="555"/>
        <v>12021</v>
      </c>
      <c r="FQ174">
        <f t="shared" si="556"/>
        <v>0</v>
      </c>
      <c r="FR174">
        <f t="shared" si="557"/>
        <v>12021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802</v>
      </c>
      <c r="FZ174">
        <f t="shared" ca="1" si="564"/>
        <v>579614</v>
      </c>
      <c r="GA174">
        <f t="shared" si="565"/>
        <v>75000</v>
      </c>
      <c r="GB174">
        <f t="shared" ca="1" si="566"/>
        <v>504614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104614</v>
      </c>
      <c r="GN174">
        <f t="shared" ca="1" si="577"/>
        <v>5230.7000000000007</v>
      </c>
      <c r="GO174">
        <f t="shared" ca="1" si="578"/>
        <v>5231</v>
      </c>
      <c r="GP174">
        <f t="shared" ca="1" si="579"/>
        <v>0</v>
      </c>
      <c r="GQ174">
        <f t="shared" ca="1" si="580"/>
        <v>0</v>
      </c>
      <c r="GR174">
        <f t="shared" ca="1" si="581"/>
        <v>5231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5231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3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7400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7400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-42600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-42600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-42600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1976</v>
      </c>
      <c r="FZ175">
        <f t="shared" ca="1" si="564"/>
        <v>9376</v>
      </c>
      <c r="GA175">
        <f t="shared" si="565"/>
        <v>75000</v>
      </c>
      <c r="GB175">
        <f t="shared" ca="1" si="566"/>
        <v>-65624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3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7400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530974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478574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454574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454574</v>
      </c>
      <c r="FP176">
        <f t="shared" si="555"/>
        <v>10229</v>
      </c>
      <c r="FQ176">
        <f t="shared" si="556"/>
        <v>0</v>
      </c>
      <c r="FR176">
        <f t="shared" si="557"/>
        <v>10229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896</v>
      </c>
      <c r="FZ176">
        <f t="shared" ca="1" si="564"/>
        <v>531870</v>
      </c>
      <c r="GA176">
        <f t="shared" si="565"/>
        <v>75000</v>
      </c>
      <c r="GB176">
        <f t="shared" ca="1" si="566"/>
        <v>456870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56870</v>
      </c>
      <c r="GN176">
        <f t="shared" ca="1" si="577"/>
        <v>2843.5</v>
      </c>
      <c r="GO176">
        <f t="shared" ca="1" si="578"/>
        <v>2844</v>
      </c>
      <c r="GP176">
        <f t="shared" ca="1" si="579"/>
        <v>0</v>
      </c>
      <c r="GQ176">
        <f t="shared" ca="1" si="580"/>
        <v>0</v>
      </c>
      <c r="GR176">
        <f t="shared" ca="1" si="581"/>
        <v>2844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2844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3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7400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572815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520415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484415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484415</v>
      </c>
      <c r="FP177">
        <f t="shared" si="555"/>
        <v>11721</v>
      </c>
      <c r="FQ177">
        <f t="shared" si="556"/>
        <v>0</v>
      </c>
      <c r="FR177">
        <f t="shared" si="557"/>
        <v>11721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754</v>
      </c>
      <c r="FZ177">
        <f t="shared" ca="1" si="564"/>
        <v>573569</v>
      </c>
      <c r="GA177">
        <f t="shared" si="565"/>
        <v>75000</v>
      </c>
      <c r="GB177">
        <f t="shared" ca="1" si="566"/>
        <v>498569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98569</v>
      </c>
      <c r="GN177">
        <f t="shared" ca="1" si="577"/>
        <v>4928.4500000000007</v>
      </c>
      <c r="GO177">
        <f t="shared" ca="1" si="578"/>
        <v>4928</v>
      </c>
      <c r="GP177">
        <f t="shared" ca="1" si="579"/>
        <v>0</v>
      </c>
      <c r="GQ177">
        <f t="shared" ca="1" si="580"/>
        <v>0</v>
      </c>
      <c r="GR177">
        <f t="shared" ca="1" si="581"/>
        <v>4928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4928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3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7400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566976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514576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484576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484576</v>
      </c>
      <c r="FP178">
        <f t="shared" si="555"/>
        <v>11729</v>
      </c>
      <c r="FQ178">
        <f t="shared" si="556"/>
        <v>0</v>
      </c>
      <c r="FR178">
        <f t="shared" si="557"/>
        <v>11729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679</v>
      </c>
      <c r="FZ178">
        <f t="shared" ca="1" si="564"/>
        <v>567655</v>
      </c>
      <c r="GA178">
        <f t="shared" si="565"/>
        <v>75000</v>
      </c>
      <c r="GB178">
        <f t="shared" ca="1" si="566"/>
        <v>492655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92655</v>
      </c>
      <c r="GN178">
        <f t="shared" ca="1" si="577"/>
        <v>4632.75</v>
      </c>
      <c r="GO178">
        <f t="shared" ca="1" si="578"/>
        <v>4633</v>
      </c>
      <c r="GP178">
        <f t="shared" ca="1" si="579"/>
        <v>0</v>
      </c>
      <c r="GQ178">
        <f t="shared" ca="1" si="580"/>
        <v>0</v>
      </c>
      <c r="GR178">
        <f t="shared" ca="1" si="581"/>
        <v>4633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4633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3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530</v>
      </c>
      <c r="FZ179">
        <f t="shared" ca="1" si="564"/>
        <v>829867</v>
      </c>
      <c r="GA179">
        <f t="shared" si="565"/>
        <v>75000</v>
      </c>
      <c r="GB179">
        <f t="shared" ca="1" si="566"/>
        <v>754867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354867</v>
      </c>
      <c r="GN179">
        <f t="shared" ca="1" si="577"/>
        <v>17743.350000000002</v>
      </c>
      <c r="GO179">
        <f t="shared" ca="1" si="578"/>
        <v>17743</v>
      </c>
      <c r="GP179">
        <f t="shared" ca="1" si="579"/>
        <v>0</v>
      </c>
      <c r="GQ179">
        <f t="shared" ca="1" si="580"/>
        <v>0</v>
      </c>
      <c r="GR179">
        <f t="shared" ca="1" si="581"/>
        <v>17743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17743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3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7400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562178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509778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479778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479778</v>
      </c>
      <c r="FP180">
        <f t="shared" si="555"/>
        <v>11489</v>
      </c>
      <c r="FQ180">
        <f t="shared" si="556"/>
        <v>0</v>
      </c>
      <c r="FR180">
        <f t="shared" si="557"/>
        <v>11489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555</v>
      </c>
      <c r="FZ180">
        <f t="shared" ca="1" si="564"/>
        <v>562733</v>
      </c>
      <c r="GA180">
        <f t="shared" si="565"/>
        <v>75000</v>
      </c>
      <c r="GB180">
        <f t="shared" ca="1" si="566"/>
        <v>487733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87733</v>
      </c>
      <c r="GN180">
        <f t="shared" ca="1" si="577"/>
        <v>4386.6500000000005</v>
      </c>
      <c r="GO180">
        <f t="shared" ca="1" si="578"/>
        <v>4387</v>
      </c>
      <c r="GP180">
        <f t="shared" ca="1" si="579"/>
        <v>0</v>
      </c>
      <c r="GQ180">
        <f t="shared" ca="1" si="580"/>
        <v>0</v>
      </c>
      <c r="GR180">
        <f t="shared" ca="1" si="581"/>
        <v>4387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4387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3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7400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562179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509779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479779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479779</v>
      </c>
      <c r="FP181">
        <f t="shared" si="555"/>
        <v>11489</v>
      </c>
      <c r="FQ181">
        <f t="shared" si="556"/>
        <v>0</v>
      </c>
      <c r="FR181">
        <f t="shared" si="557"/>
        <v>11489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762</v>
      </c>
      <c r="FZ181">
        <f t="shared" ca="1" si="564"/>
        <v>562941</v>
      </c>
      <c r="GA181">
        <f t="shared" si="565"/>
        <v>75000</v>
      </c>
      <c r="GB181">
        <f t="shared" ca="1" si="566"/>
        <v>487941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87941</v>
      </c>
      <c r="GN181">
        <f t="shared" ca="1" si="577"/>
        <v>4397.05</v>
      </c>
      <c r="GO181">
        <f t="shared" ca="1" si="578"/>
        <v>4397</v>
      </c>
      <c r="GP181">
        <f t="shared" ca="1" si="579"/>
        <v>0</v>
      </c>
      <c r="GQ181">
        <f t="shared" ca="1" si="580"/>
        <v>0</v>
      </c>
      <c r="GR181">
        <f t="shared" ca="1" si="581"/>
        <v>4397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4397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3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7400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566980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514580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478580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478580</v>
      </c>
      <c r="FP182">
        <f t="shared" si="555"/>
        <v>11429</v>
      </c>
      <c r="FQ182">
        <f t="shared" si="556"/>
        <v>0</v>
      </c>
      <c r="FR182">
        <f t="shared" si="557"/>
        <v>11429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741</v>
      </c>
      <c r="FZ182">
        <f t="shared" ca="1" si="564"/>
        <v>567721</v>
      </c>
      <c r="GA182">
        <f t="shared" si="565"/>
        <v>75000</v>
      </c>
      <c r="GB182">
        <f t="shared" ca="1" si="566"/>
        <v>492721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92721</v>
      </c>
      <c r="GN182">
        <f t="shared" ca="1" si="577"/>
        <v>4636.05</v>
      </c>
      <c r="GO182">
        <f t="shared" ca="1" si="578"/>
        <v>4636</v>
      </c>
      <c r="GP182">
        <f t="shared" ca="1" si="579"/>
        <v>0</v>
      </c>
      <c r="GQ182">
        <f t="shared" ca="1" si="580"/>
        <v>0</v>
      </c>
      <c r="GR182">
        <f t="shared" ca="1" si="581"/>
        <v>4636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4636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3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7400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578821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526421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490421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490421</v>
      </c>
      <c r="FP183">
        <f t="shared" si="555"/>
        <v>12021</v>
      </c>
      <c r="FQ183">
        <f t="shared" si="556"/>
        <v>0</v>
      </c>
      <c r="FR183">
        <f t="shared" si="557"/>
        <v>12021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884</v>
      </c>
      <c r="FZ183">
        <f t="shared" ca="1" si="564"/>
        <v>579705</v>
      </c>
      <c r="GA183">
        <f t="shared" si="565"/>
        <v>75000</v>
      </c>
      <c r="GB183">
        <f t="shared" ca="1" si="566"/>
        <v>504705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104705</v>
      </c>
      <c r="GN183">
        <f t="shared" ca="1" si="577"/>
        <v>5235.25</v>
      </c>
      <c r="GO183">
        <f t="shared" ca="1" si="578"/>
        <v>5235</v>
      </c>
      <c r="GP183">
        <f t="shared" ca="1" si="579"/>
        <v>0</v>
      </c>
      <c r="GQ183">
        <f t="shared" ca="1" si="580"/>
        <v>0</v>
      </c>
      <c r="GR183">
        <f t="shared" ca="1" si="581"/>
        <v>5235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5235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3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7400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562182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509782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473782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473782</v>
      </c>
      <c r="FP184">
        <f t="shared" si="555"/>
        <v>11189</v>
      </c>
      <c r="FQ184">
        <f t="shared" si="556"/>
        <v>0</v>
      </c>
      <c r="FR184">
        <f t="shared" si="557"/>
        <v>11189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855</v>
      </c>
      <c r="FZ184">
        <f t="shared" ca="1" si="564"/>
        <v>563037</v>
      </c>
      <c r="GA184">
        <f t="shared" si="565"/>
        <v>75000</v>
      </c>
      <c r="GB184">
        <f t="shared" ca="1" si="566"/>
        <v>488037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88037</v>
      </c>
      <c r="GN184">
        <f t="shared" ca="1" si="577"/>
        <v>4401.8500000000004</v>
      </c>
      <c r="GO184">
        <f t="shared" ca="1" si="578"/>
        <v>4402</v>
      </c>
      <c r="GP184">
        <f t="shared" ca="1" si="579"/>
        <v>0</v>
      </c>
      <c r="GQ184">
        <f t="shared" ca="1" si="580"/>
        <v>0</v>
      </c>
      <c r="GR184">
        <f t="shared" ca="1" si="581"/>
        <v>4402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4402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3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7400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631343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578943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494943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494943</v>
      </c>
      <c r="FP185">
        <f t="shared" si="555"/>
        <v>12247</v>
      </c>
      <c r="FQ185">
        <f t="shared" si="556"/>
        <v>0</v>
      </c>
      <c r="FR185">
        <f t="shared" si="557"/>
        <v>12247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785</v>
      </c>
      <c r="FZ185">
        <f t="shared" ca="1" si="564"/>
        <v>632128</v>
      </c>
      <c r="GA185">
        <f t="shared" si="565"/>
        <v>75000</v>
      </c>
      <c r="GB185">
        <f t="shared" ca="1" si="566"/>
        <v>557128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157128</v>
      </c>
      <c r="GN185">
        <f t="shared" ca="1" si="577"/>
        <v>7856.4000000000005</v>
      </c>
      <c r="GO185">
        <f t="shared" ca="1" si="578"/>
        <v>7856</v>
      </c>
      <c r="GP185">
        <f t="shared" ca="1" si="579"/>
        <v>0</v>
      </c>
      <c r="GQ185">
        <f t="shared" ca="1" si="580"/>
        <v>0</v>
      </c>
      <c r="GR185">
        <f t="shared" ca="1" si="581"/>
        <v>7856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7856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3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7400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32410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2000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32410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2000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32410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2000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32410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2000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33634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2000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33450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2000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33450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2000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33450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2000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33450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2000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33450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2000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33450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2000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33450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430624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378824</v>
      </c>
      <c r="ER186">
        <f t="shared" si="549"/>
        <v>24000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24000</v>
      </c>
      <c r="FE186">
        <f t="shared" si="552"/>
        <v>24000</v>
      </c>
      <c r="FF186">
        <f t="shared" si="553"/>
        <v>354824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354824</v>
      </c>
      <c r="FP186">
        <f t="shared" si="555"/>
        <v>5241</v>
      </c>
      <c r="FQ186">
        <f t="shared" si="556"/>
        <v>0</v>
      </c>
      <c r="FR186">
        <f t="shared" si="557"/>
        <v>5241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2708</v>
      </c>
      <c r="FZ186">
        <f t="shared" ca="1" si="564"/>
        <v>433332</v>
      </c>
      <c r="GA186">
        <f t="shared" si="565"/>
        <v>75000</v>
      </c>
      <c r="GB186">
        <f t="shared" ca="1" si="566"/>
        <v>358332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3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7400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487825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435625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411625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411625</v>
      </c>
      <c r="FP187">
        <f t="shared" si="555"/>
        <v>8081</v>
      </c>
      <c r="FQ187">
        <f t="shared" si="556"/>
        <v>0</v>
      </c>
      <c r="FR187">
        <f t="shared" si="557"/>
        <v>8081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2590</v>
      </c>
      <c r="FZ187">
        <f t="shared" ca="1" si="564"/>
        <v>490415</v>
      </c>
      <c r="GA187">
        <f t="shared" si="565"/>
        <v>75000</v>
      </c>
      <c r="GB187">
        <f t="shared" ca="1" si="566"/>
        <v>415415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15415</v>
      </c>
      <c r="GN187">
        <f t="shared" ca="1" si="577"/>
        <v>770.75</v>
      </c>
      <c r="GO187">
        <f t="shared" ca="1" si="578"/>
        <v>771</v>
      </c>
      <c r="GP187">
        <f t="shared" ca="1" si="579"/>
        <v>0</v>
      </c>
      <c r="GQ187">
        <f t="shared" ca="1" si="580"/>
        <v>0</v>
      </c>
      <c r="GR187">
        <f t="shared" ca="1" si="581"/>
        <v>771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771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3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54900</v>
      </c>
      <c r="CM188">
        <f t="shared" si="523"/>
        <v>9882</v>
      </c>
      <c r="CN188">
        <f t="shared" si="524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5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6"/>
        <v>200</v>
      </c>
      <c r="CU188">
        <f t="shared" si="527"/>
        <v>68570</v>
      </c>
      <c r="CV188">
        <f>_xlfn.XLOOKUP(B188,'[10]december-2026'!$A:$A,'[10]december-2026'!$C:$C,0,0)</f>
        <v>54900</v>
      </c>
      <c r="CW188">
        <f t="shared" si="528"/>
        <v>9882</v>
      </c>
      <c r="CX188">
        <f t="shared" si="529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0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1"/>
        <v>200</v>
      </c>
      <c r="DE188">
        <f t="shared" si="532"/>
        <v>68570</v>
      </c>
      <c r="DF188">
        <f xml:space="preserve"> _xlfn.XLOOKUP(B188,
'[11]january-2027'!$A:$A,
'[11]january-2027'!$C:$C,
0,0)</f>
        <v>54900</v>
      </c>
      <c r="DG188">
        <f t="shared" si="533"/>
        <v>9882</v>
      </c>
      <c r="DH188">
        <f t="shared" si="534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200</v>
      </c>
      <c r="DO188">
        <f t="shared" si="537"/>
        <v>68570</v>
      </c>
      <c r="DP188">
        <f xml:space="preserve"> _xlfn.XLOOKUP(B188,
'[12]february-2027'!$A:$A,
'[12]february-2027'!$C:$C,
0,0)</f>
        <v>54900</v>
      </c>
      <c r="DQ188">
        <f t="shared" si="538"/>
        <v>9882</v>
      </c>
      <c r="DR188">
        <f t="shared" si="539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0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1"/>
        <v>200</v>
      </c>
      <c r="DY188">
        <f t="shared" si="542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859106</v>
      </c>
      <c r="EN188">
        <f t="shared" si="545"/>
        <v>2400</v>
      </c>
      <c r="EO188">
        <f t="shared" si="546"/>
        <v>50000</v>
      </c>
      <c r="EP188">
        <v>0</v>
      </c>
      <c r="EQ188">
        <f t="shared" si="548"/>
        <v>806706</v>
      </c>
      <c r="ER188">
        <f t="shared" si="549"/>
        <v>42000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42000</v>
      </c>
      <c r="FE188">
        <f t="shared" si="552"/>
        <v>42000</v>
      </c>
      <c r="FF188">
        <f t="shared" si="553"/>
        <v>764706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764706</v>
      </c>
      <c r="FP188">
        <f t="shared" si="555"/>
        <v>12500</v>
      </c>
      <c r="FQ188">
        <f t="shared" si="556"/>
        <v>52941</v>
      </c>
      <c r="FR188">
        <f t="shared" si="557"/>
        <v>65441</v>
      </c>
      <c r="FS188">
        <f t="shared" si="558"/>
        <v>65441</v>
      </c>
      <c r="FT188">
        <f t="shared" si="559"/>
        <v>2617.64</v>
      </c>
      <c r="FU188">
        <f t="shared" si="560"/>
        <v>68059</v>
      </c>
      <c r="FV188">
        <v>0</v>
      </c>
      <c r="FW188">
        <f t="shared" si="561"/>
        <v>68059</v>
      </c>
      <c r="FX188" t="b">
        <f t="shared" si="562"/>
        <v>1</v>
      </c>
      <c r="FY188">
        <f t="shared" ca="1" si="563"/>
        <v>855</v>
      </c>
      <c r="FZ188">
        <f t="shared" ca="1" si="564"/>
        <v>859961</v>
      </c>
      <c r="GA188">
        <f t="shared" si="565"/>
        <v>75000</v>
      </c>
      <c r="GB188">
        <f t="shared" ca="1" si="566"/>
        <v>784961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384961</v>
      </c>
      <c r="GN188">
        <f t="shared" ca="1" si="577"/>
        <v>19248.05</v>
      </c>
      <c r="GO188">
        <f t="shared" ca="1" si="578"/>
        <v>19248</v>
      </c>
      <c r="GP188">
        <f t="shared" ca="1" si="579"/>
        <v>0</v>
      </c>
      <c r="GQ188">
        <f t="shared" ca="1" si="580"/>
        <v>0</v>
      </c>
      <c r="GR188">
        <f t="shared" ca="1" si="581"/>
        <v>19248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19248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3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697</v>
      </c>
      <c r="FZ189">
        <f t="shared" ca="1" si="564"/>
        <v>776204</v>
      </c>
      <c r="GA189">
        <f t="shared" si="565"/>
        <v>75000</v>
      </c>
      <c r="GB189">
        <f t="shared" ca="1" si="566"/>
        <v>701204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301204</v>
      </c>
      <c r="GN189">
        <f t="shared" ca="1" si="577"/>
        <v>15060.2</v>
      </c>
      <c r="GO189">
        <f t="shared" ca="1" si="578"/>
        <v>15060</v>
      </c>
      <c r="GP189">
        <f t="shared" ca="1" si="579"/>
        <v>0</v>
      </c>
      <c r="GQ189">
        <f t="shared" ca="1" si="580"/>
        <v>0</v>
      </c>
      <c r="GR189">
        <f t="shared" ca="1" si="581"/>
        <v>15060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15060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3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940</v>
      </c>
      <c r="FZ190">
        <f t="shared" ca="1" si="564"/>
        <v>782448</v>
      </c>
      <c r="GA190">
        <f t="shared" si="565"/>
        <v>75000</v>
      </c>
      <c r="GB190">
        <f t="shared" ca="1" si="566"/>
        <v>707448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307448</v>
      </c>
      <c r="GN190">
        <f t="shared" ca="1" si="577"/>
        <v>15372.400000000001</v>
      </c>
      <c r="GO190">
        <f t="shared" ca="1" si="578"/>
        <v>15372</v>
      </c>
      <c r="GP190">
        <f t="shared" ca="1" si="579"/>
        <v>0</v>
      </c>
      <c r="GQ190">
        <f t="shared" ca="1" si="580"/>
        <v>0</v>
      </c>
      <c r="GR190">
        <f t="shared" ca="1" si="581"/>
        <v>15372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15372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3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7400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578829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526429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496429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496429</v>
      </c>
      <c r="FP191">
        <f t="shared" si="555"/>
        <v>12321</v>
      </c>
      <c r="FQ191">
        <f t="shared" si="556"/>
        <v>0</v>
      </c>
      <c r="FR191">
        <f t="shared" si="557"/>
        <v>12321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937</v>
      </c>
      <c r="FZ191">
        <f t="shared" ca="1" si="564"/>
        <v>579766</v>
      </c>
      <c r="GA191">
        <f t="shared" si="565"/>
        <v>75000</v>
      </c>
      <c r="GB191">
        <f t="shared" ca="1" si="566"/>
        <v>504766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104766</v>
      </c>
      <c r="GN191">
        <f t="shared" ca="1" si="577"/>
        <v>5238.3</v>
      </c>
      <c r="GO191">
        <f t="shared" ca="1" si="578"/>
        <v>5238</v>
      </c>
      <c r="GP191">
        <f t="shared" ca="1" si="579"/>
        <v>0</v>
      </c>
      <c r="GQ191">
        <f t="shared" ca="1" si="580"/>
        <v>0</v>
      </c>
      <c r="GR191">
        <f t="shared" ca="1" si="581"/>
        <v>5238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5238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3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7400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556190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503790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473790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473790</v>
      </c>
      <c r="FP192">
        <f t="shared" si="555"/>
        <v>11190</v>
      </c>
      <c r="FQ192">
        <f t="shared" si="556"/>
        <v>0</v>
      </c>
      <c r="FR192">
        <f t="shared" si="557"/>
        <v>11190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697</v>
      </c>
      <c r="FZ192">
        <f t="shared" ca="1" si="564"/>
        <v>556887</v>
      </c>
      <c r="GA192">
        <f t="shared" si="565"/>
        <v>75000</v>
      </c>
      <c r="GB192">
        <f t="shared" ca="1" si="566"/>
        <v>481887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81887</v>
      </c>
      <c r="GN192">
        <f t="shared" ca="1" si="577"/>
        <v>4094.3500000000004</v>
      </c>
      <c r="GO192">
        <f t="shared" ca="1" si="578"/>
        <v>4094</v>
      </c>
      <c r="GP192">
        <f t="shared" ca="1" si="579"/>
        <v>0</v>
      </c>
      <c r="GQ192">
        <f t="shared" ca="1" si="580"/>
        <v>0</v>
      </c>
      <c r="GR192">
        <f t="shared" ca="1" si="581"/>
        <v>4094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4094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3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7400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487831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435631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411631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411631</v>
      </c>
      <c r="FP193">
        <f t="shared" si="555"/>
        <v>8082</v>
      </c>
      <c r="FQ193">
        <f t="shared" si="556"/>
        <v>0</v>
      </c>
      <c r="FR193">
        <f t="shared" si="557"/>
        <v>8082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2825</v>
      </c>
      <c r="FZ193">
        <f t="shared" ca="1" si="564"/>
        <v>490656</v>
      </c>
      <c r="GA193">
        <f t="shared" si="565"/>
        <v>75000</v>
      </c>
      <c r="GB193">
        <f t="shared" ca="1" si="566"/>
        <v>415656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15656</v>
      </c>
      <c r="GN193">
        <f t="shared" ca="1" si="577"/>
        <v>782.80000000000007</v>
      </c>
      <c r="GO193">
        <f t="shared" ca="1" si="578"/>
        <v>783</v>
      </c>
      <c r="GP193">
        <f t="shared" ca="1" si="579"/>
        <v>0</v>
      </c>
      <c r="GQ193">
        <f t="shared" ca="1" si="580"/>
        <v>0</v>
      </c>
      <c r="GR193">
        <f t="shared" ca="1" si="581"/>
        <v>783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783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3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7400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487832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435632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435632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435632</v>
      </c>
      <c r="FP194">
        <f t="shared" si="555"/>
        <v>9282</v>
      </c>
      <c r="FQ194">
        <f t="shared" si="556"/>
        <v>0</v>
      </c>
      <c r="FR194">
        <f t="shared" si="557"/>
        <v>9282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2509</v>
      </c>
      <c r="FZ194">
        <f t="shared" ca="1" si="564"/>
        <v>490341</v>
      </c>
      <c r="GA194">
        <f t="shared" si="565"/>
        <v>75000</v>
      </c>
      <c r="GB194">
        <f t="shared" ca="1" si="566"/>
        <v>415341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15341</v>
      </c>
      <c r="GN194">
        <f t="shared" ca="1" si="577"/>
        <v>767.05000000000007</v>
      </c>
      <c r="GO194">
        <f t="shared" ca="1" si="578"/>
        <v>767</v>
      </c>
      <c r="GP194">
        <f t="shared" ca="1" si="579"/>
        <v>0</v>
      </c>
      <c r="GQ194">
        <f t="shared" ca="1" si="580"/>
        <v>0</v>
      </c>
      <c r="GR194">
        <f t="shared" ca="1" si="581"/>
        <v>767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767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3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IF(AND(_xlfn.DAYS("31-03-2026",G195)&gt;=180,(I195+J195)&gt;46000),0,7400)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947</v>
      </c>
      <c r="FZ195">
        <f t="shared" ca="1" si="564"/>
        <v>781260</v>
      </c>
      <c r="GA195">
        <f t="shared" si="565"/>
        <v>75000</v>
      </c>
      <c r="GB195">
        <f t="shared" ca="1" si="566"/>
        <v>706260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306260</v>
      </c>
      <c r="GN195">
        <f t="shared" ca="1" si="577"/>
        <v>15313</v>
      </c>
      <c r="GO195">
        <f t="shared" ca="1" si="578"/>
        <v>15313</v>
      </c>
      <c r="GP195">
        <f t="shared" ca="1" si="579"/>
        <v>0</v>
      </c>
      <c r="GQ195">
        <f t="shared" ca="1" si="580"/>
        <v>0</v>
      </c>
      <c r="GR195">
        <f t="shared" ca="1" si="581"/>
        <v>15313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15313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3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7400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562194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509794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473794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473794</v>
      </c>
      <c r="FP196">
        <f t="shared" si="555"/>
        <v>11190</v>
      </c>
      <c r="FQ196">
        <f t="shared" si="556"/>
        <v>0</v>
      </c>
      <c r="FR196">
        <f t="shared" si="557"/>
        <v>11190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739</v>
      </c>
      <c r="FZ196">
        <f t="shared" ca="1" si="564"/>
        <v>562933</v>
      </c>
      <c r="GA196">
        <f t="shared" si="565"/>
        <v>75000</v>
      </c>
      <c r="GB196">
        <f t="shared" ca="1" si="566"/>
        <v>487933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87933</v>
      </c>
      <c r="GN196">
        <f t="shared" ca="1" si="577"/>
        <v>4396.6500000000005</v>
      </c>
      <c r="GO196">
        <f t="shared" ca="1" si="578"/>
        <v>4397</v>
      </c>
      <c r="GP196">
        <f t="shared" ca="1" si="579"/>
        <v>0</v>
      </c>
      <c r="GQ196">
        <f t="shared" ca="1" si="580"/>
        <v>0</v>
      </c>
      <c r="GR196">
        <f t="shared" ca="1" si="581"/>
        <v>4397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4397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3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7400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477155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425355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365355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365355</v>
      </c>
      <c r="FP197">
        <f t="shared" si="555"/>
        <v>5768</v>
      </c>
      <c r="FQ197">
        <f t="shared" si="556"/>
        <v>0</v>
      </c>
      <c r="FR197">
        <f t="shared" si="557"/>
        <v>5768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2409</v>
      </c>
      <c r="FZ197">
        <f t="shared" ca="1" si="564"/>
        <v>479564</v>
      </c>
      <c r="GA197">
        <f t="shared" si="565"/>
        <v>75000</v>
      </c>
      <c r="GB197">
        <f t="shared" ca="1" si="566"/>
        <v>404564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4564</v>
      </c>
      <c r="GN197">
        <f t="shared" ca="1" si="577"/>
        <v>228.20000000000002</v>
      </c>
      <c r="GO197">
        <f t="shared" ca="1" si="578"/>
        <v>228</v>
      </c>
      <c r="GP197">
        <f t="shared" ca="1" si="579"/>
        <v>0</v>
      </c>
      <c r="GQ197">
        <f t="shared" ca="1" si="580"/>
        <v>0</v>
      </c>
      <c r="GR197">
        <f t="shared" ca="1" si="581"/>
        <v>228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228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3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66480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13000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66680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13000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66680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13000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66680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13000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69216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13000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69020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13000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69020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13000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69020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13000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69020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13000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69020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13000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69020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13000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69020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156000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156000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501</v>
      </c>
      <c r="FZ198">
        <f t="shared" ca="1" si="564"/>
        <v>975577</v>
      </c>
      <c r="GA198">
        <f t="shared" si="565"/>
        <v>75000</v>
      </c>
      <c r="GB198">
        <f t="shared" ca="1" si="566"/>
        <v>900577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100577</v>
      </c>
      <c r="GL198">
        <f t="shared" ca="1" si="575"/>
        <v>10057.700000000001</v>
      </c>
      <c r="GM198">
        <f t="shared" ca="1" si="576"/>
        <v>400000</v>
      </c>
      <c r="GN198">
        <f t="shared" ca="1" si="577"/>
        <v>20000</v>
      </c>
      <c r="GO198">
        <f t="shared" ca="1" si="578"/>
        <v>30058</v>
      </c>
      <c r="GP198">
        <f t="shared" ca="1" si="579"/>
        <v>0</v>
      </c>
      <c r="GQ198">
        <f t="shared" ca="1" si="580"/>
        <v>0</v>
      </c>
      <c r="GR198">
        <f t="shared" ca="1" si="581"/>
        <v>30058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30058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3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7400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578837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526437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460437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460437</v>
      </c>
      <c r="FP199">
        <f t="shared" si="555"/>
        <v>10522</v>
      </c>
      <c r="FQ199">
        <f t="shared" si="556"/>
        <v>0</v>
      </c>
      <c r="FR199">
        <f t="shared" si="557"/>
        <v>10522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503</v>
      </c>
      <c r="FZ199">
        <f t="shared" ca="1" si="564"/>
        <v>579340</v>
      </c>
      <c r="GA199">
        <f t="shared" si="565"/>
        <v>75000</v>
      </c>
      <c r="GB199">
        <f t="shared" ca="1" si="566"/>
        <v>504340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104340</v>
      </c>
      <c r="GN199">
        <f t="shared" ca="1" si="577"/>
        <v>5217</v>
      </c>
      <c r="GO199">
        <f t="shared" ca="1" si="578"/>
        <v>5217</v>
      </c>
      <c r="GP199">
        <f t="shared" ca="1" si="579"/>
        <v>0</v>
      </c>
      <c r="GQ199">
        <f t="shared" ca="1" si="580"/>
        <v>0</v>
      </c>
      <c r="GR199">
        <f t="shared" ca="1" si="581"/>
        <v>5217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5217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3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713</v>
      </c>
      <c r="FZ200">
        <f t="shared" ref="FZ200:FZ266" ca="1" si="713">EM200+FY200</f>
        <v>830071</v>
      </c>
      <c r="GA200">
        <f t="shared" ref="GA200:GA266" si="714">IF(EM200&gt;0,75000,0)</f>
        <v>75000</v>
      </c>
      <c r="GB200">
        <f t="shared" ref="GB200:GB266" ca="1" si="715">FZ200-GA200</f>
        <v>755071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355071</v>
      </c>
      <c r="GN200">
        <f t="shared" ref="GN200:GN266" ca="1" si="726">GM200*0.05</f>
        <v>17753.55</v>
      </c>
      <c r="GO200">
        <f t="shared" ref="GO200:GO266" ca="1" si="727">ROUND(GD200+GF200+GH200+GJ200+GL200+GN200,0)</f>
        <v>17754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17754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17754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3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7400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562199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509799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449799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449799</v>
      </c>
      <c r="FP201">
        <f t="shared" si="704"/>
        <v>9990</v>
      </c>
      <c r="FQ201">
        <f t="shared" si="705"/>
        <v>0</v>
      </c>
      <c r="FR201">
        <f t="shared" si="706"/>
        <v>9990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636</v>
      </c>
      <c r="FZ201">
        <f t="shared" ca="1" si="713"/>
        <v>562835</v>
      </c>
      <c r="GA201">
        <f t="shared" si="714"/>
        <v>75000</v>
      </c>
      <c r="GB201">
        <f t="shared" ca="1" si="715"/>
        <v>487835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87835</v>
      </c>
      <c r="GN201">
        <f t="shared" ca="1" si="726"/>
        <v>4391.75</v>
      </c>
      <c r="GO201">
        <f t="shared" ca="1" si="727"/>
        <v>4392</v>
      </c>
      <c r="GP201">
        <f t="shared" ca="1" si="728"/>
        <v>0</v>
      </c>
      <c r="GQ201">
        <f t="shared" ca="1" si="729"/>
        <v>0</v>
      </c>
      <c r="GR201">
        <f t="shared" ca="1" si="730"/>
        <v>4392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4392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3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7400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562200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509800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479800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479800</v>
      </c>
      <c r="FP202">
        <f t="shared" si="704"/>
        <v>11490</v>
      </c>
      <c r="FQ202">
        <f t="shared" si="705"/>
        <v>0</v>
      </c>
      <c r="FR202">
        <f t="shared" si="706"/>
        <v>11490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553</v>
      </c>
      <c r="FZ202">
        <f t="shared" ca="1" si="713"/>
        <v>562753</v>
      </c>
      <c r="GA202">
        <f t="shared" si="714"/>
        <v>75000</v>
      </c>
      <c r="GB202">
        <f t="shared" ca="1" si="715"/>
        <v>487753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87753</v>
      </c>
      <c r="GN202">
        <f t="shared" ca="1" si="726"/>
        <v>4387.6500000000005</v>
      </c>
      <c r="GO202">
        <f t="shared" ca="1" si="727"/>
        <v>4388</v>
      </c>
      <c r="GP202">
        <f t="shared" ca="1" si="728"/>
        <v>0</v>
      </c>
      <c r="GQ202">
        <f t="shared" ca="1" si="729"/>
        <v>0</v>
      </c>
      <c r="GR202">
        <f t="shared" ca="1" si="730"/>
        <v>4388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4388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3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7400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562201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509801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473801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473801</v>
      </c>
      <c r="FP203">
        <f t="shared" si="704"/>
        <v>11190</v>
      </c>
      <c r="FQ203">
        <f t="shared" si="705"/>
        <v>0</v>
      </c>
      <c r="FR203">
        <f t="shared" si="706"/>
        <v>11190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657</v>
      </c>
      <c r="FZ203">
        <f t="shared" ca="1" si="713"/>
        <v>562858</v>
      </c>
      <c r="GA203">
        <f t="shared" si="714"/>
        <v>75000</v>
      </c>
      <c r="GB203">
        <f t="shared" ca="1" si="715"/>
        <v>487858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87858</v>
      </c>
      <c r="GN203">
        <f t="shared" ca="1" si="726"/>
        <v>4392.9000000000005</v>
      </c>
      <c r="GO203">
        <f t="shared" ca="1" si="727"/>
        <v>4393</v>
      </c>
      <c r="GP203">
        <f t="shared" ca="1" si="728"/>
        <v>0</v>
      </c>
      <c r="GQ203">
        <f t="shared" ca="1" si="729"/>
        <v>0</v>
      </c>
      <c r="GR203">
        <f t="shared" ca="1" si="730"/>
        <v>4393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4393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3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7400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631362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581162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521162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471162</v>
      </c>
      <c r="FP204">
        <f t="shared" si="704"/>
        <v>11058</v>
      </c>
      <c r="FQ204">
        <f t="shared" si="705"/>
        <v>0</v>
      </c>
      <c r="FR204">
        <f t="shared" si="706"/>
        <v>11058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677</v>
      </c>
      <c r="FZ204">
        <f t="shared" ca="1" si="713"/>
        <v>632039</v>
      </c>
      <c r="GA204">
        <f t="shared" si="714"/>
        <v>75000</v>
      </c>
      <c r="GB204">
        <f t="shared" ca="1" si="715"/>
        <v>557039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157039</v>
      </c>
      <c r="GN204">
        <f t="shared" ca="1" si="726"/>
        <v>7851.9500000000007</v>
      </c>
      <c r="GO204">
        <f t="shared" ca="1" si="727"/>
        <v>7852</v>
      </c>
      <c r="GP204">
        <f t="shared" ca="1" si="728"/>
        <v>0</v>
      </c>
      <c r="GQ204">
        <f t="shared" ca="1" si="729"/>
        <v>0</v>
      </c>
      <c r="GR204">
        <f t="shared" ca="1" si="730"/>
        <v>7852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7852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3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7400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487843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435643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411643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411643</v>
      </c>
      <c r="FP205">
        <f t="shared" ref="FP205:FP206" si="745">ROUND(IF(FO205&gt;0,IF(FO205&gt;500000,12500,(FO205-250000)*0.05),0),0)</f>
        <v>8082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8082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1345</v>
      </c>
      <c r="FZ205">
        <f t="shared" ref="FZ205:FZ206" ca="1" si="754">EM205+FY205</f>
        <v>489188</v>
      </c>
      <c r="GA205">
        <f t="shared" ref="GA205:GA206" si="755">IF(EM205&gt;0,75000,0)</f>
        <v>75000</v>
      </c>
      <c r="GB205">
        <f t="shared" ref="GB205:GB206" ca="1" si="756">FZ205-GA205</f>
        <v>414188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14188</v>
      </c>
      <c r="GN205">
        <f t="shared" ref="GN205:GN206" ca="1" si="767">GM205*0.05</f>
        <v>709.40000000000009</v>
      </c>
      <c r="GO205">
        <f t="shared" ref="GO205:GO206" ca="1" si="768">ROUND(GD205+GF205+GH205+GJ205+GL205+GN205,0)</f>
        <v>709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709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709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3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7400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2000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35420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2000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35420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458444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406644</v>
      </c>
      <c r="ER206">
        <f t="shared" si="739"/>
        <v>4000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4000</v>
      </c>
      <c r="FE206">
        <f t="shared" si="742"/>
        <v>4000</v>
      </c>
      <c r="FF206">
        <f t="shared" si="743"/>
        <v>402644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402644</v>
      </c>
      <c r="FP206">
        <f t="shared" si="745"/>
        <v>7632</v>
      </c>
      <c r="FQ206">
        <f t="shared" si="746"/>
        <v>0</v>
      </c>
      <c r="FR206">
        <f t="shared" si="747"/>
        <v>7632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2878</v>
      </c>
      <c r="FZ206">
        <f t="shared" ca="1" si="754"/>
        <v>461322</v>
      </c>
      <c r="GA206">
        <f t="shared" si="755"/>
        <v>75000</v>
      </c>
      <c r="GB206">
        <f t="shared" ca="1" si="756"/>
        <v>386322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3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7400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567005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514605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478605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478605</v>
      </c>
      <c r="FP207">
        <f t="shared" si="704"/>
        <v>11430</v>
      </c>
      <c r="FQ207">
        <f t="shared" si="705"/>
        <v>0</v>
      </c>
      <c r="FR207">
        <f t="shared" si="706"/>
        <v>11430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861</v>
      </c>
      <c r="FZ207">
        <f t="shared" ca="1" si="713"/>
        <v>567866</v>
      </c>
      <c r="GA207">
        <f t="shared" si="714"/>
        <v>75000</v>
      </c>
      <c r="GB207">
        <f t="shared" ca="1" si="715"/>
        <v>492866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92866</v>
      </c>
      <c r="GN207">
        <f t="shared" ca="1" si="726"/>
        <v>4643.3</v>
      </c>
      <c r="GO207">
        <f t="shared" ca="1" si="727"/>
        <v>4643</v>
      </c>
      <c r="GP207">
        <f t="shared" ca="1" si="728"/>
        <v>0</v>
      </c>
      <c r="GQ207">
        <f t="shared" ca="1" si="729"/>
        <v>0</v>
      </c>
      <c r="GR207">
        <f t="shared" ca="1" si="730"/>
        <v>4643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4643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3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7400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531006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478606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454606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454606</v>
      </c>
      <c r="FP208">
        <f t="shared" si="704"/>
        <v>10230</v>
      </c>
      <c r="FQ208">
        <f t="shared" si="705"/>
        <v>0</v>
      </c>
      <c r="FR208">
        <f t="shared" si="706"/>
        <v>10230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871</v>
      </c>
      <c r="FZ208">
        <f t="shared" ca="1" si="713"/>
        <v>531877</v>
      </c>
      <c r="GA208">
        <f t="shared" si="714"/>
        <v>75000</v>
      </c>
      <c r="GB208">
        <f t="shared" ca="1" si="715"/>
        <v>456877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56877</v>
      </c>
      <c r="GN208">
        <f t="shared" ca="1" si="726"/>
        <v>2843.8500000000004</v>
      </c>
      <c r="GO208">
        <f t="shared" ca="1" si="727"/>
        <v>2844</v>
      </c>
      <c r="GP208">
        <f t="shared" ca="1" si="728"/>
        <v>0</v>
      </c>
      <c r="GQ208">
        <f t="shared" ca="1" si="729"/>
        <v>0</v>
      </c>
      <c r="GR208">
        <f t="shared" ca="1" si="730"/>
        <v>2844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2844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3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7400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400207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350057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326057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276057</v>
      </c>
      <c r="FP209">
        <f t="shared" si="704"/>
        <v>1303</v>
      </c>
      <c r="FQ209">
        <f t="shared" si="705"/>
        <v>0</v>
      </c>
      <c r="FR209">
        <f t="shared" si="706"/>
        <v>1303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2696</v>
      </c>
      <c r="FZ209">
        <f t="shared" ca="1" si="713"/>
        <v>402903</v>
      </c>
      <c r="GA209">
        <f t="shared" si="714"/>
        <v>75000</v>
      </c>
      <c r="GB209">
        <f t="shared" ca="1" si="715"/>
        <v>327903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3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59990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10000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59990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10000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59990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10000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59990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10000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62278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10000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62070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10000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62070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10000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62070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10000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62070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10000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62070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10000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62070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10000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62070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120000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120000</v>
      </c>
      <c r="FE210">
        <f t="shared" si="701"/>
        <v>120000</v>
      </c>
      <c r="FF210">
        <f t="shared" si="702"/>
        <v>686728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686728</v>
      </c>
      <c r="FP210">
        <f t="shared" si="704"/>
        <v>12500</v>
      </c>
      <c r="FQ210">
        <f t="shared" si="705"/>
        <v>37346</v>
      </c>
      <c r="FR210">
        <f t="shared" si="706"/>
        <v>49846</v>
      </c>
      <c r="FS210">
        <f t="shared" si="707"/>
        <v>49846</v>
      </c>
      <c r="FT210">
        <f t="shared" si="708"/>
        <v>1993.8400000000001</v>
      </c>
      <c r="FU210">
        <f t="shared" si="709"/>
        <v>51840</v>
      </c>
      <c r="FV210">
        <v>0</v>
      </c>
      <c r="FW210">
        <f t="shared" si="710"/>
        <v>51840</v>
      </c>
      <c r="FX210" t="b">
        <f t="shared" si="711"/>
        <v>1</v>
      </c>
      <c r="FY210">
        <f t="shared" ca="1" si="712"/>
        <v>673</v>
      </c>
      <c r="FZ210">
        <f t="shared" ca="1" si="713"/>
        <v>859801</v>
      </c>
      <c r="GA210">
        <f t="shared" si="714"/>
        <v>75000</v>
      </c>
      <c r="GB210">
        <f t="shared" ca="1" si="715"/>
        <v>784801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384801</v>
      </c>
      <c r="GN210">
        <f t="shared" ca="1" si="726"/>
        <v>19240.05</v>
      </c>
      <c r="GO210">
        <f t="shared" ca="1" si="727"/>
        <v>19240</v>
      </c>
      <c r="GP210">
        <f t="shared" ca="1" si="728"/>
        <v>0</v>
      </c>
      <c r="GQ210">
        <f t="shared" ca="1" si="729"/>
        <v>0</v>
      </c>
      <c r="GR210">
        <f t="shared" ca="1" si="730"/>
        <v>19240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19240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3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58610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5000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58610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5000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58610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5000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58610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5000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60769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5000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60560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5000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60560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5000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60560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5000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60560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5000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60560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5000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60560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5000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60560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60000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60000</v>
      </c>
      <c r="FE211">
        <f t="shared" si="701"/>
        <v>60000</v>
      </c>
      <c r="FF211">
        <f t="shared" si="702"/>
        <v>669129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669129</v>
      </c>
      <c r="FP211">
        <f t="shared" si="704"/>
        <v>12500</v>
      </c>
      <c r="FQ211">
        <f t="shared" si="705"/>
        <v>33826</v>
      </c>
      <c r="FR211">
        <f t="shared" si="706"/>
        <v>46326</v>
      </c>
      <c r="FS211">
        <f t="shared" si="707"/>
        <v>46326</v>
      </c>
      <c r="FT211">
        <f t="shared" si="708"/>
        <v>1853.04</v>
      </c>
      <c r="FU211">
        <f t="shared" si="709"/>
        <v>48179</v>
      </c>
      <c r="FV211">
        <v>0</v>
      </c>
      <c r="FW211">
        <f t="shared" si="710"/>
        <v>48179</v>
      </c>
      <c r="FX211" t="b">
        <f t="shared" si="711"/>
        <v>1</v>
      </c>
      <c r="FY211">
        <f t="shared" ca="1" si="712"/>
        <v>509</v>
      </c>
      <c r="FZ211">
        <f t="shared" ca="1" si="713"/>
        <v>782038</v>
      </c>
      <c r="GA211">
        <f t="shared" si="714"/>
        <v>75000</v>
      </c>
      <c r="GB211">
        <f t="shared" ca="1" si="715"/>
        <v>707038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307038</v>
      </c>
      <c r="GN211">
        <f t="shared" ca="1" si="726"/>
        <v>15351.900000000001</v>
      </c>
      <c r="GO211">
        <f t="shared" ca="1" si="727"/>
        <v>15352</v>
      </c>
      <c r="GP211">
        <f t="shared" ca="1" si="728"/>
        <v>0</v>
      </c>
      <c r="GQ211">
        <f t="shared" ca="1" si="729"/>
        <v>0</v>
      </c>
      <c r="GR211">
        <f t="shared" ca="1" si="730"/>
        <v>15352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15352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3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7400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42150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3000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42150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3000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42150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3000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42150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3000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43660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3000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43450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3000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43450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3000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43450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3000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43450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3000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43450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3000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43450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3000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43450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562210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509810</v>
      </c>
      <c r="ER212">
        <f t="shared" si="698"/>
        <v>36000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36000</v>
      </c>
      <c r="FE212">
        <f t="shared" si="701"/>
        <v>36000</v>
      </c>
      <c r="FF212">
        <f t="shared" si="702"/>
        <v>473810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473810</v>
      </c>
      <c r="FP212">
        <f t="shared" si="704"/>
        <v>11191</v>
      </c>
      <c r="FQ212">
        <f t="shared" si="705"/>
        <v>0</v>
      </c>
      <c r="FR212">
        <f t="shared" si="706"/>
        <v>11191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764</v>
      </c>
      <c r="FZ212">
        <f t="shared" ca="1" si="713"/>
        <v>562974</v>
      </c>
      <c r="GA212">
        <f t="shared" si="714"/>
        <v>75000</v>
      </c>
      <c r="GB212">
        <f t="shared" ca="1" si="715"/>
        <v>487974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87974</v>
      </c>
      <c r="GN212">
        <f t="shared" ca="1" si="726"/>
        <v>4398.7</v>
      </c>
      <c r="GO212">
        <f t="shared" ca="1" si="727"/>
        <v>4399</v>
      </c>
      <c r="GP212">
        <f t="shared" ca="1" si="728"/>
        <v>0</v>
      </c>
      <c r="GQ212">
        <f t="shared" ca="1" si="729"/>
        <v>0</v>
      </c>
      <c r="GR212">
        <f t="shared" ca="1" si="730"/>
        <v>4399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4399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3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7400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531011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478611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454611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454611</v>
      </c>
      <c r="FP213">
        <f t="shared" si="704"/>
        <v>10231</v>
      </c>
      <c r="FQ213">
        <f t="shared" si="705"/>
        <v>0</v>
      </c>
      <c r="FR213">
        <f t="shared" si="706"/>
        <v>10231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873</v>
      </c>
      <c r="FZ213">
        <f t="shared" ca="1" si="713"/>
        <v>531884</v>
      </c>
      <c r="GA213">
        <f t="shared" si="714"/>
        <v>75000</v>
      </c>
      <c r="GB213">
        <f t="shared" ca="1" si="715"/>
        <v>456884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56884</v>
      </c>
      <c r="GN213">
        <f t="shared" ca="1" si="726"/>
        <v>2844.2000000000003</v>
      </c>
      <c r="GO213">
        <f t="shared" ca="1" si="727"/>
        <v>2844</v>
      </c>
      <c r="GP213">
        <f t="shared" ca="1" si="728"/>
        <v>0</v>
      </c>
      <c r="GQ213">
        <f t="shared" ca="1" si="729"/>
        <v>0</v>
      </c>
      <c r="GR213">
        <f t="shared" ca="1" si="730"/>
        <v>2844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2844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3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756</v>
      </c>
      <c r="FZ214">
        <f t="shared" ca="1" si="713"/>
        <v>787088</v>
      </c>
      <c r="GA214">
        <f t="shared" si="714"/>
        <v>75000</v>
      </c>
      <c r="GB214">
        <f t="shared" ca="1" si="715"/>
        <v>712088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312088</v>
      </c>
      <c r="GN214">
        <f t="shared" ca="1" si="726"/>
        <v>15604.400000000001</v>
      </c>
      <c r="GO214">
        <f t="shared" ca="1" si="727"/>
        <v>15604</v>
      </c>
      <c r="GP214">
        <f t="shared" ca="1" si="728"/>
        <v>0</v>
      </c>
      <c r="GQ214">
        <f t="shared" ca="1" si="729"/>
        <v>0</v>
      </c>
      <c r="GR214">
        <f t="shared" ca="1" si="730"/>
        <v>15604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15604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3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972</v>
      </c>
      <c r="FZ215">
        <f t="shared" ca="1" si="713"/>
        <v>782505</v>
      </c>
      <c r="GA215">
        <f t="shared" si="714"/>
        <v>75000</v>
      </c>
      <c r="GB215">
        <f t="shared" ca="1" si="715"/>
        <v>707505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307505</v>
      </c>
      <c r="GN215">
        <f t="shared" ca="1" si="726"/>
        <v>15375.25</v>
      </c>
      <c r="GO215">
        <f t="shared" ca="1" si="727"/>
        <v>15375</v>
      </c>
      <c r="GP215">
        <f t="shared" ca="1" si="728"/>
        <v>0</v>
      </c>
      <c r="GQ215">
        <f t="shared" ca="1" si="729"/>
        <v>0</v>
      </c>
      <c r="GR215">
        <f t="shared" ca="1" si="730"/>
        <v>15375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15375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3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7400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531014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478614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454614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454614</v>
      </c>
      <c r="FP216">
        <f t="shared" si="704"/>
        <v>10231</v>
      </c>
      <c r="FQ216">
        <f t="shared" si="705"/>
        <v>0</v>
      </c>
      <c r="FR216">
        <f t="shared" si="706"/>
        <v>10231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794</v>
      </c>
      <c r="FZ216">
        <f t="shared" ca="1" si="713"/>
        <v>531808</v>
      </c>
      <c r="GA216">
        <f t="shared" si="714"/>
        <v>75000</v>
      </c>
      <c r="GB216">
        <f t="shared" ca="1" si="715"/>
        <v>456808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56808</v>
      </c>
      <c r="GN216">
        <f t="shared" ca="1" si="726"/>
        <v>2840.4</v>
      </c>
      <c r="GO216">
        <f t="shared" ca="1" si="727"/>
        <v>2840</v>
      </c>
      <c r="GP216">
        <f t="shared" ca="1" si="728"/>
        <v>0</v>
      </c>
      <c r="GQ216">
        <f t="shared" ca="1" si="729"/>
        <v>0</v>
      </c>
      <c r="GR216">
        <f t="shared" ca="1" si="730"/>
        <v>2840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2840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3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630</v>
      </c>
      <c r="FZ217">
        <f t="shared" ca="1" si="713"/>
        <v>810365</v>
      </c>
      <c r="GA217">
        <f t="shared" si="714"/>
        <v>75000</v>
      </c>
      <c r="GB217">
        <f t="shared" ca="1" si="715"/>
        <v>735365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335365</v>
      </c>
      <c r="GN217">
        <f t="shared" ca="1" si="726"/>
        <v>16768.25</v>
      </c>
      <c r="GO217">
        <f t="shared" ca="1" si="727"/>
        <v>16768</v>
      </c>
      <c r="GP217">
        <f t="shared" ca="1" si="728"/>
        <v>0</v>
      </c>
      <c r="GQ217">
        <f t="shared" ca="1" si="729"/>
        <v>0</v>
      </c>
      <c r="GR217">
        <f t="shared" ca="1" si="730"/>
        <v>16768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16768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3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7400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578856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526456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496456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496456</v>
      </c>
      <c r="FP218">
        <f t="shared" si="704"/>
        <v>12323</v>
      </c>
      <c r="FQ218">
        <f t="shared" si="705"/>
        <v>0</v>
      </c>
      <c r="FR218">
        <f t="shared" si="706"/>
        <v>12323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796</v>
      </c>
      <c r="FZ218">
        <f t="shared" ca="1" si="713"/>
        <v>579652</v>
      </c>
      <c r="GA218">
        <f t="shared" si="714"/>
        <v>75000</v>
      </c>
      <c r="GB218">
        <f t="shared" ca="1" si="715"/>
        <v>504652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104652</v>
      </c>
      <c r="GN218">
        <f t="shared" ca="1" si="726"/>
        <v>5232.6000000000004</v>
      </c>
      <c r="GO218">
        <f t="shared" ca="1" si="727"/>
        <v>5233</v>
      </c>
      <c r="GP218">
        <f t="shared" ca="1" si="728"/>
        <v>0</v>
      </c>
      <c r="GQ218">
        <f t="shared" ca="1" si="729"/>
        <v>0</v>
      </c>
      <c r="GR218">
        <f t="shared" ca="1" si="730"/>
        <v>5233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5233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3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7400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578857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526457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496457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496457</v>
      </c>
      <c r="FP219">
        <f t="shared" si="704"/>
        <v>12323</v>
      </c>
      <c r="FQ219">
        <f t="shared" si="705"/>
        <v>0</v>
      </c>
      <c r="FR219">
        <f t="shared" si="706"/>
        <v>12323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949</v>
      </c>
      <c r="FZ219">
        <f t="shared" ca="1" si="713"/>
        <v>579806</v>
      </c>
      <c r="GA219">
        <f t="shared" si="714"/>
        <v>75000</v>
      </c>
      <c r="GB219">
        <f t="shared" ca="1" si="715"/>
        <v>504806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104806</v>
      </c>
      <c r="GN219">
        <f t="shared" ca="1" si="726"/>
        <v>5240.3</v>
      </c>
      <c r="GO219">
        <f t="shared" ca="1" si="727"/>
        <v>5240</v>
      </c>
      <c r="GP219">
        <f t="shared" ca="1" si="728"/>
        <v>0</v>
      </c>
      <c r="GQ219">
        <f t="shared" ca="1" si="729"/>
        <v>0</v>
      </c>
      <c r="GR219">
        <f t="shared" ca="1" si="730"/>
        <v>5240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5240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3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7400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556218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503818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473818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473818</v>
      </c>
      <c r="FP220">
        <f t="shared" si="704"/>
        <v>11191</v>
      </c>
      <c r="FQ220">
        <f t="shared" si="705"/>
        <v>0</v>
      </c>
      <c r="FR220">
        <f t="shared" si="706"/>
        <v>11191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895</v>
      </c>
      <c r="FZ220">
        <f t="shared" ca="1" si="713"/>
        <v>557113</v>
      </c>
      <c r="GA220">
        <f t="shared" si="714"/>
        <v>75000</v>
      </c>
      <c r="GB220">
        <f t="shared" ca="1" si="715"/>
        <v>482113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82113</v>
      </c>
      <c r="GN220">
        <f t="shared" ca="1" si="726"/>
        <v>4105.6500000000005</v>
      </c>
      <c r="GO220">
        <f t="shared" ca="1" si="727"/>
        <v>4106</v>
      </c>
      <c r="GP220">
        <f t="shared" ca="1" si="728"/>
        <v>0</v>
      </c>
      <c r="GQ220">
        <f t="shared" ca="1" si="729"/>
        <v>0</v>
      </c>
      <c r="GR220">
        <f t="shared" ca="1" si="730"/>
        <v>4106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4106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3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7400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562219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509819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461819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461819</v>
      </c>
      <c r="FP221">
        <f t="shared" si="704"/>
        <v>10591</v>
      </c>
      <c r="FQ221">
        <f t="shared" si="705"/>
        <v>0</v>
      </c>
      <c r="FR221">
        <f t="shared" si="706"/>
        <v>10591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679</v>
      </c>
      <c r="FZ221">
        <f t="shared" ca="1" si="713"/>
        <v>562898</v>
      </c>
      <c r="GA221">
        <f t="shared" si="714"/>
        <v>75000</v>
      </c>
      <c r="GB221">
        <f t="shared" ca="1" si="715"/>
        <v>487898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87898</v>
      </c>
      <c r="GN221">
        <f t="shared" ca="1" si="726"/>
        <v>4394.9000000000005</v>
      </c>
      <c r="GO221">
        <f t="shared" ca="1" si="727"/>
        <v>4395</v>
      </c>
      <c r="GP221">
        <f t="shared" ca="1" si="728"/>
        <v>0</v>
      </c>
      <c r="GQ221">
        <f t="shared" ca="1" si="729"/>
        <v>0</v>
      </c>
      <c r="GR221">
        <f t="shared" ca="1" si="730"/>
        <v>4395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4395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3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7400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418180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366380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342380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342380</v>
      </c>
      <c r="FP222">
        <f t="shared" si="704"/>
        <v>4619</v>
      </c>
      <c r="FQ222">
        <f t="shared" si="705"/>
        <v>0</v>
      </c>
      <c r="FR222">
        <f t="shared" si="706"/>
        <v>4619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1412</v>
      </c>
      <c r="FZ222">
        <f t="shared" ca="1" si="713"/>
        <v>419592</v>
      </c>
      <c r="GA222">
        <f t="shared" si="714"/>
        <v>75000</v>
      </c>
      <c r="GB222">
        <f t="shared" ca="1" si="715"/>
        <v>344592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3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7400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562219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509819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479819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479819</v>
      </c>
      <c r="FP223">
        <f t="shared" ref="FP223" si="851">ROUND(IF(FO223&gt;0,IF(FO223&gt;500000,12500,(FO223-250000)*0.05),0),0)</f>
        <v>11491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11491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760</v>
      </c>
      <c r="FZ223">
        <f t="shared" ref="FZ223" ca="1" si="860">EM223+FY223</f>
        <v>562979</v>
      </c>
      <c r="GA223">
        <f t="shared" ref="GA223" si="861">IF(EM223&gt;0,75000,0)</f>
        <v>75000</v>
      </c>
      <c r="GB223">
        <f t="shared" ref="GB223" ca="1" si="862">FZ223-GA223</f>
        <v>487979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87979</v>
      </c>
      <c r="GN223">
        <f t="shared" ref="GN223" ca="1" si="874">GM223*0.05</f>
        <v>4398.95</v>
      </c>
      <c r="GO223">
        <f t="shared" ref="GO223" ca="1" si="875">ROUND(GD223+GF223+GH223+GJ223+GL223+GN223,0)</f>
        <v>4399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4399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4399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3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557</v>
      </c>
      <c r="FZ224">
        <f t="shared" ca="1" si="713"/>
        <v>859698</v>
      </c>
      <c r="GA224">
        <f t="shared" si="714"/>
        <v>75000</v>
      </c>
      <c r="GB224">
        <f t="shared" ca="1" si="715"/>
        <v>784698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384698</v>
      </c>
      <c r="GN224">
        <f t="shared" ca="1" si="726"/>
        <v>19234.900000000001</v>
      </c>
      <c r="GO224">
        <f t="shared" ca="1" si="727"/>
        <v>19235</v>
      </c>
      <c r="GP224">
        <f t="shared" ca="1" si="728"/>
        <v>0</v>
      </c>
      <c r="GQ224">
        <f t="shared" ca="1" si="729"/>
        <v>0</v>
      </c>
      <c r="GR224">
        <f t="shared" ca="1" si="730"/>
        <v>19235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19235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3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832</v>
      </c>
      <c r="FZ225">
        <f t="shared" ca="1" si="713"/>
        <v>776374</v>
      </c>
      <c r="GA225">
        <f t="shared" si="714"/>
        <v>75000</v>
      </c>
      <c r="GB225">
        <f t="shared" ca="1" si="715"/>
        <v>701374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301374</v>
      </c>
      <c r="GN225">
        <f t="shared" ca="1" si="726"/>
        <v>15068.7</v>
      </c>
      <c r="GO225">
        <f t="shared" ca="1" si="727"/>
        <v>15069</v>
      </c>
      <c r="GP225">
        <f t="shared" ca="1" si="728"/>
        <v>0</v>
      </c>
      <c r="GQ225">
        <f t="shared" ca="1" si="729"/>
        <v>0</v>
      </c>
      <c r="GR225">
        <f t="shared" ca="1" si="730"/>
        <v>15069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15069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3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631</v>
      </c>
      <c r="FZ226">
        <f t="shared" ca="1" si="713"/>
        <v>824014</v>
      </c>
      <c r="GA226">
        <f t="shared" si="714"/>
        <v>75000</v>
      </c>
      <c r="GB226">
        <f t="shared" ca="1" si="715"/>
        <v>749014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349014</v>
      </c>
      <c r="GN226">
        <f t="shared" ca="1" si="726"/>
        <v>17450.7</v>
      </c>
      <c r="GO226">
        <f t="shared" ca="1" si="727"/>
        <v>17451</v>
      </c>
      <c r="GP226">
        <f t="shared" ca="1" si="728"/>
        <v>0</v>
      </c>
      <c r="GQ226">
        <f t="shared" ca="1" si="729"/>
        <v>0</v>
      </c>
      <c r="GR226">
        <f t="shared" ca="1" si="730"/>
        <v>17451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17451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3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7400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556224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503824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443824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443824</v>
      </c>
      <c r="FP227">
        <f t="shared" si="704"/>
        <v>9691</v>
      </c>
      <c r="FQ227">
        <f t="shared" si="705"/>
        <v>0</v>
      </c>
      <c r="FR227">
        <f t="shared" si="706"/>
        <v>9691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848</v>
      </c>
      <c r="FZ227">
        <f t="shared" ca="1" si="713"/>
        <v>557072</v>
      </c>
      <c r="GA227">
        <f t="shared" si="714"/>
        <v>75000</v>
      </c>
      <c r="GB227">
        <f t="shared" ca="1" si="715"/>
        <v>482072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82072</v>
      </c>
      <c r="GN227">
        <f t="shared" ca="1" si="726"/>
        <v>4103.6000000000004</v>
      </c>
      <c r="GO227">
        <f t="shared" ca="1" si="727"/>
        <v>4104</v>
      </c>
      <c r="GP227">
        <f t="shared" ca="1" si="728"/>
        <v>0</v>
      </c>
      <c r="GQ227">
        <f t="shared" ca="1" si="729"/>
        <v>0</v>
      </c>
      <c r="GR227">
        <f t="shared" ca="1" si="730"/>
        <v>4104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4104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3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796</v>
      </c>
      <c r="FZ228">
        <f t="shared" ca="1" si="713"/>
        <v>813541</v>
      </c>
      <c r="GA228">
        <f t="shared" si="714"/>
        <v>75000</v>
      </c>
      <c r="GB228">
        <f t="shared" ca="1" si="715"/>
        <v>738541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338541</v>
      </c>
      <c r="GN228">
        <f t="shared" ca="1" si="726"/>
        <v>16927.05</v>
      </c>
      <c r="GO228">
        <f t="shared" ca="1" si="727"/>
        <v>16927</v>
      </c>
      <c r="GP228">
        <f t="shared" ca="1" si="728"/>
        <v>0</v>
      </c>
      <c r="GQ228">
        <f t="shared" ca="1" si="729"/>
        <v>0</v>
      </c>
      <c r="GR228">
        <f t="shared" ca="1" si="730"/>
        <v>16927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16927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3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557</v>
      </c>
      <c r="FZ229">
        <f t="shared" ca="1" si="713"/>
        <v>834743</v>
      </c>
      <c r="GA229">
        <f t="shared" si="714"/>
        <v>75000</v>
      </c>
      <c r="GB229">
        <f t="shared" ca="1" si="715"/>
        <v>759743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359743</v>
      </c>
      <c r="GN229">
        <f t="shared" ca="1" si="726"/>
        <v>17987.150000000001</v>
      </c>
      <c r="GO229">
        <f t="shared" ca="1" si="727"/>
        <v>17987</v>
      </c>
      <c r="GP229">
        <f t="shared" ca="1" si="728"/>
        <v>0</v>
      </c>
      <c r="GQ229">
        <f t="shared" ca="1" si="729"/>
        <v>0</v>
      </c>
      <c r="GR229">
        <f t="shared" ca="1" si="730"/>
        <v>17987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17987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3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7400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578867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526467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466467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466467</v>
      </c>
      <c r="FP230">
        <f t="shared" si="704"/>
        <v>10823</v>
      </c>
      <c r="FQ230">
        <f t="shared" si="705"/>
        <v>0</v>
      </c>
      <c r="FR230">
        <f t="shared" si="706"/>
        <v>10823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818</v>
      </c>
      <c r="FZ230">
        <f t="shared" ca="1" si="713"/>
        <v>579685</v>
      </c>
      <c r="GA230">
        <f t="shared" si="714"/>
        <v>75000</v>
      </c>
      <c r="GB230">
        <f t="shared" ca="1" si="715"/>
        <v>504685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104685</v>
      </c>
      <c r="GN230">
        <f t="shared" ca="1" si="726"/>
        <v>5234.25</v>
      </c>
      <c r="GO230">
        <f t="shared" ca="1" si="727"/>
        <v>5234</v>
      </c>
      <c r="GP230">
        <f t="shared" ca="1" si="728"/>
        <v>0</v>
      </c>
      <c r="GQ230">
        <f t="shared" ca="1" si="729"/>
        <v>0</v>
      </c>
      <c r="GR230">
        <f t="shared" ca="1" si="730"/>
        <v>5234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5234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3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7400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487868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435668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411668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411668</v>
      </c>
      <c r="FP231">
        <f t="shared" si="704"/>
        <v>8083</v>
      </c>
      <c r="FQ231">
        <f t="shared" si="705"/>
        <v>0</v>
      </c>
      <c r="FR231">
        <f t="shared" si="706"/>
        <v>8083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1531</v>
      </c>
      <c r="FZ231">
        <f t="shared" ca="1" si="713"/>
        <v>489399</v>
      </c>
      <c r="GA231">
        <f t="shared" si="714"/>
        <v>75000</v>
      </c>
      <c r="GB231">
        <f t="shared" ca="1" si="715"/>
        <v>414399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14399</v>
      </c>
      <c r="GN231">
        <f t="shared" ca="1" si="726"/>
        <v>719.95</v>
      </c>
      <c r="GO231">
        <f t="shared" ca="1" si="727"/>
        <v>720</v>
      </c>
      <c r="GP231">
        <f t="shared" ca="1" si="728"/>
        <v>0</v>
      </c>
      <c r="GQ231">
        <f t="shared" ca="1" si="729"/>
        <v>0</v>
      </c>
      <c r="GR231">
        <f t="shared" ca="1" si="730"/>
        <v>720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720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3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7400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5000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42780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5000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42780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5000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42780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5000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42780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5000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44439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5000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44210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5000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44210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5000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44210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5000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44210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5000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44210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5000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44210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5000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44210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594829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542429</v>
      </c>
      <c r="ER232">
        <f t="shared" si="698"/>
        <v>60000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60000</v>
      </c>
      <c r="FE232">
        <f t="shared" si="701"/>
        <v>60000</v>
      </c>
      <c r="FF232">
        <f t="shared" si="702"/>
        <v>482429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482429</v>
      </c>
      <c r="FP232">
        <f t="shared" si="704"/>
        <v>11621</v>
      </c>
      <c r="FQ232">
        <f t="shared" si="705"/>
        <v>0</v>
      </c>
      <c r="FR232">
        <f t="shared" si="706"/>
        <v>11621</v>
      </c>
      <c r="FS232">
        <f t="shared" si="707"/>
        <v>0</v>
      </c>
      <c r="FT232">
        <f t="shared" si="708"/>
        <v>0</v>
      </c>
      <c r="FU232">
        <f t="shared" si="709"/>
        <v>0</v>
      </c>
      <c r="FV232">
        <v>0</v>
      </c>
      <c r="FW232">
        <f t="shared" si="710"/>
        <v>0</v>
      </c>
      <c r="FX232" t="b">
        <f t="shared" si="711"/>
        <v>1</v>
      </c>
      <c r="FY232">
        <f t="shared" ca="1" si="712"/>
        <v>752</v>
      </c>
      <c r="FZ232">
        <f t="shared" ca="1" si="713"/>
        <v>595581</v>
      </c>
      <c r="GA232">
        <f t="shared" si="714"/>
        <v>75000</v>
      </c>
      <c r="GB232">
        <f t="shared" ca="1" si="715"/>
        <v>520581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120581</v>
      </c>
      <c r="GN232">
        <f t="shared" ca="1" si="726"/>
        <v>6029.05</v>
      </c>
      <c r="GO232">
        <f t="shared" ca="1" si="727"/>
        <v>6029</v>
      </c>
      <c r="GP232">
        <f t="shared" ca="1" si="728"/>
        <v>0</v>
      </c>
      <c r="GQ232">
        <f t="shared" ca="1" si="729"/>
        <v>0</v>
      </c>
      <c r="GR232">
        <f t="shared" ca="1" si="730"/>
        <v>6029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6029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3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7400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578870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526470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490470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490470</v>
      </c>
      <c r="FP233">
        <f t="shared" si="704"/>
        <v>12024</v>
      </c>
      <c r="FQ233">
        <f t="shared" si="705"/>
        <v>0</v>
      </c>
      <c r="FR233">
        <f t="shared" si="706"/>
        <v>12024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659</v>
      </c>
      <c r="FZ233">
        <f t="shared" ca="1" si="713"/>
        <v>579529</v>
      </c>
      <c r="GA233">
        <f t="shared" si="714"/>
        <v>75000</v>
      </c>
      <c r="GB233">
        <f t="shared" ca="1" si="715"/>
        <v>504529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104529</v>
      </c>
      <c r="GN233">
        <f t="shared" ca="1" si="726"/>
        <v>5226.4500000000007</v>
      </c>
      <c r="GO233">
        <f t="shared" ca="1" si="727"/>
        <v>5226</v>
      </c>
      <c r="GP233">
        <f t="shared" ca="1" si="728"/>
        <v>0</v>
      </c>
      <c r="GQ233">
        <f t="shared" ca="1" si="729"/>
        <v>0</v>
      </c>
      <c r="GR233">
        <f t="shared" ca="1" si="730"/>
        <v>5226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5226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3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7400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531031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478631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454631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454631</v>
      </c>
      <c r="FP234">
        <f t="shared" si="704"/>
        <v>10232</v>
      </c>
      <c r="FQ234">
        <f t="shared" si="705"/>
        <v>0</v>
      </c>
      <c r="FR234">
        <f t="shared" si="706"/>
        <v>10232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561</v>
      </c>
      <c r="FZ234">
        <f t="shared" ca="1" si="713"/>
        <v>531592</v>
      </c>
      <c r="GA234">
        <f t="shared" si="714"/>
        <v>75000</v>
      </c>
      <c r="GB234">
        <f t="shared" ca="1" si="715"/>
        <v>456592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56592</v>
      </c>
      <c r="GN234">
        <f t="shared" ca="1" si="726"/>
        <v>2829.6000000000004</v>
      </c>
      <c r="GO234">
        <f t="shared" ca="1" si="727"/>
        <v>2830</v>
      </c>
      <c r="GP234">
        <f t="shared" ca="1" si="728"/>
        <v>0</v>
      </c>
      <c r="GQ234">
        <f t="shared" ca="1" si="729"/>
        <v>0</v>
      </c>
      <c r="GR234">
        <f t="shared" ca="1" si="730"/>
        <v>2830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2830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3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7400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43850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3000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43850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3000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43850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3000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43850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3000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45512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3000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45280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3000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45280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3000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45280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3000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45280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3000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45280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3000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45280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3000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45280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583672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531272</v>
      </c>
      <c r="ER235">
        <f t="shared" si="698"/>
        <v>36000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36000</v>
      </c>
      <c r="FE235">
        <f t="shared" si="701"/>
        <v>36000</v>
      </c>
      <c r="FF235">
        <f t="shared" si="702"/>
        <v>495272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495272</v>
      </c>
      <c r="FP235">
        <f t="shared" si="704"/>
        <v>12264</v>
      </c>
      <c r="FQ235">
        <f t="shared" si="705"/>
        <v>0</v>
      </c>
      <c r="FR235">
        <f t="shared" si="706"/>
        <v>12264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678</v>
      </c>
      <c r="FZ235">
        <f t="shared" ca="1" si="713"/>
        <v>584350</v>
      </c>
      <c r="GA235">
        <f t="shared" si="714"/>
        <v>75000</v>
      </c>
      <c r="GB235">
        <f t="shared" ca="1" si="715"/>
        <v>509350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109350</v>
      </c>
      <c r="GN235">
        <f t="shared" ca="1" si="726"/>
        <v>5467.5</v>
      </c>
      <c r="GO235">
        <f t="shared" ca="1" si="727"/>
        <v>5468</v>
      </c>
      <c r="GP235">
        <f t="shared" ca="1" si="728"/>
        <v>0</v>
      </c>
      <c r="GQ235">
        <f t="shared" ca="1" si="729"/>
        <v>0</v>
      </c>
      <c r="GR235">
        <f t="shared" ca="1" si="730"/>
        <v>5468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5468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3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7400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578873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526473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490473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490473</v>
      </c>
      <c r="FP236">
        <f t="shared" si="704"/>
        <v>12024</v>
      </c>
      <c r="FQ236">
        <f t="shared" si="705"/>
        <v>0</v>
      </c>
      <c r="FR236">
        <f t="shared" si="706"/>
        <v>12024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994</v>
      </c>
      <c r="FZ236">
        <f t="shared" ca="1" si="713"/>
        <v>579867</v>
      </c>
      <c r="GA236">
        <f t="shared" si="714"/>
        <v>75000</v>
      </c>
      <c r="GB236">
        <f t="shared" ca="1" si="715"/>
        <v>504867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104867</v>
      </c>
      <c r="GN236">
        <f t="shared" ca="1" si="726"/>
        <v>5243.35</v>
      </c>
      <c r="GO236">
        <f t="shared" ca="1" si="727"/>
        <v>5243</v>
      </c>
      <c r="GP236">
        <f t="shared" ca="1" si="728"/>
        <v>0</v>
      </c>
      <c r="GQ236">
        <f t="shared" ca="1" si="729"/>
        <v>0</v>
      </c>
      <c r="GR236">
        <f t="shared" ca="1" si="730"/>
        <v>5243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5243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3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7400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583674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531274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501274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501274</v>
      </c>
      <c r="FP237">
        <f t="shared" si="704"/>
        <v>12500</v>
      </c>
      <c r="FQ237">
        <f t="shared" si="705"/>
        <v>255</v>
      </c>
      <c r="FR237">
        <f t="shared" si="706"/>
        <v>12755</v>
      </c>
      <c r="FS237">
        <f t="shared" si="707"/>
        <v>12755</v>
      </c>
      <c r="FT237">
        <f t="shared" si="708"/>
        <v>510.2</v>
      </c>
      <c r="FU237">
        <f t="shared" si="709"/>
        <v>13265</v>
      </c>
      <c r="FV237">
        <v>0</v>
      </c>
      <c r="FW237">
        <f t="shared" si="710"/>
        <v>13265</v>
      </c>
      <c r="FX237" t="b">
        <f t="shared" si="711"/>
        <v>1</v>
      </c>
      <c r="FY237">
        <f t="shared" ca="1" si="712"/>
        <v>805</v>
      </c>
      <c r="FZ237">
        <f t="shared" ca="1" si="713"/>
        <v>584479</v>
      </c>
      <c r="GA237">
        <f t="shared" si="714"/>
        <v>75000</v>
      </c>
      <c r="GB237">
        <f t="shared" ca="1" si="715"/>
        <v>509479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109479</v>
      </c>
      <c r="GN237">
        <f t="shared" ca="1" si="726"/>
        <v>5473.9500000000007</v>
      </c>
      <c r="GO237">
        <f t="shared" ca="1" si="727"/>
        <v>5474</v>
      </c>
      <c r="GP237">
        <f t="shared" ca="1" si="728"/>
        <v>0</v>
      </c>
      <c r="GQ237">
        <f t="shared" ca="1" si="729"/>
        <v>0</v>
      </c>
      <c r="GR237">
        <f t="shared" ca="1" si="730"/>
        <v>5474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5474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3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7400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562235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509835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479835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479835</v>
      </c>
      <c r="FP238">
        <f t="shared" si="704"/>
        <v>11492</v>
      </c>
      <c r="FQ238">
        <f t="shared" si="705"/>
        <v>0</v>
      </c>
      <c r="FR238">
        <f t="shared" si="706"/>
        <v>11492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601</v>
      </c>
      <c r="FZ238">
        <f t="shared" ca="1" si="713"/>
        <v>562836</v>
      </c>
      <c r="GA238">
        <f t="shared" si="714"/>
        <v>75000</v>
      </c>
      <c r="GB238">
        <f t="shared" ca="1" si="715"/>
        <v>487836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87836</v>
      </c>
      <c r="GN238">
        <f t="shared" ca="1" si="726"/>
        <v>4391.8</v>
      </c>
      <c r="GO238">
        <f t="shared" ca="1" si="727"/>
        <v>4392</v>
      </c>
      <c r="GP238">
        <f t="shared" ca="1" si="728"/>
        <v>0</v>
      </c>
      <c r="GQ238">
        <f t="shared" ca="1" si="729"/>
        <v>0</v>
      </c>
      <c r="GR238">
        <f t="shared" ca="1" si="730"/>
        <v>4392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4392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3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7400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487876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435676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411676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411676</v>
      </c>
      <c r="FP239">
        <f t="shared" si="704"/>
        <v>8084</v>
      </c>
      <c r="FQ239">
        <f t="shared" si="705"/>
        <v>0</v>
      </c>
      <c r="FR239">
        <f t="shared" si="706"/>
        <v>8084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2665</v>
      </c>
      <c r="FZ239">
        <f t="shared" ca="1" si="713"/>
        <v>490541</v>
      </c>
      <c r="GA239">
        <f t="shared" si="714"/>
        <v>75000</v>
      </c>
      <c r="GB239">
        <f t="shared" ca="1" si="715"/>
        <v>415541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15541</v>
      </c>
      <c r="GN239">
        <f t="shared" ca="1" si="726"/>
        <v>777.05000000000007</v>
      </c>
      <c r="GO239">
        <f t="shared" ca="1" si="727"/>
        <v>777</v>
      </c>
      <c r="GP239">
        <f t="shared" ca="1" si="728"/>
        <v>0</v>
      </c>
      <c r="GQ239">
        <f t="shared" ca="1" si="729"/>
        <v>0</v>
      </c>
      <c r="GR239">
        <f t="shared" ca="1" si="730"/>
        <v>777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777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3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704</v>
      </c>
      <c r="FZ240">
        <f t="shared" ca="1" si="713"/>
        <v>776261</v>
      </c>
      <c r="GA240">
        <f t="shared" si="714"/>
        <v>75000</v>
      </c>
      <c r="GB240">
        <f t="shared" ca="1" si="715"/>
        <v>701261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301261</v>
      </c>
      <c r="GN240">
        <f t="shared" ca="1" si="726"/>
        <v>15063.050000000001</v>
      </c>
      <c r="GO240">
        <f t="shared" ca="1" si="727"/>
        <v>15063</v>
      </c>
      <c r="GP240">
        <f t="shared" ca="1" si="728"/>
        <v>0</v>
      </c>
      <c r="GQ240">
        <f t="shared" ca="1" si="729"/>
        <v>0</v>
      </c>
      <c r="GR240">
        <f t="shared" ca="1" si="730"/>
        <v>15063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15063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3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7400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578878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526478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496478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496478</v>
      </c>
      <c r="FP241">
        <f t="shared" si="704"/>
        <v>12324</v>
      </c>
      <c r="FQ241">
        <f t="shared" si="705"/>
        <v>0</v>
      </c>
      <c r="FR241">
        <f t="shared" si="706"/>
        <v>12324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958</v>
      </c>
      <c r="FZ241">
        <f t="shared" ca="1" si="713"/>
        <v>579836</v>
      </c>
      <c r="GA241">
        <f t="shared" si="714"/>
        <v>75000</v>
      </c>
      <c r="GB241">
        <f t="shared" ca="1" si="715"/>
        <v>504836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104836</v>
      </c>
      <c r="GN241">
        <f t="shared" ca="1" si="726"/>
        <v>5241.8</v>
      </c>
      <c r="GO241">
        <f t="shared" ca="1" si="727"/>
        <v>5242</v>
      </c>
      <c r="GP241">
        <f t="shared" ca="1" si="728"/>
        <v>0</v>
      </c>
      <c r="GQ241">
        <f t="shared" ca="1" si="729"/>
        <v>0</v>
      </c>
      <c r="GR241">
        <f t="shared" ca="1" si="730"/>
        <v>5242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5242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3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7400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487879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435679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411679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411679</v>
      </c>
      <c r="FP242">
        <f t="shared" si="704"/>
        <v>8084</v>
      </c>
      <c r="FQ242">
        <f t="shared" si="705"/>
        <v>0</v>
      </c>
      <c r="FR242">
        <f t="shared" si="706"/>
        <v>8084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2078</v>
      </c>
      <c r="FZ242">
        <f t="shared" ca="1" si="713"/>
        <v>489957</v>
      </c>
      <c r="GA242">
        <f t="shared" si="714"/>
        <v>75000</v>
      </c>
      <c r="GB242">
        <f t="shared" ca="1" si="715"/>
        <v>414957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14957</v>
      </c>
      <c r="GN242">
        <f t="shared" ca="1" si="726"/>
        <v>747.85</v>
      </c>
      <c r="GO242">
        <f t="shared" ca="1" si="727"/>
        <v>748</v>
      </c>
      <c r="GP242">
        <f t="shared" ca="1" si="728"/>
        <v>0</v>
      </c>
      <c r="GQ242">
        <f t="shared" ca="1" si="729"/>
        <v>0</v>
      </c>
      <c r="GR242">
        <f t="shared" ca="1" si="730"/>
        <v>748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748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3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962</v>
      </c>
      <c r="FZ243">
        <f t="shared" ca="1" si="713"/>
        <v>835162</v>
      </c>
      <c r="GA243">
        <f t="shared" si="714"/>
        <v>75000</v>
      </c>
      <c r="GB243">
        <f t="shared" ca="1" si="715"/>
        <v>760162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360162</v>
      </c>
      <c r="GN243">
        <f t="shared" ca="1" si="726"/>
        <v>18008.100000000002</v>
      </c>
      <c r="GO243">
        <f t="shared" ca="1" si="727"/>
        <v>18008</v>
      </c>
      <c r="GP243">
        <f t="shared" ca="1" si="728"/>
        <v>0</v>
      </c>
      <c r="GQ243">
        <f t="shared" ca="1" si="729"/>
        <v>0</v>
      </c>
      <c r="GR243">
        <f t="shared" ca="1" si="730"/>
        <v>18008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18008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3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581</v>
      </c>
      <c r="FZ244">
        <f t="shared" ca="1" si="713"/>
        <v>776142</v>
      </c>
      <c r="GA244">
        <f t="shared" si="714"/>
        <v>75000</v>
      </c>
      <c r="GB244">
        <f t="shared" ca="1" si="715"/>
        <v>701142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301142</v>
      </c>
      <c r="GN244">
        <f t="shared" ca="1" si="726"/>
        <v>15057.1</v>
      </c>
      <c r="GO244">
        <f t="shared" ca="1" si="727"/>
        <v>15057</v>
      </c>
      <c r="GP244">
        <f t="shared" ca="1" si="728"/>
        <v>0</v>
      </c>
      <c r="GQ244">
        <f t="shared" ca="1" si="729"/>
        <v>0</v>
      </c>
      <c r="GR244">
        <f t="shared" ca="1" si="730"/>
        <v>15057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15057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3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7400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562242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509842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479842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479842</v>
      </c>
      <c r="FP245">
        <f t="shared" si="704"/>
        <v>11492</v>
      </c>
      <c r="FQ245">
        <f t="shared" si="705"/>
        <v>0</v>
      </c>
      <c r="FR245">
        <f t="shared" si="706"/>
        <v>11492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972</v>
      </c>
      <c r="FZ245">
        <f t="shared" ca="1" si="713"/>
        <v>563214</v>
      </c>
      <c r="GA245">
        <f t="shared" si="714"/>
        <v>75000</v>
      </c>
      <c r="GB245">
        <f t="shared" ca="1" si="715"/>
        <v>488214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88214</v>
      </c>
      <c r="GN245">
        <f t="shared" ca="1" si="726"/>
        <v>4410.7</v>
      </c>
      <c r="GO245">
        <f t="shared" ca="1" si="727"/>
        <v>4411</v>
      </c>
      <c r="GP245">
        <f t="shared" ca="1" si="728"/>
        <v>0</v>
      </c>
      <c r="GQ245">
        <f t="shared" ca="1" si="729"/>
        <v>0</v>
      </c>
      <c r="GR245">
        <f t="shared" ca="1" si="730"/>
        <v>4411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4411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3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7400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562243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509843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479843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479843</v>
      </c>
      <c r="FP246">
        <f t="shared" si="704"/>
        <v>11492</v>
      </c>
      <c r="FQ246">
        <f t="shared" si="705"/>
        <v>0</v>
      </c>
      <c r="FR246">
        <f t="shared" si="706"/>
        <v>11492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772</v>
      </c>
      <c r="FZ246">
        <f t="shared" ca="1" si="713"/>
        <v>563015</v>
      </c>
      <c r="GA246">
        <f t="shared" si="714"/>
        <v>75000</v>
      </c>
      <c r="GB246">
        <f t="shared" ca="1" si="715"/>
        <v>488015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88015</v>
      </c>
      <c r="GN246">
        <f t="shared" ca="1" si="726"/>
        <v>4400.75</v>
      </c>
      <c r="GO246">
        <f t="shared" ca="1" si="727"/>
        <v>4401</v>
      </c>
      <c r="GP246">
        <f t="shared" ca="1" si="728"/>
        <v>0</v>
      </c>
      <c r="GQ246">
        <f t="shared" ca="1" si="729"/>
        <v>0</v>
      </c>
      <c r="GR246">
        <f t="shared" ca="1" si="730"/>
        <v>4401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4401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3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7400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631404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579004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543004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543004</v>
      </c>
      <c r="FP247">
        <f t="shared" si="704"/>
        <v>12500</v>
      </c>
      <c r="FQ247">
        <f t="shared" si="705"/>
        <v>8601</v>
      </c>
      <c r="FR247">
        <f t="shared" si="706"/>
        <v>21101</v>
      </c>
      <c r="FS247">
        <f t="shared" si="707"/>
        <v>21101</v>
      </c>
      <c r="FT247">
        <f t="shared" si="708"/>
        <v>844.04</v>
      </c>
      <c r="FU247">
        <f t="shared" si="709"/>
        <v>21945</v>
      </c>
      <c r="FV247">
        <v>0</v>
      </c>
      <c r="FW247">
        <f t="shared" si="710"/>
        <v>21945</v>
      </c>
      <c r="FX247" t="b">
        <f t="shared" si="711"/>
        <v>1</v>
      </c>
      <c r="FY247">
        <f t="shared" ca="1" si="712"/>
        <v>847</v>
      </c>
      <c r="FZ247">
        <f t="shared" ca="1" si="713"/>
        <v>632251</v>
      </c>
      <c r="GA247">
        <f t="shared" si="714"/>
        <v>75000</v>
      </c>
      <c r="GB247">
        <f t="shared" ca="1" si="715"/>
        <v>557251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157251</v>
      </c>
      <c r="GN247">
        <f t="shared" ca="1" si="726"/>
        <v>7862.55</v>
      </c>
      <c r="GO247">
        <f t="shared" ca="1" si="727"/>
        <v>7863</v>
      </c>
      <c r="GP247">
        <f t="shared" ca="1" si="728"/>
        <v>0</v>
      </c>
      <c r="GQ247">
        <f t="shared" ca="1" si="729"/>
        <v>0</v>
      </c>
      <c r="GR247">
        <f t="shared" ca="1" si="730"/>
        <v>7863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7863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3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57100</v>
      </c>
      <c r="T248">
        <f t="shared" si="637"/>
        <v>10278</v>
      </c>
      <c r="U248">
        <f t="shared" si="638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39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200</v>
      </c>
      <c r="AB248">
        <f t="shared" si="641"/>
        <v>74430</v>
      </c>
      <c r="AC248">
        <f>_xlfn.XLOOKUP(B248,'[3]may-2026'!$A:$A,'[3]may-2026'!$C:$C,0,0)</f>
        <v>57100</v>
      </c>
      <c r="AD248">
        <f t="shared" si="642"/>
        <v>10278</v>
      </c>
      <c r="AE248">
        <f t="shared" si="643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4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200</v>
      </c>
      <c r="AL248">
        <f t="shared" si="646"/>
        <v>74430</v>
      </c>
      <c r="AM248">
        <f>_xlfn.XLOOKUP(B248,'[4]june-2026'!$A:$A,'[4]june-2026'!$C:$C,0,0)</f>
        <v>57100</v>
      </c>
      <c r="AN248">
        <f t="shared" si="647"/>
        <v>10278</v>
      </c>
      <c r="AO248">
        <f t="shared" si="648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49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200</v>
      </c>
      <c r="AV248">
        <f t="shared" si="651"/>
        <v>74430</v>
      </c>
      <c r="AW248">
        <f>_xlfn.XLOOKUP(B248,'[5]july-2026'!$A:$A,'[5]july-2026'!$C:$C,0,0)</f>
        <v>58800</v>
      </c>
      <c r="AX248">
        <f t="shared" si="652"/>
        <v>10584</v>
      </c>
      <c r="AY248">
        <v>245</v>
      </c>
      <c r="AZ248">
        <f t="shared" si="653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4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200</v>
      </c>
      <c r="BG248">
        <f t="shared" si="656"/>
        <v>76885</v>
      </c>
      <c r="BH248">
        <f>_xlfn.XLOOKUP(B248,'[6]august-2026'!$A:$A,'[6]august-2026'!$C:$C,0,0)</f>
        <v>58800</v>
      </c>
      <c r="BI248">
        <f t="shared" si="657"/>
        <v>10584</v>
      </c>
      <c r="BJ248">
        <f t="shared" si="658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59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200</v>
      </c>
      <c r="BQ248">
        <f t="shared" si="661"/>
        <v>76640</v>
      </c>
      <c r="BR248">
        <f>_xlfn.XLOOKUP(B248,'[7]september-2026'!$A:$A,'[7]september-2026'!$C:$C,0,0)</f>
        <v>58800</v>
      </c>
      <c r="BS248">
        <f t="shared" si="662"/>
        <v>10584</v>
      </c>
      <c r="BT248">
        <f t="shared" si="663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4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200</v>
      </c>
      <c r="CA248">
        <f t="shared" si="666"/>
        <v>76640</v>
      </c>
      <c r="CB248">
        <f>_xlfn.XLOOKUP(B248,'[8]october-2026'!$A:$A,'[8]october-2026'!$C:$C,0,0)</f>
        <v>58800</v>
      </c>
      <c r="CC248">
        <f t="shared" si="667"/>
        <v>10584</v>
      </c>
      <c r="CD248">
        <f t="shared" si="668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69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200</v>
      </c>
      <c r="CK248">
        <f t="shared" si="671"/>
        <v>76640</v>
      </c>
      <c r="CL248">
        <f>_xlfn.XLOOKUP(B248,'[9]november-2026'!$A:$A,'[9]november-2026'!$C:$C,0,0)</f>
        <v>58800</v>
      </c>
      <c r="CM248">
        <f t="shared" si="672"/>
        <v>10584</v>
      </c>
      <c r="CN248">
        <f t="shared" si="673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4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200</v>
      </c>
      <c r="CU248">
        <f t="shared" si="676"/>
        <v>76640</v>
      </c>
      <c r="CV248">
        <f>_xlfn.XLOOKUP(B248,'[10]december-2026'!$A:$A,'[10]december-2026'!$C:$C,0,0)</f>
        <v>58800</v>
      </c>
      <c r="CW248">
        <f t="shared" si="677"/>
        <v>10584</v>
      </c>
      <c r="CX248">
        <f t="shared" si="678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79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200</v>
      </c>
      <c r="DE248">
        <f t="shared" si="681"/>
        <v>76640</v>
      </c>
      <c r="DF248">
        <f xml:space="preserve"> _xlfn.XLOOKUP(B248,
'[11]january-2027'!$A:$A,
'[11]january-2027'!$C:$C,
0,0)</f>
        <v>58800</v>
      </c>
      <c r="DG248">
        <f t="shared" si="682"/>
        <v>10584</v>
      </c>
      <c r="DH248">
        <f t="shared" si="683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200</v>
      </c>
      <c r="DO248">
        <f t="shared" si="686"/>
        <v>76640</v>
      </c>
      <c r="DP248">
        <f xml:space="preserve"> _xlfn.XLOOKUP(B248,
'[12]february-2027'!$A:$A,
'[12]february-2027'!$C:$C,
0,0)</f>
        <v>58800</v>
      </c>
      <c r="DQ248">
        <f t="shared" si="687"/>
        <v>10584</v>
      </c>
      <c r="DR248">
        <f t="shared" si="688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89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200</v>
      </c>
      <c r="DY248">
        <f t="shared" si="691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913485</v>
      </c>
      <c r="EN248">
        <f t="shared" si="694"/>
        <v>2400</v>
      </c>
      <c r="EO248">
        <f t="shared" si="695"/>
        <v>50000</v>
      </c>
      <c r="EP248">
        <v>0</v>
      </c>
      <c r="EQ248">
        <f t="shared" si="697"/>
        <v>861085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861085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861085</v>
      </c>
      <c r="FP248">
        <f t="shared" si="704"/>
        <v>12500</v>
      </c>
      <c r="FQ248">
        <f t="shared" si="705"/>
        <v>72217</v>
      </c>
      <c r="FR248">
        <f t="shared" si="706"/>
        <v>84717</v>
      </c>
      <c r="FS248">
        <f t="shared" si="707"/>
        <v>84717</v>
      </c>
      <c r="FT248">
        <f t="shared" si="708"/>
        <v>3388.6800000000003</v>
      </c>
      <c r="FU248">
        <f t="shared" si="709"/>
        <v>88106</v>
      </c>
      <c r="FV248">
        <v>0</v>
      </c>
      <c r="FW248">
        <f t="shared" si="710"/>
        <v>88106</v>
      </c>
      <c r="FX248" t="b">
        <f t="shared" si="711"/>
        <v>1</v>
      </c>
      <c r="FY248">
        <f t="shared" ca="1" si="712"/>
        <v>834</v>
      </c>
      <c r="FZ248">
        <f t="shared" ca="1" si="713"/>
        <v>914319</v>
      </c>
      <c r="GA248">
        <f t="shared" si="714"/>
        <v>75000</v>
      </c>
      <c r="GB248">
        <f t="shared" ca="1" si="715"/>
        <v>839319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39319</v>
      </c>
      <c r="GL248">
        <f t="shared" ca="1" si="724"/>
        <v>3931.9</v>
      </c>
      <c r="GM248">
        <f t="shared" ca="1" si="725"/>
        <v>400000</v>
      </c>
      <c r="GN248">
        <f t="shared" ca="1" si="726"/>
        <v>20000</v>
      </c>
      <c r="GO248">
        <f t="shared" ca="1" si="727"/>
        <v>23932</v>
      </c>
      <c r="GP248">
        <f t="shared" ca="1" si="728"/>
        <v>0</v>
      </c>
      <c r="GQ248">
        <f t="shared" ca="1" si="729"/>
        <v>0</v>
      </c>
      <c r="GR248">
        <f t="shared" ca="1" si="730"/>
        <v>23932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23932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3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7400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501926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449526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425526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425526</v>
      </c>
      <c r="FP249">
        <f t="shared" si="704"/>
        <v>8776</v>
      </c>
      <c r="FQ249">
        <f t="shared" si="705"/>
        <v>0</v>
      </c>
      <c r="FR249">
        <f t="shared" si="706"/>
        <v>8776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726</v>
      </c>
      <c r="FZ249">
        <f t="shared" ca="1" si="713"/>
        <v>502652</v>
      </c>
      <c r="GA249">
        <f t="shared" si="714"/>
        <v>75000</v>
      </c>
      <c r="GB249">
        <f t="shared" ca="1" si="715"/>
        <v>427652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27652</v>
      </c>
      <c r="GN249">
        <f t="shared" ca="1" si="726"/>
        <v>1382.6000000000001</v>
      </c>
      <c r="GO249">
        <f t="shared" ca="1" si="727"/>
        <v>1383</v>
      </c>
      <c r="GP249">
        <f t="shared" ca="1" si="728"/>
        <v>0</v>
      </c>
      <c r="GQ249">
        <f t="shared" ca="1" si="729"/>
        <v>0</v>
      </c>
      <c r="GR249">
        <f t="shared" ca="1" si="730"/>
        <v>1383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1383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3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7400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481887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430037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406037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406037</v>
      </c>
      <c r="FP250">
        <f t="shared" si="704"/>
        <v>7802</v>
      </c>
      <c r="FQ250">
        <f t="shared" si="705"/>
        <v>0</v>
      </c>
      <c r="FR250">
        <f t="shared" si="706"/>
        <v>7802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1295</v>
      </c>
      <c r="FZ250">
        <f t="shared" ca="1" si="713"/>
        <v>483182</v>
      </c>
      <c r="GA250">
        <f t="shared" si="714"/>
        <v>75000</v>
      </c>
      <c r="GB250">
        <f t="shared" ca="1" si="715"/>
        <v>408182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8182</v>
      </c>
      <c r="GN250">
        <f t="shared" ca="1" si="726"/>
        <v>409.1</v>
      </c>
      <c r="GO250">
        <f t="shared" ca="1" si="727"/>
        <v>409</v>
      </c>
      <c r="GP250">
        <f t="shared" ca="1" si="728"/>
        <v>0</v>
      </c>
      <c r="GQ250">
        <f t="shared" ca="1" si="729"/>
        <v>0</v>
      </c>
      <c r="GR250">
        <f t="shared" ca="1" si="730"/>
        <v>409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409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3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7400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487888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435688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411688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411688</v>
      </c>
      <c r="FP251">
        <f t="shared" si="704"/>
        <v>8084</v>
      </c>
      <c r="FQ251">
        <f t="shared" si="705"/>
        <v>0</v>
      </c>
      <c r="FR251">
        <f t="shared" si="706"/>
        <v>8084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1257</v>
      </c>
      <c r="FZ251">
        <f t="shared" ca="1" si="713"/>
        <v>489145</v>
      </c>
      <c r="GA251">
        <f t="shared" si="714"/>
        <v>75000</v>
      </c>
      <c r="GB251">
        <f t="shared" ca="1" si="715"/>
        <v>414145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14145</v>
      </c>
      <c r="GN251">
        <f t="shared" ca="1" si="726"/>
        <v>707.25</v>
      </c>
      <c r="GO251">
        <f t="shared" ca="1" si="727"/>
        <v>707</v>
      </c>
      <c r="GP251">
        <f t="shared" ca="1" si="728"/>
        <v>0</v>
      </c>
      <c r="GQ251">
        <f t="shared" ca="1" si="729"/>
        <v>0</v>
      </c>
      <c r="GR251">
        <f t="shared" ca="1" si="730"/>
        <v>707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707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3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7400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2000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35920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2000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35920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464489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412689</v>
      </c>
      <c r="ER252">
        <f t="shared" ref="ER252" si="887">DV252+DL252+DB252+CR252+CH252+BX252+BN252+BD252+AS252+AI252+Y252+O252</f>
        <v>4000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4000</v>
      </c>
      <c r="FE252">
        <f t="shared" ref="FE252" si="890">IF(FD252&gt;=150000,150000,FD252)</f>
        <v>4000</v>
      </c>
      <c r="FF252">
        <f t="shared" ref="FF252" si="891">EQ252-FE252</f>
        <v>408689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408689</v>
      </c>
      <c r="FP252">
        <f t="shared" ref="FP252" si="893">ROUND(IF(FO252&gt;0,IF(FO252&gt;500000,12500,(FO252-250000)*0.05),0),0)</f>
        <v>7934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7934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2672</v>
      </c>
      <c r="FZ252">
        <f t="shared" ref="FZ252" ca="1" si="902">EM252+FY252</f>
        <v>467161</v>
      </c>
      <c r="GA252">
        <f t="shared" ref="GA252" si="903">IF(EM252&gt;0,75000,0)</f>
        <v>75000</v>
      </c>
      <c r="GB252">
        <f t="shared" ref="GB252" ca="1" si="904">FZ252-GA252</f>
        <v>392161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3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7400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636210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583810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547810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547810</v>
      </c>
      <c r="FP253">
        <f t="shared" si="704"/>
        <v>12500</v>
      </c>
      <c r="FQ253">
        <f t="shared" si="705"/>
        <v>9562</v>
      </c>
      <c r="FR253">
        <f t="shared" si="706"/>
        <v>22062</v>
      </c>
      <c r="FS253">
        <f t="shared" si="707"/>
        <v>22062</v>
      </c>
      <c r="FT253">
        <f t="shared" si="708"/>
        <v>882.48</v>
      </c>
      <c r="FU253">
        <f t="shared" si="709"/>
        <v>22944</v>
      </c>
      <c r="FV253">
        <v>0</v>
      </c>
      <c r="FW253">
        <f t="shared" si="710"/>
        <v>22944</v>
      </c>
      <c r="FX253" t="b">
        <f t="shared" si="711"/>
        <v>1</v>
      </c>
      <c r="FY253">
        <f t="shared" ca="1" si="712"/>
        <v>662</v>
      </c>
      <c r="FZ253">
        <f t="shared" ca="1" si="713"/>
        <v>636872</v>
      </c>
      <c r="GA253">
        <f t="shared" si="714"/>
        <v>75000</v>
      </c>
      <c r="GB253">
        <f t="shared" ca="1" si="715"/>
        <v>561872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161872</v>
      </c>
      <c r="GN253">
        <f t="shared" ca="1" si="726"/>
        <v>8093.6</v>
      </c>
      <c r="GO253">
        <f t="shared" ca="1" si="727"/>
        <v>8094</v>
      </c>
      <c r="GP253">
        <f t="shared" ca="1" si="728"/>
        <v>0</v>
      </c>
      <c r="GQ253">
        <f t="shared" ca="1" si="729"/>
        <v>0</v>
      </c>
      <c r="GR253">
        <f t="shared" ca="1" si="730"/>
        <v>8094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8094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3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673</v>
      </c>
      <c r="FZ254">
        <f t="shared" ca="1" si="713"/>
        <v>782244</v>
      </c>
      <c r="GA254">
        <f t="shared" si="714"/>
        <v>75000</v>
      </c>
      <c r="GB254">
        <f t="shared" ca="1" si="715"/>
        <v>707244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307244</v>
      </c>
      <c r="GN254">
        <f t="shared" ca="1" si="726"/>
        <v>15362.2</v>
      </c>
      <c r="GO254">
        <f t="shared" ca="1" si="727"/>
        <v>15362</v>
      </c>
      <c r="GP254">
        <f t="shared" ca="1" si="728"/>
        <v>0</v>
      </c>
      <c r="GQ254">
        <f t="shared" ca="1" si="729"/>
        <v>0</v>
      </c>
      <c r="GR254">
        <f t="shared" ca="1" si="730"/>
        <v>15362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15362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3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7400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562252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509852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479852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479852</v>
      </c>
      <c r="FP255">
        <f t="shared" si="704"/>
        <v>11493</v>
      </c>
      <c r="FQ255">
        <f t="shared" si="705"/>
        <v>0</v>
      </c>
      <c r="FR255">
        <f t="shared" si="706"/>
        <v>11493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951</v>
      </c>
      <c r="FZ255">
        <f t="shared" ca="1" si="713"/>
        <v>563203</v>
      </c>
      <c r="GA255">
        <f t="shared" si="714"/>
        <v>75000</v>
      </c>
      <c r="GB255">
        <f t="shared" ca="1" si="715"/>
        <v>488203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88203</v>
      </c>
      <c r="GN255">
        <f t="shared" ca="1" si="726"/>
        <v>4410.1500000000005</v>
      </c>
      <c r="GO255">
        <f t="shared" ca="1" si="727"/>
        <v>4410</v>
      </c>
      <c r="GP255">
        <f t="shared" ca="1" si="728"/>
        <v>0</v>
      </c>
      <c r="GQ255">
        <f t="shared" ca="1" si="729"/>
        <v>0</v>
      </c>
      <c r="GR255">
        <f t="shared" ca="1" si="730"/>
        <v>4410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4410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3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7400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562253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509853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479853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479853</v>
      </c>
      <c r="FP256">
        <f t="shared" si="704"/>
        <v>11493</v>
      </c>
      <c r="FQ256">
        <f t="shared" si="705"/>
        <v>0</v>
      </c>
      <c r="FR256">
        <f t="shared" si="706"/>
        <v>11493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848</v>
      </c>
      <c r="FZ256">
        <f t="shared" ca="1" si="713"/>
        <v>563101</v>
      </c>
      <c r="GA256">
        <f t="shared" si="714"/>
        <v>75000</v>
      </c>
      <c r="GB256">
        <f t="shared" ca="1" si="715"/>
        <v>488101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88101</v>
      </c>
      <c r="GN256">
        <f t="shared" ca="1" si="726"/>
        <v>4405.05</v>
      </c>
      <c r="GO256">
        <f t="shared" ca="1" si="727"/>
        <v>4405</v>
      </c>
      <c r="GP256">
        <f t="shared" ca="1" si="728"/>
        <v>0</v>
      </c>
      <c r="GQ256">
        <f t="shared" ca="1" si="729"/>
        <v>0</v>
      </c>
      <c r="GR256">
        <f t="shared" ca="1" si="730"/>
        <v>4405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4405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3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7400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487894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435694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411694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411694</v>
      </c>
      <c r="FP257">
        <f t="shared" si="704"/>
        <v>8085</v>
      </c>
      <c r="FQ257">
        <f t="shared" si="705"/>
        <v>0</v>
      </c>
      <c r="FR257">
        <f t="shared" si="706"/>
        <v>8085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1830</v>
      </c>
      <c r="FZ257">
        <f t="shared" ca="1" si="713"/>
        <v>489724</v>
      </c>
      <c r="GA257">
        <f t="shared" si="714"/>
        <v>75000</v>
      </c>
      <c r="GB257">
        <f t="shared" ca="1" si="715"/>
        <v>414724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14724</v>
      </c>
      <c r="GN257">
        <f t="shared" ca="1" si="726"/>
        <v>736.2</v>
      </c>
      <c r="GO257">
        <f t="shared" ca="1" si="727"/>
        <v>736</v>
      </c>
      <c r="GP257">
        <f t="shared" ca="1" si="728"/>
        <v>0</v>
      </c>
      <c r="GQ257">
        <f t="shared" ca="1" si="729"/>
        <v>0</v>
      </c>
      <c r="GR257">
        <f t="shared" ca="1" si="730"/>
        <v>736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736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3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926</v>
      </c>
      <c r="FZ258">
        <f t="shared" ca="1" si="713"/>
        <v>810701</v>
      </c>
      <c r="GA258">
        <f t="shared" si="714"/>
        <v>75000</v>
      </c>
      <c r="GB258">
        <f t="shared" ca="1" si="715"/>
        <v>735701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335701</v>
      </c>
      <c r="GN258">
        <f t="shared" ca="1" si="726"/>
        <v>16785.05</v>
      </c>
      <c r="GO258">
        <f t="shared" ca="1" si="727"/>
        <v>16785</v>
      </c>
      <c r="GP258">
        <f t="shared" ca="1" si="728"/>
        <v>0</v>
      </c>
      <c r="GQ258">
        <f t="shared" ca="1" si="729"/>
        <v>0</v>
      </c>
      <c r="GR258">
        <f t="shared" ca="1" si="730"/>
        <v>16785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16785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3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IF(AND(_xlfn.DAYS("31-03-2026",G259)&gt;=180,(I259+J259)&gt;46000),0,7400)</f>
        <v>7400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578896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526496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454496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454496</v>
      </c>
      <c r="FP259">
        <f t="shared" si="704"/>
        <v>10225</v>
      </c>
      <c r="FQ259">
        <f t="shared" si="705"/>
        <v>0</v>
      </c>
      <c r="FR259">
        <f t="shared" si="706"/>
        <v>10225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841</v>
      </c>
      <c r="FZ259">
        <f t="shared" ca="1" si="713"/>
        <v>579737</v>
      </c>
      <c r="GA259">
        <f t="shared" si="714"/>
        <v>75000</v>
      </c>
      <c r="GB259">
        <f t="shared" ca="1" si="715"/>
        <v>504737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104737</v>
      </c>
      <c r="GN259">
        <f t="shared" ca="1" si="726"/>
        <v>5236.8500000000004</v>
      </c>
      <c r="GO259">
        <f t="shared" ca="1" si="727"/>
        <v>5237</v>
      </c>
      <c r="GP259">
        <f t="shared" ca="1" si="728"/>
        <v>0</v>
      </c>
      <c r="GQ259">
        <f t="shared" ca="1" si="729"/>
        <v>0</v>
      </c>
      <c r="GR259">
        <f t="shared" ca="1" si="730"/>
        <v>5237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5237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3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7400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578897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526497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490497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490497</v>
      </c>
      <c r="FP260">
        <f t="shared" si="704"/>
        <v>12025</v>
      </c>
      <c r="FQ260">
        <f t="shared" si="705"/>
        <v>0</v>
      </c>
      <c r="FR260">
        <f t="shared" si="706"/>
        <v>12025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622</v>
      </c>
      <c r="FZ260">
        <f t="shared" ca="1" si="713"/>
        <v>579519</v>
      </c>
      <c r="GA260">
        <f t="shared" si="714"/>
        <v>75000</v>
      </c>
      <c r="GB260">
        <f t="shared" ca="1" si="715"/>
        <v>504519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104519</v>
      </c>
      <c r="GN260">
        <f t="shared" ca="1" si="726"/>
        <v>5225.9500000000007</v>
      </c>
      <c r="GO260">
        <f t="shared" ca="1" si="727"/>
        <v>5226</v>
      </c>
      <c r="GP260">
        <f t="shared" ca="1" si="728"/>
        <v>0</v>
      </c>
      <c r="GQ260">
        <f t="shared" ca="1" si="729"/>
        <v>0</v>
      </c>
      <c r="GR260">
        <f t="shared" ca="1" si="730"/>
        <v>5226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5226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3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7400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487898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435698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411698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411698</v>
      </c>
      <c r="FP261">
        <f t="shared" si="704"/>
        <v>8085</v>
      </c>
      <c r="FQ261">
        <f t="shared" si="705"/>
        <v>0</v>
      </c>
      <c r="FR261">
        <f t="shared" si="706"/>
        <v>8085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2408</v>
      </c>
      <c r="FZ261">
        <f t="shared" ca="1" si="713"/>
        <v>490306</v>
      </c>
      <c r="GA261">
        <f t="shared" si="714"/>
        <v>75000</v>
      </c>
      <c r="GB261">
        <f t="shared" ca="1" si="715"/>
        <v>415306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15306</v>
      </c>
      <c r="GN261">
        <f t="shared" ca="1" si="726"/>
        <v>765.30000000000007</v>
      </c>
      <c r="GO261">
        <f t="shared" ca="1" si="727"/>
        <v>765</v>
      </c>
      <c r="GP261">
        <f t="shared" ca="1" si="728"/>
        <v>0</v>
      </c>
      <c r="GQ261">
        <f t="shared" ca="1" si="729"/>
        <v>0</v>
      </c>
      <c r="GR261">
        <f t="shared" ca="1" si="730"/>
        <v>765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765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3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7400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577699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525299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495299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495299</v>
      </c>
      <c r="FP262">
        <f t="shared" si="704"/>
        <v>12265</v>
      </c>
      <c r="FQ262">
        <f t="shared" si="705"/>
        <v>0</v>
      </c>
      <c r="FR262">
        <f t="shared" si="706"/>
        <v>12265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667</v>
      </c>
      <c r="FZ262">
        <f t="shared" ca="1" si="713"/>
        <v>578366</v>
      </c>
      <c r="GA262">
        <f t="shared" si="714"/>
        <v>75000</v>
      </c>
      <c r="GB262">
        <f t="shared" ca="1" si="715"/>
        <v>503366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103366</v>
      </c>
      <c r="GN262">
        <f t="shared" ca="1" si="726"/>
        <v>5168.3</v>
      </c>
      <c r="GO262">
        <f t="shared" ca="1" si="727"/>
        <v>5168</v>
      </c>
      <c r="GP262">
        <f t="shared" ca="1" si="728"/>
        <v>0</v>
      </c>
      <c r="GQ262">
        <f t="shared" ca="1" si="729"/>
        <v>0</v>
      </c>
      <c r="GR262">
        <f t="shared" ca="1" si="730"/>
        <v>5168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5168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3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7400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572900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520500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460500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460500</v>
      </c>
      <c r="FP263">
        <f t="shared" si="704"/>
        <v>10525</v>
      </c>
      <c r="FQ263">
        <f t="shared" si="705"/>
        <v>0</v>
      </c>
      <c r="FR263">
        <f t="shared" si="706"/>
        <v>10525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645</v>
      </c>
      <c r="FZ263">
        <f t="shared" ca="1" si="713"/>
        <v>573545</v>
      </c>
      <c r="GA263">
        <f t="shared" si="714"/>
        <v>75000</v>
      </c>
      <c r="GB263">
        <f t="shared" ca="1" si="715"/>
        <v>498545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98545</v>
      </c>
      <c r="GN263">
        <f t="shared" ca="1" si="726"/>
        <v>4927.25</v>
      </c>
      <c r="GO263">
        <f t="shared" ca="1" si="727"/>
        <v>4927</v>
      </c>
      <c r="GP263">
        <f t="shared" ca="1" si="728"/>
        <v>0</v>
      </c>
      <c r="GQ263">
        <f t="shared" ca="1" si="729"/>
        <v>0</v>
      </c>
      <c r="GR263">
        <f t="shared" ca="1" si="730"/>
        <v>4927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4927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3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990</v>
      </c>
      <c r="FZ264">
        <f t="shared" ca="1" si="713"/>
        <v>860171</v>
      </c>
      <c r="GA264">
        <f t="shared" si="714"/>
        <v>75000</v>
      </c>
      <c r="GB264">
        <f t="shared" ca="1" si="715"/>
        <v>785171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385171</v>
      </c>
      <c r="GN264">
        <f t="shared" ca="1" si="726"/>
        <v>19258.55</v>
      </c>
      <c r="GO264">
        <f t="shared" ca="1" si="727"/>
        <v>19259</v>
      </c>
      <c r="GP264">
        <f t="shared" ca="1" si="728"/>
        <v>0</v>
      </c>
      <c r="GQ264">
        <f t="shared" ca="1" si="729"/>
        <v>0</v>
      </c>
      <c r="GR264">
        <f t="shared" ca="1" si="730"/>
        <v>19259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19259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3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7400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578902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526502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490502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490502</v>
      </c>
      <c r="FP265">
        <f t="shared" si="704"/>
        <v>12025</v>
      </c>
      <c r="FQ265">
        <f t="shared" si="705"/>
        <v>0</v>
      </c>
      <c r="FR265">
        <f t="shared" si="706"/>
        <v>12025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797</v>
      </c>
      <c r="FZ265">
        <f t="shared" ca="1" si="713"/>
        <v>579699</v>
      </c>
      <c r="GA265">
        <f t="shared" si="714"/>
        <v>75000</v>
      </c>
      <c r="GB265">
        <f t="shared" ca="1" si="715"/>
        <v>504699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104699</v>
      </c>
      <c r="GN265">
        <f t="shared" ca="1" si="726"/>
        <v>5234.9500000000007</v>
      </c>
      <c r="GO265">
        <f t="shared" ca="1" si="727"/>
        <v>5235</v>
      </c>
      <c r="GP265">
        <f t="shared" ca="1" si="728"/>
        <v>0</v>
      </c>
      <c r="GQ265">
        <f t="shared" ca="1" si="729"/>
        <v>0</v>
      </c>
      <c r="GR265">
        <f t="shared" ca="1" si="730"/>
        <v>5235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5235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3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7400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487903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435703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411703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411703</v>
      </c>
      <c r="FP266">
        <f t="shared" si="704"/>
        <v>8085</v>
      </c>
      <c r="FQ266">
        <f t="shared" si="705"/>
        <v>0</v>
      </c>
      <c r="FR266">
        <f t="shared" si="706"/>
        <v>8085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2769</v>
      </c>
      <c r="FZ266">
        <f t="shared" ca="1" si="713"/>
        <v>490672</v>
      </c>
      <c r="GA266">
        <f t="shared" si="714"/>
        <v>75000</v>
      </c>
      <c r="GB266">
        <f t="shared" ca="1" si="715"/>
        <v>415672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15672</v>
      </c>
      <c r="GN266">
        <f t="shared" ca="1" si="726"/>
        <v>783.6</v>
      </c>
      <c r="GO266">
        <f t="shared" ca="1" si="727"/>
        <v>784</v>
      </c>
      <c r="GP266">
        <f t="shared" ca="1" si="728"/>
        <v>0</v>
      </c>
      <c r="GQ266">
        <f t="shared" ca="1" si="729"/>
        <v>0</v>
      </c>
      <c r="GR266">
        <f t="shared" ca="1" si="730"/>
        <v>784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784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3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7400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583704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531304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495304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495304</v>
      </c>
      <c r="FP267">
        <f t="shared" ref="FP267:FP312" si="1001">ROUND(IF(FO267&gt;0,IF(FO267&gt;500000,12500,(FO267-250000)*0.05),0),0)</f>
        <v>12265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12265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991</v>
      </c>
      <c r="FZ267">
        <f t="shared" ref="FZ267:FZ312" ca="1" si="1010">EM267+FY267</f>
        <v>584695</v>
      </c>
      <c r="GA267">
        <f t="shared" ref="GA267:GA312" si="1011">IF(EM267&gt;0,75000,0)</f>
        <v>75000</v>
      </c>
      <c r="GB267">
        <f t="shared" ref="GB267:GB312" ca="1" si="1012">FZ267-GA267</f>
        <v>509695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109695</v>
      </c>
      <c r="GN267">
        <f t="shared" ref="GN267:GN312" ca="1" si="1023">GM267*0.05</f>
        <v>5484.75</v>
      </c>
      <c r="GO267">
        <f t="shared" ref="GO267:GO312" ca="1" si="1024">ROUND(GD267+GF267+GH267+GJ267+GL267+GN267,0)</f>
        <v>5485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5485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5485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3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7400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40050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2000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40050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2000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40050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2000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40050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2000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41615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2000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41350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2000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41350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2000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41350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2000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41350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2000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41350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2000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41350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2000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41350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525065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472665</v>
      </c>
      <c r="ER268">
        <f t="shared" si="995"/>
        <v>24000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24000</v>
      </c>
      <c r="FE268">
        <f t="shared" si="998"/>
        <v>24000</v>
      </c>
      <c r="FF268">
        <f t="shared" si="999"/>
        <v>448665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448665</v>
      </c>
      <c r="FP268">
        <f t="shared" si="1001"/>
        <v>9933</v>
      </c>
      <c r="FQ268">
        <f t="shared" si="1002"/>
        <v>0</v>
      </c>
      <c r="FR268">
        <f t="shared" si="1003"/>
        <v>9933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820</v>
      </c>
      <c r="FZ268">
        <f t="shared" ca="1" si="1010"/>
        <v>525885</v>
      </c>
      <c r="GA268">
        <f t="shared" si="1011"/>
        <v>75000</v>
      </c>
      <c r="GB268">
        <f t="shared" ca="1" si="1012"/>
        <v>450885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50885</v>
      </c>
      <c r="GN268">
        <f t="shared" ca="1" si="1023"/>
        <v>2544.25</v>
      </c>
      <c r="GO268">
        <f t="shared" ca="1" si="1024"/>
        <v>2544</v>
      </c>
      <c r="GP268">
        <f t="shared" ca="1" si="1025"/>
        <v>0</v>
      </c>
      <c r="GQ268">
        <f t="shared" ca="1" si="1026"/>
        <v>0</v>
      </c>
      <c r="GR268">
        <f t="shared" ca="1" si="1027"/>
        <v>2544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2544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3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7400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531066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478666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454666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454666</v>
      </c>
      <c r="FP269">
        <f t="shared" si="1001"/>
        <v>10233</v>
      </c>
      <c r="FQ269">
        <f t="shared" si="1002"/>
        <v>0</v>
      </c>
      <c r="FR269">
        <f t="shared" si="1003"/>
        <v>10233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852</v>
      </c>
      <c r="FZ269">
        <f t="shared" ca="1" si="1010"/>
        <v>531918</v>
      </c>
      <c r="GA269">
        <f t="shared" si="1011"/>
        <v>75000</v>
      </c>
      <c r="GB269">
        <f t="shared" ca="1" si="1012"/>
        <v>456918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56918</v>
      </c>
      <c r="GN269">
        <f t="shared" ca="1" si="1023"/>
        <v>2845.9</v>
      </c>
      <c r="GO269">
        <f t="shared" ca="1" si="1024"/>
        <v>2846</v>
      </c>
      <c r="GP269">
        <f t="shared" ca="1" si="1025"/>
        <v>0</v>
      </c>
      <c r="GQ269">
        <f t="shared" ca="1" si="1026"/>
        <v>0</v>
      </c>
      <c r="GR269">
        <f t="shared" ca="1" si="1027"/>
        <v>2846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2846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3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7400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562267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509867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473867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473867</v>
      </c>
      <c r="FP270">
        <f t="shared" si="1001"/>
        <v>11193</v>
      </c>
      <c r="FQ270">
        <f t="shared" si="1002"/>
        <v>0</v>
      </c>
      <c r="FR270">
        <f t="shared" si="1003"/>
        <v>11193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674</v>
      </c>
      <c r="FZ270">
        <f t="shared" ca="1" si="1010"/>
        <v>562941</v>
      </c>
      <c r="GA270">
        <f t="shared" si="1011"/>
        <v>75000</v>
      </c>
      <c r="GB270">
        <f t="shared" ca="1" si="1012"/>
        <v>487941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87941</v>
      </c>
      <c r="GN270">
        <f t="shared" ca="1" si="1023"/>
        <v>4397.05</v>
      </c>
      <c r="GO270">
        <f t="shared" ca="1" si="1024"/>
        <v>4397</v>
      </c>
      <c r="GP270">
        <f t="shared" ca="1" si="1025"/>
        <v>0</v>
      </c>
      <c r="GQ270">
        <f t="shared" ca="1" si="1026"/>
        <v>0</v>
      </c>
      <c r="GR270">
        <f t="shared" ca="1" si="1027"/>
        <v>4397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4397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3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868</v>
      </c>
      <c r="FZ271">
        <f t="shared" ca="1" si="1010"/>
        <v>787256</v>
      </c>
      <c r="GA271">
        <f t="shared" si="1011"/>
        <v>75000</v>
      </c>
      <c r="GB271">
        <f t="shared" ca="1" si="1012"/>
        <v>712256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312256</v>
      </c>
      <c r="GN271">
        <f t="shared" ca="1" si="1023"/>
        <v>15612.800000000001</v>
      </c>
      <c r="GO271">
        <f t="shared" ca="1" si="1024"/>
        <v>15613</v>
      </c>
      <c r="GP271">
        <f t="shared" ca="1" si="1025"/>
        <v>0</v>
      </c>
      <c r="GQ271">
        <f t="shared" ca="1" si="1026"/>
        <v>0</v>
      </c>
      <c r="GR271">
        <f t="shared" ca="1" si="1027"/>
        <v>15613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15613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3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7400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525069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472669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412669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412669</v>
      </c>
      <c r="FP272">
        <f t="shared" si="1001"/>
        <v>8133</v>
      </c>
      <c r="FQ272">
        <f t="shared" si="1002"/>
        <v>0</v>
      </c>
      <c r="FR272">
        <f t="shared" si="1003"/>
        <v>8133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971</v>
      </c>
      <c r="FZ272">
        <f t="shared" ca="1" si="1010"/>
        <v>526040</v>
      </c>
      <c r="GA272">
        <f t="shared" si="1011"/>
        <v>75000</v>
      </c>
      <c r="GB272">
        <f t="shared" ca="1" si="1012"/>
        <v>451040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51040</v>
      </c>
      <c r="GN272">
        <f t="shared" ca="1" si="1023"/>
        <v>2552</v>
      </c>
      <c r="GO272">
        <f t="shared" ca="1" si="1024"/>
        <v>2552</v>
      </c>
      <c r="GP272">
        <f t="shared" ca="1" si="1025"/>
        <v>0</v>
      </c>
      <c r="GQ272">
        <f t="shared" ca="1" si="1026"/>
        <v>0</v>
      </c>
      <c r="GR272">
        <f t="shared" ca="1" si="1027"/>
        <v>2552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2552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3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7400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487910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435710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411710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411710</v>
      </c>
      <c r="FP273">
        <f t="shared" si="1001"/>
        <v>8086</v>
      </c>
      <c r="FQ273">
        <f t="shared" si="1002"/>
        <v>0</v>
      </c>
      <c r="FR273">
        <f t="shared" si="1003"/>
        <v>8086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2850</v>
      </c>
      <c r="FZ273">
        <f t="shared" ca="1" si="1010"/>
        <v>490760</v>
      </c>
      <c r="GA273">
        <f t="shared" si="1011"/>
        <v>75000</v>
      </c>
      <c r="GB273">
        <f t="shared" ca="1" si="1012"/>
        <v>415760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15760</v>
      </c>
      <c r="GN273">
        <f t="shared" ca="1" si="1023"/>
        <v>788</v>
      </c>
      <c r="GO273">
        <f t="shared" ca="1" si="1024"/>
        <v>788</v>
      </c>
      <c r="GP273">
        <f t="shared" ca="1" si="1025"/>
        <v>0</v>
      </c>
      <c r="GQ273">
        <f t="shared" ca="1" si="1026"/>
        <v>0</v>
      </c>
      <c r="GR273">
        <f t="shared" ca="1" si="1027"/>
        <v>788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788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3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4000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59950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4000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59950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4000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59950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4000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59950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4000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62171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4000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61900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4000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61900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4000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61900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4000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61900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4000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61900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4000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61900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4000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61900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48000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48720</v>
      </c>
      <c r="FE274">
        <f t="shared" si="998"/>
        <v>48720</v>
      </c>
      <c r="FF274">
        <f t="shared" si="999"/>
        <v>685271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685271</v>
      </c>
      <c r="FP274">
        <f t="shared" si="1001"/>
        <v>12500</v>
      </c>
      <c r="FQ274">
        <f t="shared" si="1002"/>
        <v>37054</v>
      </c>
      <c r="FR274">
        <f t="shared" si="1003"/>
        <v>49554</v>
      </c>
      <c r="FS274">
        <f t="shared" si="1004"/>
        <v>49554</v>
      </c>
      <c r="FT274">
        <f t="shared" si="1005"/>
        <v>1982.16</v>
      </c>
      <c r="FU274">
        <f t="shared" si="1006"/>
        <v>51536</v>
      </c>
      <c r="FV274">
        <v>0</v>
      </c>
      <c r="FW274">
        <f t="shared" si="1007"/>
        <v>51536</v>
      </c>
      <c r="FX274" t="b">
        <f t="shared" si="1008"/>
        <v>1</v>
      </c>
      <c r="FY274">
        <f t="shared" ca="1" si="1009"/>
        <v>907</v>
      </c>
      <c r="FZ274">
        <f t="shared" ca="1" si="1010"/>
        <v>787298</v>
      </c>
      <c r="GA274">
        <f t="shared" si="1011"/>
        <v>75000</v>
      </c>
      <c r="GB274">
        <f t="shared" ca="1" si="1012"/>
        <v>712298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312298</v>
      </c>
      <c r="GN274">
        <f t="shared" ca="1" si="1023"/>
        <v>15614.900000000001</v>
      </c>
      <c r="GO274">
        <f t="shared" ca="1" si="1024"/>
        <v>15615</v>
      </c>
      <c r="GP274">
        <f t="shared" ca="1" si="1025"/>
        <v>0</v>
      </c>
      <c r="GQ274">
        <f t="shared" ca="1" si="1026"/>
        <v>0</v>
      </c>
      <c r="GR274">
        <f t="shared" ca="1" si="1027"/>
        <v>15615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15615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3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7400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531072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478672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454672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454672</v>
      </c>
      <c r="FP275">
        <f t="shared" si="1001"/>
        <v>10234</v>
      </c>
      <c r="FQ275">
        <f t="shared" si="1002"/>
        <v>0</v>
      </c>
      <c r="FR275">
        <f t="shared" si="1003"/>
        <v>10234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597</v>
      </c>
      <c r="FZ275">
        <f t="shared" ca="1" si="1010"/>
        <v>531669</v>
      </c>
      <c r="GA275">
        <f t="shared" si="1011"/>
        <v>75000</v>
      </c>
      <c r="GB275">
        <f t="shared" ca="1" si="1012"/>
        <v>456669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56669</v>
      </c>
      <c r="GN275">
        <f t="shared" ca="1" si="1023"/>
        <v>2833.4500000000003</v>
      </c>
      <c r="GO275">
        <f t="shared" ca="1" si="1024"/>
        <v>2833</v>
      </c>
      <c r="GP275">
        <f t="shared" ca="1" si="1025"/>
        <v>0</v>
      </c>
      <c r="GQ275">
        <f t="shared" ca="1" si="1026"/>
        <v>0</v>
      </c>
      <c r="GR275">
        <f t="shared" ca="1" si="1027"/>
        <v>2833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2833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3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7400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37090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2000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37090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2000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37090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2000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37090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2000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38483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2000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38210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2000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38210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2000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38210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2000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38210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2000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38210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2000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38210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2000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38210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487913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435713</v>
      </c>
      <c r="ER276">
        <f t="shared" si="995"/>
        <v>24000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24000</v>
      </c>
      <c r="FE276">
        <f t="shared" si="998"/>
        <v>24000</v>
      </c>
      <c r="FF276">
        <f t="shared" si="999"/>
        <v>411713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411713</v>
      </c>
      <c r="FP276">
        <f t="shared" si="1001"/>
        <v>8086</v>
      </c>
      <c r="FQ276">
        <f t="shared" si="1002"/>
        <v>0</v>
      </c>
      <c r="FR276">
        <f t="shared" si="1003"/>
        <v>8086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1292</v>
      </c>
      <c r="FZ276">
        <f t="shared" ca="1" si="1010"/>
        <v>489205</v>
      </c>
      <c r="GA276">
        <f t="shared" si="1011"/>
        <v>75000</v>
      </c>
      <c r="GB276">
        <f t="shared" ca="1" si="1012"/>
        <v>414205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14205</v>
      </c>
      <c r="GN276">
        <f t="shared" ca="1" si="1023"/>
        <v>710.25</v>
      </c>
      <c r="GO276">
        <f t="shared" ca="1" si="1024"/>
        <v>710</v>
      </c>
      <c r="GP276">
        <f t="shared" ca="1" si="1025"/>
        <v>0</v>
      </c>
      <c r="GQ276">
        <f t="shared" ca="1" si="1026"/>
        <v>0</v>
      </c>
      <c r="GR276">
        <f t="shared" ca="1" si="1027"/>
        <v>710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710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3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7400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416914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366764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342764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292764</v>
      </c>
      <c r="FP277">
        <f t="shared" si="1001"/>
        <v>2138</v>
      </c>
      <c r="FQ277">
        <f t="shared" si="1002"/>
        <v>0</v>
      </c>
      <c r="FR277">
        <f t="shared" si="1003"/>
        <v>2138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2329</v>
      </c>
      <c r="FZ277">
        <f t="shared" ca="1" si="1010"/>
        <v>419243</v>
      </c>
      <c r="GA277">
        <f t="shared" si="1011"/>
        <v>75000</v>
      </c>
      <c r="GB277">
        <f t="shared" ca="1" si="1012"/>
        <v>344243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3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983</v>
      </c>
      <c r="FZ278">
        <f t="shared" ca="1" si="1010"/>
        <v>804778</v>
      </c>
      <c r="GA278">
        <f t="shared" si="1011"/>
        <v>75000</v>
      </c>
      <c r="GB278">
        <f t="shared" ca="1" si="1012"/>
        <v>729778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329778</v>
      </c>
      <c r="GN278">
        <f t="shared" ca="1" si="1023"/>
        <v>16488.900000000001</v>
      </c>
      <c r="GO278">
        <f t="shared" ca="1" si="1024"/>
        <v>16489</v>
      </c>
      <c r="GP278">
        <f t="shared" ca="1" si="1025"/>
        <v>0</v>
      </c>
      <c r="GQ278">
        <f t="shared" ca="1" si="1026"/>
        <v>0</v>
      </c>
      <c r="GR278">
        <f t="shared" ca="1" si="1027"/>
        <v>16489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16489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3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50200</v>
      </c>
      <c r="AX279">
        <f t="shared" si="949"/>
        <v>9036</v>
      </c>
      <c r="AY279">
        <v>276</v>
      </c>
      <c r="AZ279">
        <f t="shared" si="950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1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200</v>
      </c>
      <c r="BG279">
        <f t="shared" si="953"/>
        <v>65836</v>
      </c>
      <c r="BH279">
        <f>_xlfn.XLOOKUP(B279,'[6]august-2026'!$A:$A,'[6]august-2026'!$C:$C,0,0)</f>
        <v>50200</v>
      </c>
      <c r="BI279">
        <f t="shared" si="954"/>
        <v>9036</v>
      </c>
      <c r="BJ279">
        <f t="shared" si="955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6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200</v>
      </c>
      <c r="BQ279">
        <f t="shared" si="958"/>
        <v>65560</v>
      </c>
      <c r="BR279">
        <f>_xlfn.XLOOKUP(B279,'[7]september-2026'!$A:$A,'[7]september-2026'!$C:$C,0,0)</f>
        <v>50200</v>
      </c>
      <c r="BS279">
        <f t="shared" si="959"/>
        <v>9036</v>
      </c>
      <c r="BT279">
        <f t="shared" si="960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1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200</v>
      </c>
      <c r="CA279">
        <f t="shared" si="963"/>
        <v>65560</v>
      </c>
      <c r="CB279">
        <f>_xlfn.XLOOKUP(B279,'[8]october-2026'!$A:$A,'[8]october-2026'!$C:$C,0,0)</f>
        <v>50200</v>
      </c>
      <c r="CC279">
        <f t="shared" si="964"/>
        <v>9036</v>
      </c>
      <c r="CD279">
        <f t="shared" si="965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6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200</v>
      </c>
      <c r="CK279">
        <f t="shared" si="968"/>
        <v>65560</v>
      </c>
      <c r="CL279">
        <f>_xlfn.XLOOKUP(B279,'[9]november-2026'!$A:$A,'[9]november-2026'!$C:$C,0,0)</f>
        <v>50200</v>
      </c>
      <c r="CM279">
        <f t="shared" si="969"/>
        <v>9036</v>
      </c>
      <c r="CN279">
        <f t="shared" si="970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1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200</v>
      </c>
      <c r="CU279">
        <f t="shared" si="973"/>
        <v>65560</v>
      </c>
      <c r="CV279">
        <f>_xlfn.XLOOKUP(B279,'[10]december-2026'!$A:$A,'[10]december-2026'!$C:$C,0,0)</f>
        <v>50200</v>
      </c>
      <c r="CW279">
        <f t="shared" si="974"/>
        <v>9036</v>
      </c>
      <c r="CX279">
        <f t="shared" si="975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6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200</v>
      </c>
      <c r="DE279">
        <f t="shared" si="978"/>
        <v>65560</v>
      </c>
      <c r="DF279">
        <f xml:space="preserve"> _xlfn.XLOOKUP(B279,
'[11]january-2027'!$A:$A,
'[11]january-2027'!$C:$C,
0,0)</f>
        <v>50200</v>
      </c>
      <c r="DG279">
        <f t="shared" si="979"/>
        <v>9036</v>
      </c>
      <c r="DH279">
        <f t="shared" si="980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200</v>
      </c>
      <c r="DO279">
        <f t="shared" si="983"/>
        <v>65560</v>
      </c>
      <c r="DP279">
        <f xml:space="preserve"> _xlfn.XLOOKUP(B279,
'[12]february-2027'!$A:$A,
'[12]february-2027'!$C:$C,
0,0)</f>
        <v>50200</v>
      </c>
      <c r="DQ279">
        <f t="shared" si="984"/>
        <v>9036</v>
      </c>
      <c r="DR279">
        <f t="shared" si="985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6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200</v>
      </c>
      <c r="DY279">
        <f t="shared" si="988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781596</v>
      </c>
      <c r="EN279">
        <f t="shared" si="991"/>
        <v>2400</v>
      </c>
      <c r="EO279">
        <f t="shared" si="992"/>
        <v>50000</v>
      </c>
      <c r="EP279">
        <v>0</v>
      </c>
      <c r="EQ279">
        <f t="shared" si="994"/>
        <v>729196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729196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729196</v>
      </c>
      <c r="FP279">
        <f t="shared" si="1001"/>
        <v>12500</v>
      </c>
      <c r="FQ279">
        <f t="shared" si="1002"/>
        <v>45839</v>
      </c>
      <c r="FR279">
        <f t="shared" si="1003"/>
        <v>58339</v>
      </c>
      <c r="FS279">
        <f t="shared" si="1004"/>
        <v>58339</v>
      </c>
      <c r="FT279">
        <f t="shared" si="1005"/>
        <v>2333.56</v>
      </c>
      <c r="FU279">
        <f t="shared" si="1006"/>
        <v>60673</v>
      </c>
      <c r="FV279">
        <v>0</v>
      </c>
      <c r="FW279">
        <f t="shared" si="1007"/>
        <v>60673</v>
      </c>
      <c r="FX279" t="b">
        <f t="shared" si="1008"/>
        <v>1</v>
      </c>
      <c r="FY279">
        <f t="shared" ca="1" si="1009"/>
        <v>923</v>
      </c>
      <c r="FZ279">
        <f t="shared" ca="1" si="1010"/>
        <v>782519</v>
      </c>
      <c r="GA279">
        <f t="shared" si="1011"/>
        <v>75000</v>
      </c>
      <c r="GB279">
        <f t="shared" ca="1" si="1012"/>
        <v>707519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307519</v>
      </c>
      <c r="GN279">
        <f t="shared" ca="1" si="1023"/>
        <v>15375.95</v>
      </c>
      <c r="GO279">
        <f t="shared" ca="1" si="1024"/>
        <v>15376</v>
      </c>
      <c r="GP279">
        <f t="shared" ca="1" si="1025"/>
        <v>0</v>
      </c>
      <c r="GQ279">
        <f t="shared" ca="1" si="1026"/>
        <v>0</v>
      </c>
      <c r="GR279">
        <f t="shared" ca="1" si="1027"/>
        <v>15376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15376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3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596</v>
      </c>
      <c r="FZ280">
        <f t="shared" ca="1" si="1010"/>
        <v>859793</v>
      </c>
      <c r="GA280">
        <f t="shared" si="1011"/>
        <v>75000</v>
      </c>
      <c r="GB280">
        <f t="shared" ca="1" si="1012"/>
        <v>784793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384793</v>
      </c>
      <c r="GN280">
        <f t="shared" ca="1" si="1023"/>
        <v>19239.650000000001</v>
      </c>
      <c r="GO280">
        <f t="shared" ca="1" si="1024"/>
        <v>19240</v>
      </c>
      <c r="GP280">
        <f t="shared" ca="1" si="1025"/>
        <v>0</v>
      </c>
      <c r="GQ280">
        <f t="shared" ca="1" si="1026"/>
        <v>0</v>
      </c>
      <c r="GR280">
        <f t="shared" ca="1" si="1027"/>
        <v>19240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19240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3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7400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5000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45740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5000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45740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5000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45740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5000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45740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5000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47578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5000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47300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5000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47300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5000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47300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5000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47300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5000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47300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5000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47300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5000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47300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631438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579038</v>
      </c>
      <c r="ER281">
        <f t="shared" si="995"/>
        <v>60000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60000</v>
      </c>
      <c r="FE281">
        <f t="shared" si="998"/>
        <v>60000</v>
      </c>
      <c r="FF281">
        <f t="shared" si="999"/>
        <v>519038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519038</v>
      </c>
      <c r="FP281">
        <f t="shared" si="1001"/>
        <v>12500</v>
      </c>
      <c r="FQ281">
        <f t="shared" si="1002"/>
        <v>3808</v>
      </c>
      <c r="FR281">
        <f t="shared" si="1003"/>
        <v>16308</v>
      </c>
      <c r="FS281">
        <f t="shared" si="1004"/>
        <v>16308</v>
      </c>
      <c r="FT281">
        <f t="shared" si="1005"/>
        <v>652.32000000000005</v>
      </c>
      <c r="FU281">
        <f t="shared" si="1006"/>
        <v>16960</v>
      </c>
      <c r="FV281">
        <v>0</v>
      </c>
      <c r="FW281">
        <f t="shared" si="1007"/>
        <v>16960</v>
      </c>
      <c r="FX281" t="b">
        <f t="shared" si="1008"/>
        <v>1</v>
      </c>
      <c r="FY281">
        <f t="shared" ca="1" si="1009"/>
        <v>813</v>
      </c>
      <c r="FZ281">
        <f t="shared" ca="1" si="1010"/>
        <v>632251</v>
      </c>
      <c r="GA281">
        <f t="shared" si="1011"/>
        <v>75000</v>
      </c>
      <c r="GB281">
        <f t="shared" ca="1" si="1012"/>
        <v>557251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157251</v>
      </c>
      <c r="GN281">
        <f t="shared" ca="1" si="1023"/>
        <v>7862.55</v>
      </c>
      <c r="GO281">
        <f t="shared" ca="1" si="1024"/>
        <v>7863</v>
      </c>
      <c r="GP281">
        <f t="shared" ca="1" si="1025"/>
        <v>0</v>
      </c>
      <c r="GQ281">
        <f t="shared" ca="1" si="1026"/>
        <v>0</v>
      </c>
      <c r="GR281">
        <f t="shared" ca="1" si="1027"/>
        <v>7863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7863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3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839</v>
      </c>
      <c r="FZ282">
        <f t="shared" ca="1" si="1010"/>
        <v>860038</v>
      </c>
      <c r="GA282">
        <f t="shared" si="1011"/>
        <v>75000</v>
      </c>
      <c r="GB282">
        <f t="shared" ca="1" si="1012"/>
        <v>785038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385038</v>
      </c>
      <c r="GN282">
        <f t="shared" ca="1" si="1023"/>
        <v>19251.900000000001</v>
      </c>
      <c r="GO282">
        <f t="shared" ca="1" si="1024"/>
        <v>19252</v>
      </c>
      <c r="GP282">
        <f t="shared" ca="1" si="1025"/>
        <v>0</v>
      </c>
      <c r="GQ282">
        <f t="shared" ca="1" si="1026"/>
        <v>0</v>
      </c>
      <c r="GR282">
        <f t="shared" ca="1" si="1027"/>
        <v>19252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19252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3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7400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501960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449560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425560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425560</v>
      </c>
      <c r="FP283">
        <f t="shared" si="1001"/>
        <v>8778</v>
      </c>
      <c r="FQ283">
        <f t="shared" si="1002"/>
        <v>0</v>
      </c>
      <c r="FR283">
        <f t="shared" si="1003"/>
        <v>8778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653</v>
      </c>
      <c r="FZ283">
        <f t="shared" ca="1" si="1010"/>
        <v>502613</v>
      </c>
      <c r="GA283">
        <f t="shared" si="1011"/>
        <v>75000</v>
      </c>
      <c r="GB283">
        <f t="shared" ca="1" si="1012"/>
        <v>427613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27613</v>
      </c>
      <c r="GN283">
        <f t="shared" ca="1" si="1023"/>
        <v>1380.65</v>
      </c>
      <c r="GO283">
        <f t="shared" ca="1" si="1024"/>
        <v>1381</v>
      </c>
      <c r="GP283">
        <f t="shared" ca="1" si="1025"/>
        <v>0</v>
      </c>
      <c r="GQ283">
        <f t="shared" ca="1" si="1026"/>
        <v>0</v>
      </c>
      <c r="GR283">
        <f t="shared" ca="1" si="1027"/>
        <v>1381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1381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3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50200</v>
      </c>
      <c r="AX284">
        <f t="shared" si="949"/>
        <v>9036</v>
      </c>
      <c r="AY284">
        <v>281</v>
      </c>
      <c r="AZ284">
        <f t="shared" si="950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1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2"/>
        <v>200</v>
      </c>
      <c r="BG284">
        <f t="shared" si="953"/>
        <v>65681</v>
      </c>
      <c r="BH284">
        <f>_xlfn.XLOOKUP(B284,'[6]august-2026'!$A:$A,'[6]august-2026'!$C:$C,0,0)</f>
        <v>50200</v>
      </c>
      <c r="BI284">
        <f t="shared" si="954"/>
        <v>9036</v>
      </c>
      <c r="BJ284">
        <f t="shared" si="955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6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7"/>
        <v>200</v>
      </c>
      <c r="BQ284">
        <f t="shared" si="958"/>
        <v>65400</v>
      </c>
      <c r="BR284">
        <f>_xlfn.XLOOKUP(B284,'[7]september-2026'!$A:$A,'[7]september-2026'!$C:$C,0,0)</f>
        <v>50200</v>
      </c>
      <c r="BS284">
        <f t="shared" si="959"/>
        <v>9036</v>
      </c>
      <c r="BT284">
        <f t="shared" si="960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1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2"/>
        <v>200</v>
      </c>
      <c r="CA284">
        <f t="shared" si="963"/>
        <v>65400</v>
      </c>
      <c r="CB284">
        <f>_xlfn.XLOOKUP(B284,'[8]october-2026'!$A:$A,'[8]october-2026'!$C:$C,0,0)</f>
        <v>50200</v>
      </c>
      <c r="CC284">
        <f t="shared" si="964"/>
        <v>9036</v>
      </c>
      <c r="CD284">
        <f t="shared" si="965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6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7"/>
        <v>200</v>
      </c>
      <c r="CK284">
        <f t="shared" si="968"/>
        <v>65400</v>
      </c>
      <c r="CL284">
        <f>_xlfn.XLOOKUP(B284,'[9]november-2026'!$A:$A,'[9]november-2026'!$C:$C,0,0)</f>
        <v>50200</v>
      </c>
      <c r="CM284">
        <f t="shared" si="969"/>
        <v>9036</v>
      </c>
      <c r="CN284">
        <f t="shared" si="970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1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2"/>
        <v>200</v>
      </c>
      <c r="CU284">
        <f t="shared" si="973"/>
        <v>65400</v>
      </c>
      <c r="CV284">
        <f>_xlfn.XLOOKUP(B284,'[10]december-2026'!$A:$A,'[10]december-2026'!$C:$C,0,0)</f>
        <v>50200</v>
      </c>
      <c r="CW284">
        <f t="shared" si="974"/>
        <v>9036</v>
      </c>
      <c r="CX284">
        <f t="shared" si="975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6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7"/>
        <v>200</v>
      </c>
      <c r="DE284">
        <f t="shared" si="978"/>
        <v>65400</v>
      </c>
      <c r="DF284">
        <f xml:space="preserve"> _xlfn.XLOOKUP(B284,
'[11]january-2027'!$A:$A,
'[11]january-2027'!$C:$C,
0,0)</f>
        <v>50200</v>
      </c>
      <c r="DG284">
        <f t="shared" si="979"/>
        <v>9036</v>
      </c>
      <c r="DH284">
        <f t="shared" si="980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200</v>
      </c>
      <c r="DO284">
        <f t="shared" si="983"/>
        <v>65400</v>
      </c>
      <c r="DP284">
        <f xml:space="preserve"> _xlfn.XLOOKUP(B284,
'[12]february-2027'!$A:$A,
'[12]february-2027'!$C:$C,
0,0)</f>
        <v>50200</v>
      </c>
      <c r="DQ284">
        <f t="shared" si="984"/>
        <v>9036</v>
      </c>
      <c r="DR284">
        <f t="shared" si="985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6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7"/>
        <v>200</v>
      </c>
      <c r="DY284">
        <f t="shared" si="988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780401</v>
      </c>
      <c r="EN284">
        <f t="shared" si="991"/>
        <v>2400</v>
      </c>
      <c r="EO284">
        <f t="shared" si="992"/>
        <v>50000</v>
      </c>
      <c r="EP284">
        <v>0</v>
      </c>
      <c r="EQ284">
        <f t="shared" si="994"/>
        <v>728001</v>
      </c>
      <c r="ER284">
        <f t="shared" si="995"/>
        <v>0</v>
      </c>
      <c r="ES284">
        <f t="shared" si="996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720</v>
      </c>
      <c r="FE284">
        <f t="shared" si="998"/>
        <v>720</v>
      </c>
      <c r="FF284">
        <f t="shared" si="999"/>
        <v>727281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727281</v>
      </c>
      <c r="FP284">
        <f t="shared" si="1001"/>
        <v>12500</v>
      </c>
      <c r="FQ284">
        <f t="shared" si="1002"/>
        <v>45456</v>
      </c>
      <c r="FR284">
        <f t="shared" si="1003"/>
        <v>57956</v>
      </c>
      <c r="FS284">
        <f t="shared" si="1004"/>
        <v>57956</v>
      </c>
      <c r="FT284">
        <f t="shared" si="1005"/>
        <v>2318.2400000000002</v>
      </c>
      <c r="FU284">
        <f t="shared" si="1006"/>
        <v>60274</v>
      </c>
      <c r="FV284">
        <v>0</v>
      </c>
      <c r="FW284">
        <f t="shared" si="1007"/>
        <v>60274</v>
      </c>
      <c r="FX284" t="b">
        <f t="shared" si="1008"/>
        <v>1</v>
      </c>
      <c r="FY284">
        <f t="shared" ca="1" si="1009"/>
        <v>570</v>
      </c>
      <c r="FZ284">
        <f t="shared" ca="1" si="1010"/>
        <v>780971</v>
      </c>
      <c r="GA284">
        <f t="shared" si="1011"/>
        <v>75000</v>
      </c>
      <c r="GB284">
        <f t="shared" ca="1" si="1012"/>
        <v>705971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305971</v>
      </c>
      <c r="GN284">
        <f t="shared" ca="1" si="1023"/>
        <v>15298.550000000001</v>
      </c>
      <c r="GO284">
        <f t="shared" ca="1" si="1024"/>
        <v>15299</v>
      </c>
      <c r="GP284">
        <f t="shared" ca="1" si="1025"/>
        <v>0</v>
      </c>
      <c r="GQ284">
        <f t="shared" ca="1" si="1026"/>
        <v>0</v>
      </c>
      <c r="GR284">
        <f t="shared" ca="1" si="1027"/>
        <v>15299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15299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3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863</v>
      </c>
      <c r="FZ285">
        <f t="shared" ca="1" si="1010"/>
        <v>830305</v>
      </c>
      <c r="GA285">
        <f t="shared" si="1011"/>
        <v>75000</v>
      </c>
      <c r="GB285">
        <f t="shared" ca="1" si="1012"/>
        <v>755305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355305</v>
      </c>
      <c r="GN285">
        <f t="shared" ca="1" si="1023"/>
        <v>17765.25</v>
      </c>
      <c r="GO285">
        <f t="shared" ca="1" si="1024"/>
        <v>17765</v>
      </c>
      <c r="GP285">
        <f t="shared" ca="1" si="1025"/>
        <v>0</v>
      </c>
      <c r="GQ285">
        <f t="shared" ca="1" si="1026"/>
        <v>0</v>
      </c>
      <c r="GR285">
        <f t="shared" ca="1" si="1027"/>
        <v>17765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17765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3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7400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562283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509883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449883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449883</v>
      </c>
      <c r="FP286">
        <f t="shared" si="1001"/>
        <v>9994</v>
      </c>
      <c r="FQ286">
        <f t="shared" si="1002"/>
        <v>0</v>
      </c>
      <c r="FR286">
        <f t="shared" si="1003"/>
        <v>9994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611</v>
      </c>
      <c r="FZ286">
        <f t="shared" ca="1" si="1010"/>
        <v>562894</v>
      </c>
      <c r="GA286">
        <f t="shared" si="1011"/>
        <v>75000</v>
      </c>
      <c r="GB286">
        <f t="shared" ca="1" si="1012"/>
        <v>487894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87894</v>
      </c>
      <c r="GN286">
        <f t="shared" ca="1" si="1023"/>
        <v>4394.7</v>
      </c>
      <c r="GO286">
        <f t="shared" ca="1" si="1024"/>
        <v>4395</v>
      </c>
      <c r="GP286">
        <f t="shared" ca="1" si="1025"/>
        <v>0</v>
      </c>
      <c r="GQ286">
        <f t="shared" ca="1" si="1026"/>
        <v>0</v>
      </c>
      <c r="GR286">
        <f t="shared" ca="1" si="1027"/>
        <v>4395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4395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3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7400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562284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509884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479884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479884</v>
      </c>
      <c r="FP287">
        <f t="shared" si="1001"/>
        <v>11494</v>
      </c>
      <c r="FQ287">
        <f t="shared" si="1002"/>
        <v>0</v>
      </c>
      <c r="FR287">
        <f t="shared" si="1003"/>
        <v>11494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572</v>
      </c>
      <c r="FZ287">
        <f t="shared" ca="1" si="1010"/>
        <v>562856</v>
      </c>
      <c r="GA287">
        <f t="shared" si="1011"/>
        <v>75000</v>
      </c>
      <c r="GB287">
        <f t="shared" ca="1" si="1012"/>
        <v>487856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87856</v>
      </c>
      <c r="GN287">
        <f t="shared" ca="1" si="1023"/>
        <v>4392.8</v>
      </c>
      <c r="GO287">
        <f t="shared" ca="1" si="1024"/>
        <v>4393</v>
      </c>
      <c r="GP287">
        <f t="shared" ca="1" si="1025"/>
        <v>0</v>
      </c>
      <c r="GQ287">
        <f t="shared" ca="1" si="1026"/>
        <v>0</v>
      </c>
      <c r="GR287">
        <f t="shared" ca="1" si="1027"/>
        <v>4393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4393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3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7400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525085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472685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448685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448685</v>
      </c>
      <c r="FP288">
        <f t="shared" si="1001"/>
        <v>9934</v>
      </c>
      <c r="FQ288">
        <f t="shared" si="1002"/>
        <v>0</v>
      </c>
      <c r="FR288">
        <f t="shared" si="1003"/>
        <v>9934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511</v>
      </c>
      <c r="FZ288">
        <f t="shared" ca="1" si="1010"/>
        <v>525596</v>
      </c>
      <c r="GA288">
        <f t="shared" si="1011"/>
        <v>75000</v>
      </c>
      <c r="GB288">
        <f t="shared" ca="1" si="1012"/>
        <v>450596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50596</v>
      </c>
      <c r="GN288">
        <f t="shared" ca="1" si="1023"/>
        <v>2529.8000000000002</v>
      </c>
      <c r="GO288">
        <f t="shared" ca="1" si="1024"/>
        <v>2530</v>
      </c>
      <c r="GP288">
        <f t="shared" ca="1" si="1025"/>
        <v>0</v>
      </c>
      <c r="GQ288">
        <f t="shared" ca="1" si="1026"/>
        <v>0</v>
      </c>
      <c r="GR288">
        <f t="shared" ca="1" si="1027"/>
        <v>2530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2530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3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7400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449686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397886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373886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373886</v>
      </c>
      <c r="FP289">
        <f t="shared" si="1001"/>
        <v>6194</v>
      </c>
      <c r="FQ289">
        <f t="shared" si="1002"/>
        <v>0</v>
      </c>
      <c r="FR289">
        <f t="shared" si="1003"/>
        <v>6194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2080</v>
      </c>
      <c r="FZ289">
        <f t="shared" ca="1" si="1010"/>
        <v>451766</v>
      </c>
      <c r="GA289">
        <f t="shared" si="1011"/>
        <v>75000</v>
      </c>
      <c r="GB289">
        <f t="shared" ca="1" si="1012"/>
        <v>376766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3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835</v>
      </c>
      <c r="FZ290">
        <f t="shared" ca="1" si="1010"/>
        <v>787242</v>
      </c>
      <c r="GA290">
        <f t="shared" si="1011"/>
        <v>75000</v>
      </c>
      <c r="GB290">
        <f t="shared" ca="1" si="1012"/>
        <v>712242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312242</v>
      </c>
      <c r="GN290">
        <f t="shared" ca="1" si="1023"/>
        <v>15612.1</v>
      </c>
      <c r="GO290">
        <f t="shared" ca="1" si="1024"/>
        <v>15612</v>
      </c>
      <c r="GP290">
        <f t="shared" ca="1" si="1025"/>
        <v>0</v>
      </c>
      <c r="GQ290">
        <f t="shared" ca="1" si="1026"/>
        <v>0</v>
      </c>
      <c r="GR290">
        <f t="shared" ca="1" si="1027"/>
        <v>15612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15612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3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7400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562288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509888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479888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479888</v>
      </c>
      <c r="FP291">
        <f t="shared" si="1001"/>
        <v>11494</v>
      </c>
      <c r="FQ291">
        <f t="shared" si="1002"/>
        <v>0</v>
      </c>
      <c r="FR291">
        <f t="shared" si="1003"/>
        <v>11494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632</v>
      </c>
      <c r="FZ291">
        <f t="shared" ca="1" si="1010"/>
        <v>562920</v>
      </c>
      <c r="GA291">
        <f t="shared" si="1011"/>
        <v>75000</v>
      </c>
      <c r="GB291">
        <f t="shared" ca="1" si="1012"/>
        <v>487920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87920</v>
      </c>
      <c r="GN291">
        <f t="shared" ca="1" si="1023"/>
        <v>4396</v>
      </c>
      <c r="GO291">
        <f t="shared" ca="1" si="1024"/>
        <v>4396</v>
      </c>
      <c r="GP291">
        <f t="shared" ca="1" si="1025"/>
        <v>0</v>
      </c>
      <c r="GQ291">
        <f t="shared" ca="1" si="1026"/>
        <v>0</v>
      </c>
      <c r="GR291">
        <f t="shared" ca="1" si="1027"/>
        <v>4396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4396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3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7400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556289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503889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443889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443889</v>
      </c>
      <c r="FP292">
        <f t="shared" si="1001"/>
        <v>9694</v>
      </c>
      <c r="FQ292">
        <f t="shared" si="1002"/>
        <v>0</v>
      </c>
      <c r="FR292">
        <f t="shared" si="1003"/>
        <v>9694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884</v>
      </c>
      <c r="FZ292">
        <f t="shared" ca="1" si="1010"/>
        <v>557173</v>
      </c>
      <c r="GA292">
        <f t="shared" si="1011"/>
        <v>75000</v>
      </c>
      <c r="GB292">
        <f t="shared" ca="1" si="1012"/>
        <v>482173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82173</v>
      </c>
      <c r="GN292">
        <f t="shared" ca="1" si="1023"/>
        <v>4108.6500000000005</v>
      </c>
      <c r="GO292">
        <f t="shared" ca="1" si="1024"/>
        <v>4109</v>
      </c>
      <c r="GP292">
        <f t="shared" ca="1" si="1025"/>
        <v>0</v>
      </c>
      <c r="GQ292">
        <f t="shared" ca="1" si="1026"/>
        <v>0</v>
      </c>
      <c r="GR292">
        <f t="shared" ca="1" si="1027"/>
        <v>4109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4109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3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7400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481930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430080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406080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406080</v>
      </c>
      <c r="FP293">
        <f t="shared" si="1001"/>
        <v>7804</v>
      </c>
      <c r="FQ293">
        <f t="shared" si="1002"/>
        <v>0</v>
      </c>
      <c r="FR293">
        <f t="shared" si="1003"/>
        <v>7804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2584</v>
      </c>
      <c r="FZ293">
        <f t="shared" ca="1" si="1010"/>
        <v>484514</v>
      </c>
      <c r="GA293">
        <f t="shared" si="1011"/>
        <v>75000</v>
      </c>
      <c r="GB293">
        <f t="shared" ca="1" si="1012"/>
        <v>409514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9514</v>
      </c>
      <c r="GN293">
        <f t="shared" ca="1" si="1023"/>
        <v>475.70000000000005</v>
      </c>
      <c r="GO293">
        <f t="shared" ca="1" si="1024"/>
        <v>476</v>
      </c>
      <c r="GP293">
        <f t="shared" ca="1" si="1025"/>
        <v>0</v>
      </c>
      <c r="GQ293">
        <f t="shared" ca="1" si="1026"/>
        <v>0</v>
      </c>
      <c r="GR293">
        <f t="shared" ca="1" si="1027"/>
        <v>476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476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3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719</v>
      </c>
      <c r="FZ294">
        <f t="shared" ca="1" si="1010"/>
        <v>853930</v>
      </c>
      <c r="GA294">
        <f t="shared" si="1011"/>
        <v>75000</v>
      </c>
      <c r="GB294">
        <f t="shared" ca="1" si="1012"/>
        <v>778930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378930</v>
      </c>
      <c r="GN294">
        <f t="shared" ca="1" si="1023"/>
        <v>18946.5</v>
      </c>
      <c r="GO294">
        <f t="shared" ca="1" si="1024"/>
        <v>18947</v>
      </c>
      <c r="GP294">
        <f t="shared" ca="1" si="1025"/>
        <v>0</v>
      </c>
      <c r="GQ294">
        <f t="shared" ca="1" si="1026"/>
        <v>0</v>
      </c>
      <c r="GR294">
        <f t="shared" ca="1" si="1027"/>
        <v>18947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18947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3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7400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578932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526532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490532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490532</v>
      </c>
      <c r="FP295">
        <f t="shared" si="1001"/>
        <v>12027</v>
      </c>
      <c r="FQ295">
        <f t="shared" si="1002"/>
        <v>0</v>
      </c>
      <c r="FR295">
        <f t="shared" si="1003"/>
        <v>12027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999</v>
      </c>
      <c r="FZ295">
        <f t="shared" ca="1" si="1010"/>
        <v>579931</v>
      </c>
      <c r="GA295">
        <f t="shared" si="1011"/>
        <v>75000</v>
      </c>
      <c r="GB295">
        <f t="shared" ca="1" si="1012"/>
        <v>504931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104931</v>
      </c>
      <c r="GN295">
        <f t="shared" ca="1" si="1023"/>
        <v>5246.55</v>
      </c>
      <c r="GO295">
        <f t="shared" ca="1" si="1024"/>
        <v>5247</v>
      </c>
      <c r="GP295">
        <f t="shared" ca="1" si="1025"/>
        <v>0</v>
      </c>
      <c r="GQ295">
        <f t="shared" ca="1" si="1026"/>
        <v>0</v>
      </c>
      <c r="GR295">
        <f t="shared" ca="1" si="1027"/>
        <v>5247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5247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3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7400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578933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526533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496533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496533</v>
      </c>
      <c r="FP296">
        <f t="shared" si="1001"/>
        <v>12327</v>
      </c>
      <c r="FQ296">
        <f t="shared" si="1002"/>
        <v>0</v>
      </c>
      <c r="FR296">
        <f t="shared" si="1003"/>
        <v>12327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993</v>
      </c>
      <c r="FZ296">
        <f t="shared" ca="1" si="1010"/>
        <v>579926</v>
      </c>
      <c r="GA296">
        <f t="shared" si="1011"/>
        <v>75000</v>
      </c>
      <c r="GB296">
        <f t="shared" ca="1" si="1012"/>
        <v>504926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104926</v>
      </c>
      <c r="GN296">
        <f t="shared" ca="1" si="1023"/>
        <v>5246.3</v>
      </c>
      <c r="GO296">
        <f t="shared" ca="1" si="1024"/>
        <v>5246</v>
      </c>
      <c r="GP296">
        <f t="shared" ca="1" si="1025"/>
        <v>0</v>
      </c>
      <c r="GQ296">
        <f t="shared" ca="1" si="1026"/>
        <v>0</v>
      </c>
      <c r="GR296">
        <f t="shared" ca="1" si="1027"/>
        <v>5246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5246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3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7400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40550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2000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40550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2000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40550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2000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40550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2000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42144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2000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41850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2000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41850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2000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41850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2000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41850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2000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41850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2000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41850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2000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41850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531094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478694</v>
      </c>
      <c r="ER297">
        <f t="shared" si="995"/>
        <v>24000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24000</v>
      </c>
      <c r="FE297">
        <f t="shared" si="998"/>
        <v>24000</v>
      </c>
      <c r="FF297">
        <f t="shared" si="999"/>
        <v>454694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454694</v>
      </c>
      <c r="FP297">
        <f t="shared" si="1001"/>
        <v>10235</v>
      </c>
      <c r="FQ297">
        <f t="shared" si="1002"/>
        <v>0</v>
      </c>
      <c r="FR297">
        <f t="shared" si="1003"/>
        <v>10235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895</v>
      </c>
      <c r="FZ297">
        <f t="shared" ca="1" si="1010"/>
        <v>531989</v>
      </c>
      <c r="GA297">
        <f t="shared" si="1011"/>
        <v>75000</v>
      </c>
      <c r="GB297">
        <f t="shared" ca="1" si="1012"/>
        <v>456989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56989</v>
      </c>
      <c r="GN297">
        <f t="shared" ca="1" si="1023"/>
        <v>2849.4500000000003</v>
      </c>
      <c r="GO297">
        <f t="shared" ca="1" si="1024"/>
        <v>2849</v>
      </c>
      <c r="GP297">
        <f t="shared" ca="1" si="1025"/>
        <v>0</v>
      </c>
      <c r="GQ297">
        <f t="shared" ca="1" si="1026"/>
        <v>0</v>
      </c>
      <c r="GR297">
        <f t="shared" ca="1" si="1027"/>
        <v>2849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2849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3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7400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2000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40050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2000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40050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2000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40050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2000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40050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2000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41645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2000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41350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2000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41350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2000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41350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2000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41350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2000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41350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2000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41350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2000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41350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525095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472695</v>
      </c>
      <c r="ER298">
        <f t="shared" si="995"/>
        <v>24000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24000</v>
      </c>
      <c r="FE298">
        <f t="shared" si="998"/>
        <v>24000</v>
      </c>
      <c r="FF298">
        <f t="shared" si="999"/>
        <v>448695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448695</v>
      </c>
      <c r="FP298">
        <f t="shared" si="1001"/>
        <v>9935</v>
      </c>
      <c r="FQ298">
        <f t="shared" si="1002"/>
        <v>0</v>
      </c>
      <c r="FR298">
        <f t="shared" si="1003"/>
        <v>9935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534</v>
      </c>
      <c r="FZ298">
        <f t="shared" ca="1" si="1010"/>
        <v>525629</v>
      </c>
      <c r="GA298">
        <f t="shared" si="1011"/>
        <v>75000</v>
      </c>
      <c r="GB298">
        <f t="shared" ca="1" si="1012"/>
        <v>450629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50629</v>
      </c>
      <c r="GN298">
        <f t="shared" ca="1" si="1023"/>
        <v>2531.4500000000003</v>
      </c>
      <c r="GO298">
        <f t="shared" ca="1" si="1024"/>
        <v>2531</v>
      </c>
      <c r="GP298">
        <f t="shared" ca="1" si="1025"/>
        <v>0</v>
      </c>
      <c r="GQ298">
        <f t="shared" ca="1" si="1026"/>
        <v>0</v>
      </c>
      <c r="GR298">
        <f t="shared" ca="1" si="1027"/>
        <v>2531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2531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3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54900</v>
      </c>
      <c r="CW299">
        <f t="shared" si="974"/>
        <v>9882</v>
      </c>
      <c r="CX299">
        <f t="shared" si="975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6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7"/>
        <v>200</v>
      </c>
      <c r="DE299">
        <f t="shared" si="978"/>
        <v>62070</v>
      </c>
      <c r="DF299">
        <f xml:space="preserve"> _xlfn.XLOOKUP(B299,
'[11]january-2027'!$A:$A,
'[11]january-2027'!$C:$C,
0,0)</f>
        <v>54900</v>
      </c>
      <c r="DG299">
        <f t="shared" si="979"/>
        <v>9882</v>
      </c>
      <c r="DH299">
        <f t="shared" si="980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200</v>
      </c>
      <c r="DO299">
        <f t="shared" si="983"/>
        <v>62070</v>
      </c>
      <c r="DP299">
        <f xml:space="preserve"> _xlfn.XLOOKUP(B299,
'[12]february-2027'!$A:$A,
'[12]february-2027'!$C:$C,
0,0)</f>
        <v>54900</v>
      </c>
      <c r="DQ299">
        <f t="shared" si="984"/>
        <v>9882</v>
      </c>
      <c r="DR299">
        <f t="shared" si="985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6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7"/>
        <v>200</v>
      </c>
      <c r="DY299">
        <f t="shared" si="988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859216</v>
      </c>
      <c r="EN299">
        <f t="shared" si="991"/>
        <v>2400</v>
      </c>
      <c r="EO299">
        <f t="shared" si="992"/>
        <v>50000</v>
      </c>
      <c r="EP299">
        <v>0</v>
      </c>
      <c r="EQ299">
        <f t="shared" si="994"/>
        <v>806816</v>
      </c>
      <c r="ER299">
        <f t="shared" si="995"/>
        <v>120000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120000</v>
      </c>
      <c r="FE299">
        <f t="shared" si="998"/>
        <v>120000</v>
      </c>
      <c r="FF299">
        <f t="shared" si="999"/>
        <v>686816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686816</v>
      </c>
      <c r="FP299">
        <f t="shared" si="1001"/>
        <v>12500</v>
      </c>
      <c r="FQ299">
        <f t="shared" si="1002"/>
        <v>37363</v>
      </c>
      <c r="FR299">
        <f t="shared" si="1003"/>
        <v>49863</v>
      </c>
      <c r="FS299">
        <f t="shared" si="1004"/>
        <v>49863</v>
      </c>
      <c r="FT299">
        <f t="shared" si="1005"/>
        <v>1994.52</v>
      </c>
      <c r="FU299">
        <f t="shared" si="1006"/>
        <v>51858</v>
      </c>
      <c r="FV299">
        <v>0</v>
      </c>
      <c r="FW299">
        <f t="shared" si="1007"/>
        <v>51858</v>
      </c>
      <c r="FX299" t="b">
        <f t="shared" si="1008"/>
        <v>1</v>
      </c>
      <c r="FY299">
        <f t="shared" ca="1" si="1009"/>
        <v>646</v>
      </c>
      <c r="FZ299">
        <f t="shared" ca="1" si="1010"/>
        <v>859862</v>
      </c>
      <c r="GA299">
        <f t="shared" si="1011"/>
        <v>75000</v>
      </c>
      <c r="GB299">
        <f t="shared" ca="1" si="1012"/>
        <v>784862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384862</v>
      </c>
      <c r="GN299">
        <f t="shared" ca="1" si="1023"/>
        <v>19243.100000000002</v>
      </c>
      <c r="GO299">
        <f t="shared" ca="1" si="1024"/>
        <v>19243</v>
      </c>
      <c r="GP299">
        <f t="shared" ca="1" si="1025"/>
        <v>0</v>
      </c>
      <c r="GQ299">
        <f t="shared" ca="1" si="1026"/>
        <v>0</v>
      </c>
      <c r="GR299">
        <f t="shared" ca="1" si="1027"/>
        <v>19243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19243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3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7400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631457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579057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519057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519057</v>
      </c>
      <c r="FP300">
        <f t="shared" si="1001"/>
        <v>12500</v>
      </c>
      <c r="FQ300">
        <f t="shared" si="1002"/>
        <v>3811</v>
      </c>
      <c r="FR300">
        <f t="shared" si="1003"/>
        <v>16311</v>
      </c>
      <c r="FS300">
        <f t="shared" si="1004"/>
        <v>16311</v>
      </c>
      <c r="FT300">
        <f t="shared" si="1005"/>
        <v>652.44000000000005</v>
      </c>
      <c r="FU300">
        <f t="shared" si="1006"/>
        <v>16963</v>
      </c>
      <c r="FV300">
        <v>0</v>
      </c>
      <c r="FW300">
        <f t="shared" si="1007"/>
        <v>16963</v>
      </c>
      <c r="FX300" t="b">
        <f t="shared" si="1008"/>
        <v>1</v>
      </c>
      <c r="FY300">
        <f t="shared" ca="1" si="1009"/>
        <v>880</v>
      </c>
      <c r="FZ300">
        <f t="shared" ca="1" si="1010"/>
        <v>632337</v>
      </c>
      <c r="GA300">
        <f t="shared" si="1011"/>
        <v>75000</v>
      </c>
      <c r="GB300">
        <f t="shared" ca="1" si="1012"/>
        <v>557337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157337</v>
      </c>
      <c r="GN300">
        <f t="shared" ca="1" si="1023"/>
        <v>7866.85</v>
      </c>
      <c r="GO300">
        <f t="shared" ca="1" si="1024"/>
        <v>7867</v>
      </c>
      <c r="GP300">
        <f t="shared" ca="1" si="1025"/>
        <v>0</v>
      </c>
      <c r="GQ300">
        <f t="shared" ca="1" si="1026"/>
        <v>0</v>
      </c>
      <c r="GR300">
        <f t="shared" ca="1" si="1027"/>
        <v>7867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7867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3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7400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2000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40550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2000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40550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2000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40550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2000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40550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2000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42148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2000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41850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2000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41850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2000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41850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2000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41850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2000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41850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2000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41850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2000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41850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531098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478698</v>
      </c>
      <c r="ER301">
        <f t="shared" si="995"/>
        <v>24000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24000</v>
      </c>
      <c r="FE301">
        <f t="shared" si="998"/>
        <v>24000</v>
      </c>
      <c r="FF301">
        <f t="shared" si="999"/>
        <v>454698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454698</v>
      </c>
      <c r="FP301">
        <f t="shared" si="1001"/>
        <v>10235</v>
      </c>
      <c r="FQ301">
        <f t="shared" si="1002"/>
        <v>0</v>
      </c>
      <c r="FR301">
        <f t="shared" si="1003"/>
        <v>10235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903</v>
      </c>
      <c r="FZ301">
        <f t="shared" ca="1" si="1010"/>
        <v>532001</v>
      </c>
      <c r="GA301">
        <f t="shared" si="1011"/>
        <v>75000</v>
      </c>
      <c r="GB301">
        <f t="shared" ca="1" si="1012"/>
        <v>457001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57001</v>
      </c>
      <c r="GN301">
        <f t="shared" ca="1" si="1023"/>
        <v>2850.05</v>
      </c>
      <c r="GO301">
        <f t="shared" ca="1" si="1024"/>
        <v>2850</v>
      </c>
      <c r="GP301">
        <f t="shared" ca="1" si="1025"/>
        <v>0</v>
      </c>
      <c r="GQ301">
        <f t="shared" ca="1" si="1026"/>
        <v>0</v>
      </c>
      <c r="GR301">
        <f t="shared" ca="1" si="1027"/>
        <v>2850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2850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3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8000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61430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8000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61430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8000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61430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8000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61430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8000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63809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8000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63510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8000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63510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8000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63510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8000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63510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8000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63510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8000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63510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8000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63510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96000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96720</v>
      </c>
      <c r="FE302">
        <f t="shared" si="998"/>
        <v>96720</v>
      </c>
      <c r="FF302">
        <f t="shared" si="999"/>
        <v>704099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704099</v>
      </c>
      <c r="FP302">
        <f t="shared" si="1001"/>
        <v>12500</v>
      </c>
      <c r="FQ302">
        <f t="shared" si="1002"/>
        <v>40820</v>
      </c>
      <c r="FR302">
        <f t="shared" si="1003"/>
        <v>53320</v>
      </c>
      <c r="FS302">
        <f t="shared" si="1004"/>
        <v>53320</v>
      </c>
      <c r="FT302">
        <f t="shared" si="1005"/>
        <v>2132.8000000000002</v>
      </c>
      <c r="FU302">
        <f t="shared" si="1006"/>
        <v>55453</v>
      </c>
      <c r="FV302">
        <v>0</v>
      </c>
      <c r="FW302">
        <f t="shared" si="1007"/>
        <v>55453</v>
      </c>
      <c r="FX302" t="b">
        <f t="shared" si="1008"/>
        <v>1</v>
      </c>
      <c r="FY302">
        <f t="shared" ca="1" si="1009"/>
        <v>897</v>
      </c>
      <c r="FZ302">
        <f t="shared" ca="1" si="1010"/>
        <v>854116</v>
      </c>
      <c r="GA302">
        <f t="shared" si="1011"/>
        <v>75000</v>
      </c>
      <c r="GB302">
        <f t="shared" ca="1" si="1012"/>
        <v>779116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379116</v>
      </c>
      <c r="GN302">
        <f t="shared" ca="1" si="1023"/>
        <v>18955.8</v>
      </c>
      <c r="GO302">
        <f t="shared" ca="1" si="1024"/>
        <v>18956</v>
      </c>
      <c r="GP302">
        <f t="shared" ca="1" si="1025"/>
        <v>0</v>
      </c>
      <c r="GQ302">
        <f t="shared" ca="1" si="1026"/>
        <v>0</v>
      </c>
      <c r="GR302">
        <f t="shared" ca="1" si="1027"/>
        <v>18956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18956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3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7400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556300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503900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473900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473900</v>
      </c>
      <c r="FP303">
        <f t="shared" si="1001"/>
        <v>11195</v>
      </c>
      <c r="FQ303">
        <f t="shared" si="1002"/>
        <v>0</v>
      </c>
      <c r="FR303">
        <f t="shared" si="1003"/>
        <v>11195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758</v>
      </c>
      <c r="FZ303">
        <f t="shared" ca="1" si="1010"/>
        <v>557058</v>
      </c>
      <c r="GA303">
        <f t="shared" si="1011"/>
        <v>75000</v>
      </c>
      <c r="GB303">
        <f t="shared" ca="1" si="1012"/>
        <v>482058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82058</v>
      </c>
      <c r="GN303">
        <f t="shared" ca="1" si="1023"/>
        <v>4102.9000000000005</v>
      </c>
      <c r="GO303">
        <f t="shared" ca="1" si="1024"/>
        <v>4103</v>
      </c>
      <c r="GP303">
        <f t="shared" ca="1" si="1025"/>
        <v>0</v>
      </c>
      <c r="GQ303">
        <f t="shared" ca="1" si="1026"/>
        <v>0</v>
      </c>
      <c r="GR303">
        <f t="shared" ca="1" si="1027"/>
        <v>4103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4103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3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7400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473901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422101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398101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398101</v>
      </c>
      <c r="FP304">
        <f t="shared" si="1001"/>
        <v>7405</v>
      </c>
      <c r="FQ304">
        <f t="shared" si="1002"/>
        <v>0</v>
      </c>
      <c r="FR304">
        <f t="shared" si="1003"/>
        <v>7405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2039</v>
      </c>
      <c r="FZ304">
        <f t="shared" ca="1" si="1010"/>
        <v>475940</v>
      </c>
      <c r="GA304">
        <f t="shared" si="1011"/>
        <v>75000</v>
      </c>
      <c r="GB304">
        <f t="shared" ca="1" si="1012"/>
        <v>400940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940</v>
      </c>
      <c r="GN304">
        <f t="shared" ca="1" si="1023"/>
        <v>47</v>
      </c>
      <c r="GO304">
        <f t="shared" ca="1" si="1024"/>
        <v>47</v>
      </c>
      <c r="GP304">
        <f t="shared" ca="1" si="1025"/>
        <v>0</v>
      </c>
      <c r="GQ304">
        <f t="shared" ca="1" si="1026"/>
        <v>0</v>
      </c>
      <c r="GR304">
        <f t="shared" ca="1" si="1027"/>
        <v>47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47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3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745</v>
      </c>
      <c r="FZ305">
        <f t="shared" ca="1" si="1010"/>
        <v>804567</v>
      </c>
      <c r="GA305">
        <f t="shared" si="1011"/>
        <v>75000</v>
      </c>
      <c r="GB305">
        <f t="shared" ca="1" si="1012"/>
        <v>729567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329567</v>
      </c>
      <c r="GN305">
        <f t="shared" ca="1" si="1023"/>
        <v>16478.350000000002</v>
      </c>
      <c r="GO305">
        <f t="shared" ca="1" si="1024"/>
        <v>16478</v>
      </c>
      <c r="GP305">
        <f t="shared" ca="1" si="1025"/>
        <v>0</v>
      </c>
      <c r="GQ305">
        <f t="shared" ca="1" si="1026"/>
        <v>0</v>
      </c>
      <c r="GR305">
        <f t="shared" ca="1" si="1027"/>
        <v>16478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16478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3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7400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562303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509903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473903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473903</v>
      </c>
      <c r="FP306">
        <f t="shared" si="1001"/>
        <v>11195</v>
      </c>
      <c r="FQ306">
        <f t="shared" si="1002"/>
        <v>0</v>
      </c>
      <c r="FR306">
        <f t="shared" si="1003"/>
        <v>11195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929</v>
      </c>
      <c r="FZ306">
        <f t="shared" ca="1" si="1010"/>
        <v>563232</v>
      </c>
      <c r="GA306">
        <f t="shared" si="1011"/>
        <v>75000</v>
      </c>
      <c r="GB306">
        <f t="shared" ca="1" si="1012"/>
        <v>488232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88232</v>
      </c>
      <c r="GN306">
        <f t="shared" ca="1" si="1023"/>
        <v>4411.6000000000004</v>
      </c>
      <c r="GO306">
        <f t="shared" ca="1" si="1024"/>
        <v>4412</v>
      </c>
      <c r="GP306">
        <f t="shared" ca="1" si="1025"/>
        <v>0</v>
      </c>
      <c r="GQ306">
        <f t="shared" ca="1" si="1026"/>
        <v>0</v>
      </c>
      <c r="GR306">
        <f t="shared" ca="1" si="1027"/>
        <v>4412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4412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3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7400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562304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509904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449904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449904</v>
      </c>
      <c r="FP307">
        <f t="shared" si="1001"/>
        <v>9995</v>
      </c>
      <c r="FQ307">
        <f t="shared" si="1002"/>
        <v>0</v>
      </c>
      <c r="FR307">
        <f t="shared" si="1003"/>
        <v>9995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933</v>
      </c>
      <c r="FZ307">
        <f t="shared" ca="1" si="1010"/>
        <v>563237</v>
      </c>
      <c r="GA307">
        <f t="shared" si="1011"/>
        <v>75000</v>
      </c>
      <c r="GB307">
        <f t="shared" ca="1" si="1012"/>
        <v>488237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88237</v>
      </c>
      <c r="GN307">
        <f t="shared" ca="1" si="1023"/>
        <v>4411.8500000000004</v>
      </c>
      <c r="GO307">
        <f t="shared" ca="1" si="1024"/>
        <v>4412</v>
      </c>
      <c r="GP307">
        <f t="shared" ca="1" si="1025"/>
        <v>0</v>
      </c>
      <c r="GQ307">
        <f t="shared" ca="1" si="1026"/>
        <v>0</v>
      </c>
      <c r="GR307">
        <f t="shared" ca="1" si="1027"/>
        <v>4412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4412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3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7400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577745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525345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495345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495345</v>
      </c>
      <c r="FP308">
        <f t="shared" si="1001"/>
        <v>12267</v>
      </c>
      <c r="FQ308">
        <f t="shared" si="1002"/>
        <v>0</v>
      </c>
      <c r="FR308">
        <f t="shared" si="1003"/>
        <v>12267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992</v>
      </c>
      <c r="FZ308">
        <f t="shared" ca="1" si="1010"/>
        <v>578737</v>
      </c>
      <c r="GA308">
        <f t="shared" si="1011"/>
        <v>75000</v>
      </c>
      <c r="GB308">
        <f t="shared" ca="1" si="1012"/>
        <v>503737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103737</v>
      </c>
      <c r="GN308">
        <f t="shared" ca="1" si="1023"/>
        <v>5186.8500000000004</v>
      </c>
      <c r="GO308">
        <f t="shared" ca="1" si="1024"/>
        <v>5187</v>
      </c>
      <c r="GP308">
        <f t="shared" ca="1" si="1025"/>
        <v>0</v>
      </c>
      <c r="GQ308">
        <f t="shared" ca="1" si="1026"/>
        <v>0</v>
      </c>
      <c r="GR308">
        <f t="shared" ca="1" si="1027"/>
        <v>5187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5187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3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7400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578946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526546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496546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496546</v>
      </c>
      <c r="FP309">
        <f t="shared" si="1001"/>
        <v>12327</v>
      </c>
      <c r="FQ309">
        <f t="shared" si="1002"/>
        <v>0</v>
      </c>
      <c r="FR309">
        <f t="shared" si="1003"/>
        <v>12327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626</v>
      </c>
      <c r="FZ309">
        <f t="shared" ca="1" si="1010"/>
        <v>579572</v>
      </c>
      <c r="GA309">
        <f t="shared" si="1011"/>
        <v>75000</v>
      </c>
      <c r="GB309">
        <f t="shared" ca="1" si="1012"/>
        <v>504572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104572</v>
      </c>
      <c r="GN309">
        <f t="shared" ca="1" si="1023"/>
        <v>5228.6000000000004</v>
      </c>
      <c r="GO309">
        <f t="shared" ca="1" si="1024"/>
        <v>5229</v>
      </c>
      <c r="GP309">
        <f t="shared" ca="1" si="1025"/>
        <v>0</v>
      </c>
      <c r="GQ309">
        <f t="shared" ca="1" si="1026"/>
        <v>0</v>
      </c>
      <c r="GR309">
        <f t="shared" ca="1" si="1027"/>
        <v>5229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5229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3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7400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578947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526547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496547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496547</v>
      </c>
      <c r="FP310">
        <f t="shared" si="1001"/>
        <v>12327</v>
      </c>
      <c r="FQ310">
        <f t="shared" si="1002"/>
        <v>0</v>
      </c>
      <c r="FR310">
        <f t="shared" si="1003"/>
        <v>12327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721</v>
      </c>
      <c r="FZ310">
        <f t="shared" ca="1" si="1010"/>
        <v>579668</v>
      </c>
      <c r="GA310">
        <f t="shared" si="1011"/>
        <v>75000</v>
      </c>
      <c r="GB310">
        <f t="shared" ca="1" si="1012"/>
        <v>504668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104668</v>
      </c>
      <c r="GN310">
        <f t="shared" ca="1" si="1023"/>
        <v>5233.4000000000005</v>
      </c>
      <c r="GO310">
        <f t="shared" ca="1" si="1024"/>
        <v>5233</v>
      </c>
      <c r="GP310">
        <f t="shared" ca="1" si="1025"/>
        <v>0</v>
      </c>
      <c r="GQ310">
        <f t="shared" ca="1" si="1026"/>
        <v>0</v>
      </c>
      <c r="GR310">
        <f t="shared" ca="1" si="1027"/>
        <v>5233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5233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3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7400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525108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472708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448708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448708</v>
      </c>
      <c r="FP311">
        <f t="shared" si="1001"/>
        <v>9935</v>
      </c>
      <c r="FQ311">
        <f t="shared" si="1002"/>
        <v>0</v>
      </c>
      <c r="FR311">
        <f t="shared" si="1003"/>
        <v>9935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592</v>
      </c>
      <c r="FZ311">
        <f t="shared" ca="1" si="1010"/>
        <v>525700</v>
      </c>
      <c r="GA311">
        <f t="shared" si="1011"/>
        <v>75000</v>
      </c>
      <c r="GB311">
        <f t="shared" ca="1" si="1012"/>
        <v>450700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50700</v>
      </c>
      <c r="GN311">
        <f t="shared" ca="1" si="1023"/>
        <v>2535</v>
      </c>
      <c r="GO311">
        <f t="shared" ca="1" si="1024"/>
        <v>2535</v>
      </c>
      <c r="GP311">
        <f t="shared" ca="1" si="1025"/>
        <v>0</v>
      </c>
      <c r="GQ311">
        <f t="shared" ca="1" si="1026"/>
        <v>0</v>
      </c>
      <c r="GR311">
        <f t="shared" ca="1" si="1027"/>
        <v>2535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2535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3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7400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531109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478709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454709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454709</v>
      </c>
      <c r="FP312">
        <f t="shared" si="1001"/>
        <v>10235</v>
      </c>
      <c r="FQ312">
        <f t="shared" si="1002"/>
        <v>0</v>
      </c>
      <c r="FR312">
        <f t="shared" si="1003"/>
        <v>10235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519</v>
      </c>
      <c r="FZ312">
        <f t="shared" ca="1" si="1010"/>
        <v>531628</v>
      </c>
      <c r="GA312">
        <f t="shared" si="1011"/>
        <v>75000</v>
      </c>
      <c r="GB312">
        <f t="shared" ca="1" si="1012"/>
        <v>456628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56628</v>
      </c>
      <c r="GN312">
        <f t="shared" ca="1" si="1023"/>
        <v>2831.4</v>
      </c>
      <c r="GO312">
        <f t="shared" ca="1" si="1024"/>
        <v>2831</v>
      </c>
      <c r="GP312">
        <f t="shared" ca="1" si="1025"/>
        <v>0</v>
      </c>
      <c r="GQ312">
        <f t="shared" ca="1" si="1026"/>
        <v>0</v>
      </c>
      <c r="GR312">
        <f t="shared" ca="1" si="1027"/>
        <v>2831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2831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2026-02-27T15:45:53Z</dcterms:modified>
</cp:coreProperties>
</file>