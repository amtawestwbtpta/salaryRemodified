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2025\"/>
    </mc:Choice>
  </mc:AlternateContent>
  <xr:revisionPtr revIDLastSave="0" documentId="13_ncr:1_{DFA76760-249B-4F48-A223-CC682A564232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Sheet1!$A$1:$FY$302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3" i="1" l="1"/>
  <c r="EL4" i="1"/>
  <c r="EL5" i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84" i="1"/>
  <c r="EL85" i="1"/>
  <c r="EL86" i="1"/>
  <c r="EL87" i="1"/>
  <c r="EL88" i="1"/>
  <c r="EL89" i="1"/>
  <c r="EL90" i="1"/>
  <c r="EL91" i="1"/>
  <c r="EL92" i="1"/>
  <c r="EL93" i="1"/>
  <c r="EL94" i="1"/>
  <c r="EL95" i="1"/>
  <c r="EL96" i="1"/>
  <c r="EL97" i="1"/>
  <c r="EL98" i="1"/>
  <c r="EL99" i="1"/>
  <c r="EL100" i="1"/>
  <c r="EL101" i="1"/>
  <c r="EL102" i="1"/>
  <c r="EL103" i="1"/>
  <c r="EL104" i="1"/>
  <c r="EL105" i="1"/>
  <c r="EL106" i="1"/>
  <c r="EL107" i="1"/>
  <c r="EL108" i="1"/>
  <c r="EL109" i="1"/>
  <c r="EL110" i="1"/>
  <c r="EL111" i="1"/>
  <c r="EL112" i="1"/>
  <c r="EL113" i="1"/>
  <c r="EL114" i="1"/>
  <c r="EL115" i="1"/>
  <c r="EL116" i="1"/>
  <c r="EL117" i="1"/>
  <c r="EL118" i="1"/>
  <c r="EL119" i="1"/>
  <c r="EL120" i="1"/>
  <c r="EL121" i="1"/>
  <c r="EL122" i="1"/>
  <c r="EL123" i="1"/>
  <c r="EL124" i="1"/>
  <c r="EL125" i="1"/>
  <c r="EL126" i="1"/>
  <c r="EL127" i="1"/>
  <c r="EL128" i="1"/>
  <c r="EL129" i="1"/>
  <c r="EL130" i="1"/>
  <c r="EL131" i="1"/>
  <c r="EL132" i="1"/>
  <c r="EL133" i="1"/>
  <c r="EL134" i="1"/>
  <c r="EL135" i="1"/>
  <c r="EL136" i="1"/>
  <c r="EL137" i="1"/>
  <c r="EL138" i="1"/>
  <c r="EL139" i="1"/>
  <c r="EL140" i="1"/>
  <c r="EL141" i="1"/>
  <c r="EL142" i="1"/>
  <c r="EL143" i="1"/>
  <c r="EL144" i="1"/>
  <c r="EL145" i="1"/>
  <c r="EL146" i="1"/>
  <c r="EL147" i="1"/>
  <c r="EL148" i="1"/>
  <c r="EL149" i="1"/>
  <c r="EL150" i="1"/>
  <c r="EL151" i="1"/>
  <c r="EL152" i="1"/>
  <c r="EL153" i="1"/>
  <c r="EL154" i="1"/>
  <c r="EL155" i="1"/>
  <c r="EL156" i="1"/>
  <c r="EL157" i="1"/>
  <c r="EL158" i="1"/>
  <c r="EL159" i="1"/>
  <c r="EL160" i="1"/>
  <c r="EL161" i="1"/>
  <c r="EL162" i="1"/>
  <c r="EL163" i="1"/>
  <c r="EL164" i="1"/>
  <c r="EL165" i="1"/>
  <c r="EL166" i="1"/>
  <c r="EL167" i="1"/>
  <c r="EL168" i="1"/>
  <c r="EL169" i="1"/>
  <c r="EL170" i="1"/>
  <c r="EL171" i="1"/>
  <c r="EL172" i="1"/>
  <c r="EL173" i="1"/>
  <c r="EL174" i="1"/>
  <c r="EL175" i="1"/>
  <c r="EL176" i="1"/>
  <c r="EL177" i="1"/>
  <c r="EL178" i="1"/>
  <c r="EL179" i="1"/>
  <c r="EL180" i="1"/>
  <c r="EL181" i="1"/>
  <c r="EL182" i="1"/>
  <c r="EL183" i="1"/>
  <c r="EL184" i="1"/>
  <c r="EL185" i="1"/>
  <c r="EL186" i="1"/>
  <c r="EL187" i="1"/>
  <c r="EL188" i="1"/>
  <c r="EL189" i="1"/>
  <c r="EL190" i="1"/>
  <c r="EL191" i="1"/>
  <c r="EL192" i="1"/>
  <c r="EL193" i="1"/>
  <c r="EL194" i="1"/>
  <c r="EL195" i="1"/>
  <c r="EL196" i="1"/>
  <c r="EL197" i="1"/>
  <c r="EL198" i="1"/>
  <c r="EL199" i="1"/>
  <c r="EL200" i="1"/>
  <c r="EL201" i="1"/>
  <c r="EL202" i="1"/>
  <c r="EL203" i="1"/>
  <c r="EL204" i="1"/>
  <c r="EL205" i="1"/>
  <c r="EL206" i="1"/>
  <c r="EL207" i="1"/>
  <c r="EL208" i="1"/>
  <c r="EL209" i="1"/>
  <c r="EL210" i="1"/>
  <c r="EL211" i="1"/>
  <c r="EL212" i="1"/>
  <c r="EL213" i="1"/>
  <c r="EL214" i="1"/>
  <c r="EL215" i="1"/>
  <c r="EL216" i="1"/>
  <c r="EL217" i="1"/>
  <c r="EL218" i="1"/>
  <c r="EL219" i="1"/>
  <c r="EL220" i="1"/>
  <c r="EL221" i="1"/>
  <c r="EL222" i="1"/>
  <c r="EL223" i="1"/>
  <c r="EL224" i="1"/>
  <c r="EL225" i="1"/>
  <c r="EL226" i="1"/>
  <c r="EL227" i="1"/>
  <c r="EL228" i="1"/>
  <c r="EL229" i="1"/>
  <c r="EL230" i="1"/>
  <c r="EL231" i="1"/>
  <c r="EL232" i="1"/>
  <c r="EL233" i="1"/>
  <c r="EL234" i="1"/>
  <c r="EL235" i="1"/>
  <c r="EL236" i="1"/>
  <c r="EL237" i="1"/>
  <c r="EL238" i="1"/>
  <c r="EL239" i="1"/>
  <c r="EL240" i="1"/>
  <c r="EL241" i="1"/>
  <c r="EL242" i="1"/>
  <c r="EL243" i="1"/>
  <c r="EL244" i="1"/>
  <c r="EL245" i="1"/>
  <c r="EL246" i="1"/>
  <c r="EL247" i="1"/>
  <c r="EL248" i="1"/>
  <c r="EL249" i="1"/>
  <c r="EL250" i="1"/>
  <c r="EL251" i="1"/>
  <c r="EL252" i="1"/>
  <c r="EL253" i="1"/>
  <c r="EL254" i="1"/>
  <c r="EL255" i="1"/>
  <c r="EL256" i="1"/>
  <c r="EL257" i="1"/>
  <c r="EL258" i="1"/>
  <c r="EL259" i="1"/>
  <c r="EL260" i="1"/>
  <c r="EL261" i="1"/>
  <c r="EL262" i="1"/>
  <c r="EL263" i="1"/>
  <c r="EL264" i="1"/>
  <c r="EL265" i="1"/>
  <c r="EL266" i="1"/>
  <c r="EL267" i="1"/>
  <c r="EL268" i="1"/>
  <c r="EL269" i="1"/>
  <c r="EL270" i="1"/>
  <c r="EL271" i="1"/>
  <c r="EL272" i="1"/>
  <c r="EL273" i="1"/>
  <c r="EL274" i="1"/>
  <c r="EL275" i="1"/>
  <c r="EL276" i="1"/>
  <c r="EL277" i="1"/>
  <c r="EL278" i="1"/>
  <c r="EL279" i="1"/>
  <c r="EL280" i="1"/>
  <c r="EL281" i="1"/>
  <c r="EL282" i="1"/>
  <c r="EL283" i="1"/>
  <c r="EL284" i="1"/>
  <c r="EL285" i="1"/>
  <c r="EL286" i="1"/>
  <c r="EL287" i="1"/>
  <c r="EL288" i="1"/>
  <c r="EL289" i="1"/>
  <c r="EL290" i="1"/>
  <c r="EL291" i="1"/>
  <c r="EL292" i="1"/>
  <c r="EL293" i="1"/>
  <c r="EL294" i="1"/>
  <c r="EL295" i="1"/>
  <c r="EL296" i="1"/>
  <c r="EL297" i="1"/>
  <c r="EL298" i="1"/>
  <c r="EL299" i="1"/>
  <c r="EL300" i="1"/>
  <c r="EL301" i="1"/>
  <c r="EL302" i="1"/>
  <c r="EL303" i="1"/>
  <c r="EL304" i="1"/>
  <c r="EL305" i="1"/>
  <c r="EL2" i="1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" i="1"/>
  <c r="DA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8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8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8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2" i="1"/>
  <c r="BC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4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300" i="1"/>
  <c r="ED301" i="1"/>
  <c r="ED302" i="1"/>
  <c r="ED303" i="1"/>
  <c r="ED304" i="1"/>
  <c r="ED305" i="1"/>
  <c r="ED2" i="1"/>
  <c r="AR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8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2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2" i="1"/>
  <c r="H123" i="1"/>
  <c r="I123" i="1"/>
  <c r="J123" i="1"/>
  <c r="M123" i="1"/>
  <c r="N123" i="1"/>
  <c r="P123" i="1"/>
  <c r="Q123" i="1"/>
  <c r="T123" i="1"/>
  <c r="W123" i="1"/>
  <c r="X123" i="1"/>
  <c r="Z123" i="1"/>
  <c r="AA123" i="1"/>
  <c r="AD123" i="1"/>
  <c r="AG123" i="1"/>
  <c r="AJ123" i="1"/>
  <c r="AK123" i="1"/>
  <c r="AN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U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I123" i="1" s="1"/>
  <c r="DJ123" i="1"/>
  <c r="DK123" i="1"/>
  <c r="DM123" i="1"/>
  <c r="DN123" i="1"/>
  <c r="DQ123" i="1"/>
  <c r="DR123" i="1" s="1"/>
  <c r="DT123" i="1"/>
  <c r="DU123" i="1"/>
  <c r="DW123" i="1"/>
  <c r="DX123" i="1"/>
  <c r="FO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M18" i="1"/>
  <c r="N18" i="1"/>
  <c r="P18" i="1"/>
  <c r="Q18" i="1"/>
  <c r="T18" i="1"/>
  <c r="W18" i="1"/>
  <c r="X18" i="1"/>
  <c r="Z18" i="1"/>
  <c r="AA18" i="1"/>
  <c r="AD18" i="1"/>
  <c r="AF18" i="1" s="1"/>
  <c r="AG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O18" i="1"/>
  <c r="FO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O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G263" i="1"/>
  <c r="AD263" i="1"/>
  <c r="AF263" i="1" s="1"/>
  <c r="AA263" i="1"/>
  <c r="Z263" i="1"/>
  <c r="X263" i="1"/>
  <c r="W263" i="1"/>
  <c r="T263" i="1"/>
  <c r="Q263" i="1"/>
  <c r="P263" i="1"/>
  <c r="N263" i="1"/>
  <c r="M263" i="1"/>
  <c r="J263" i="1"/>
  <c r="I263" i="1"/>
  <c r="H263" i="1"/>
  <c r="J134" i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O134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6" i="1"/>
  <c r="FO27" i="1"/>
  <c r="FO28" i="1"/>
  <c r="FO29" i="1"/>
  <c r="FO30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99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4" i="1"/>
  <c r="FO125" i="1"/>
  <c r="FO126" i="1"/>
  <c r="FO127" i="1"/>
  <c r="FO128" i="1"/>
  <c r="FO129" i="1"/>
  <c r="FO130" i="1"/>
  <c r="FO131" i="1"/>
  <c r="FO132" i="1"/>
  <c r="FO133" i="1"/>
  <c r="FO135" i="1"/>
  <c r="FO136" i="1"/>
  <c r="FO137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1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5" i="1"/>
  <c r="FO206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1" i="1"/>
  <c r="FO252" i="1"/>
  <c r="FO253" i="1"/>
  <c r="FO254" i="1"/>
  <c r="FO255" i="1"/>
  <c r="FO256" i="1"/>
  <c r="FO257" i="1"/>
  <c r="FO258" i="1"/>
  <c r="FO259" i="1"/>
  <c r="FO260" i="1"/>
  <c r="FO261" i="1"/>
  <c r="FO262" i="1"/>
  <c r="FO264" i="1"/>
  <c r="FO265" i="1"/>
  <c r="FO266" i="1"/>
  <c r="FO267" i="1"/>
  <c r="FO268" i="1"/>
  <c r="FO269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N10" i="1"/>
  <c r="AN11" i="1"/>
  <c r="AP11" i="1" s="1"/>
  <c r="AN12" i="1"/>
  <c r="AO12" i="1" s="1"/>
  <c r="AN13" i="1"/>
  <c r="AN14" i="1"/>
  <c r="AO14" i="1" s="1"/>
  <c r="AN15" i="1"/>
  <c r="AN16" i="1"/>
  <c r="AN17" i="1"/>
  <c r="AN19" i="1"/>
  <c r="AN20" i="1"/>
  <c r="AP20" i="1" s="1"/>
  <c r="AN21" i="1"/>
  <c r="AO21" i="1" s="1"/>
  <c r="AN22" i="1"/>
  <c r="AN23" i="1"/>
  <c r="AN24" i="1"/>
  <c r="AP24" i="1" s="1"/>
  <c r="AN25" i="1"/>
  <c r="AN26" i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N35" i="1"/>
  <c r="AN36" i="1"/>
  <c r="AN37" i="1"/>
  <c r="AO37" i="1" s="1"/>
  <c r="AN38" i="1"/>
  <c r="AN39" i="1"/>
  <c r="AO39" i="1" s="1"/>
  <c r="AN40" i="1"/>
  <c r="AO40" i="1" s="1"/>
  <c r="AN41" i="1"/>
  <c r="AN42" i="1"/>
  <c r="AN43" i="1"/>
  <c r="AN44" i="1"/>
  <c r="AO44" i="1" s="1"/>
  <c r="AN45" i="1"/>
  <c r="AO45" i="1" s="1"/>
  <c r="AN46" i="1"/>
  <c r="AN47" i="1"/>
  <c r="AO47" i="1" s="1"/>
  <c r="AN48" i="1"/>
  <c r="AO48" i="1" s="1"/>
  <c r="AN49" i="1"/>
  <c r="AN50" i="1"/>
  <c r="AN51" i="1"/>
  <c r="AN52" i="1"/>
  <c r="AP52" i="1" s="1"/>
  <c r="AN53" i="1"/>
  <c r="AO53" i="1" s="1"/>
  <c r="AN54" i="1"/>
  <c r="AN55" i="1"/>
  <c r="AO55" i="1" s="1"/>
  <c r="AN56" i="1"/>
  <c r="AN57" i="1"/>
  <c r="AN58" i="1"/>
  <c r="AN59" i="1"/>
  <c r="AN60" i="1"/>
  <c r="AN61" i="1"/>
  <c r="AO61" i="1" s="1"/>
  <c r="AN62" i="1"/>
  <c r="AN63" i="1"/>
  <c r="AO63" i="1" s="1"/>
  <c r="AN64" i="1"/>
  <c r="AP64" i="1" s="1"/>
  <c r="AN65" i="1"/>
  <c r="AN66" i="1"/>
  <c r="AN67" i="1"/>
  <c r="AN68" i="1"/>
  <c r="AN69" i="1"/>
  <c r="AO69" i="1" s="1"/>
  <c r="AN70" i="1"/>
  <c r="AN71" i="1"/>
  <c r="AO71" i="1" s="1"/>
  <c r="AN72" i="1"/>
  <c r="AN73" i="1"/>
  <c r="AN74" i="1"/>
  <c r="AN75" i="1"/>
  <c r="AN76" i="1"/>
  <c r="AP76" i="1" s="1"/>
  <c r="AN77" i="1"/>
  <c r="AO77" i="1" s="1"/>
  <c r="AN78" i="1"/>
  <c r="AN79" i="1"/>
  <c r="AO79" i="1" s="1"/>
  <c r="AN80" i="1"/>
  <c r="AP80" i="1" s="1"/>
  <c r="AN81" i="1"/>
  <c r="AN82" i="1"/>
  <c r="AN83" i="1"/>
  <c r="AN84" i="1"/>
  <c r="AP84" i="1" s="1"/>
  <c r="AN85" i="1"/>
  <c r="AO85" i="1" s="1"/>
  <c r="AN86" i="1"/>
  <c r="AN87" i="1"/>
  <c r="AO87" i="1" s="1"/>
  <c r="AN88" i="1"/>
  <c r="AO88" i="1" s="1"/>
  <c r="AN89" i="1"/>
  <c r="AN90" i="1"/>
  <c r="AN91" i="1"/>
  <c r="AN92" i="1"/>
  <c r="AO92" i="1" s="1"/>
  <c r="AN93" i="1"/>
  <c r="AO93" i="1" s="1"/>
  <c r="AN94" i="1"/>
  <c r="AN95" i="1"/>
  <c r="AO95" i="1" s="1"/>
  <c r="AN96" i="1"/>
  <c r="AO96" i="1" s="1"/>
  <c r="AN97" i="1"/>
  <c r="AN98" i="1"/>
  <c r="AN99" i="1"/>
  <c r="AN100" i="1"/>
  <c r="AN101" i="1"/>
  <c r="AO101" i="1" s="1"/>
  <c r="AN102" i="1"/>
  <c r="AN103" i="1"/>
  <c r="AO103" i="1" s="1"/>
  <c r="AN104" i="1"/>
  <c r="AP104" i="1" s="1"/>
  <c r="AN105" i="1"/>
  <c r="AN106" i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N115" i="1"/>
  <c r="AN116" i="1"/>
  <c r="AO116" i="1" s="1"/>
  <c r="AN117" i="1"/>
  <c r="AO117" i="1" s="1"/>
  <c r="AN118" i="1"/>
  <c r="AN119" i="1"/>
  <c r="AO119" i="1" s="1"/>
  <c r="AN120" i="1"/>
  <c r="AP120" i="1" s="1"/>
  <c r="AN121" i="1"/>
  <c r="AN122" i="1"/>
  <c r="AN124" i="1"/>
  <c r="AN125" i="1"/>
  <c r="AO125" i="1" s="1"/>
  <c r="AN126" i="1"/>
  <c r="AO126" i="1" s="1"/>
  <c r="AN127" i="1"/>
  <c r="AN128" i="1"/>
  <c r="AO128" i="1" s="1"/>
  <c r="AN129" i="1"/>
  <c r="AO129" i="1" s="1"/>
  <c r="AN130" i="1"/>
  <c r="AN131" i="1"/>
  <c r="AN132" i="1"/>
  <c r="AN133" i="1"/>
  <c r="AO133" i="1" s="1"/>
  <c r="AN135" i="1"/>
  <c r="AO135" i="1" s="1"/>
  <c r="AN136" i="1"/>
  <c r="AN137" i="1"/>
  <c r="AO137" i="1" s="1"/>
  <c r="AN138" i="1"/>
  <c r="AN139" i="1"/>
  <c r="AN140" i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N149" i="1"/>
  <c r="AN150" i="1"/>
  <c r="AO150" i="1" s="1"/>
  <c r="AN151" i="1"/>
  <c r="AO151" i="1" s="1"/>
  <c r="AN152" i="1"/>
  <c r="AN153" i="1"/>
  <c r="AO153" i="1" s="1"/>
  <c r="AN154" i="1"/>
  <c r="AN155" i="1"/>
  <c r="AN156" i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N173" i="1"/>
  <c r="AN174" i="1"/>
  <c r="AO174" i="1" s="1"/>
  <c r="AN175" i="1"/>
  <c r="AO175" i="1" s="1"/>
  <c r="AN176" i="1"/>
  <c r="AN177" i="1"/>
  <c r="AP177" i="1" s="1"/>
  <c r="AN178" i="1"/>
  <c r="AP178" i="1" s="1"/>
  <c r="AN179" i="1"/>
  <c r="AN180" i="1"/>
  <c r="AN181" i="1"/>
  <c r="AN182" i="1"/>
  <c r="AO182" i="1" s="1"/>
  <c r="AN183" i="1"/>
  <c r="AO183" i="1" s="1"/>
  <c r="AN184" i="1"/>
  <c r="AN185" i="1"/>
  <c r="AP185" i="1" s="1"/>
  <c r="AN186" i="1"/>
  <c r="AN187" i="1"/>
  <c r="AN188" i="1"/>
  <c r="AN189" i="1"/>
  <c r="AN190" i="1"/>
  <c r="AO190" i="1" s="1"/>
  <c r="AN191" i="1"/>
  <c r="AO191" i="1" s="1"/>
  <c r="AN192" i="1"/>
  <c r="AN193" i="1"/>
  <c r="AP193" i="1" s="1"/>
  <c r="AN194" i="1"/>
  <c r="AO194" i="1" s="1"/>
  <c r="AN195" i="1"/>
  <c r="AN196" i="1"/>
  <c r="AN197" i="1"/>
  <c r="AN198" i="1"/>
  <c r="AO198" i="1" s="1"/>
  <c r="AN199" i="1"/>
  <c r="AO199" i="1" s="1"/>
  <c r="AN200" i="1"/>
  <c r="AN201" i="1"/>
  <c r="AP201" i="1" s="1"/>
  <c r="AN202" i="1"/>
  <c r="AN203" i="1"/>
  <c r="AN204" i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N213" i="1"/>
  <c r="AN214" i="1"/>
  <c r="AO214" i="1" s="1"/>
  <c r="AN215" i="1"/>
  <c r="AO215" i="1" s="1"/>
  <c r="AN216" i="1"/>
  <c r="AN217" i="1"/>
  <c r="AP217" i="1" s="1"/>
  <c r="AN218" i="1"/>
  <c r="AO218" i="1" s="1"/>
  <c r="AN219" i="1"/>
  <c r="AN220" i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N245" i="1"/>
  <c r="AN246" i="1"/>
  <c r="AO246" i="1" s="1"/>
  <c r="AN247" i="1"/>
  <c r="AO247" i="1" s="1"/>
  <c r="AN248" i="1"/>
  <c r="AN249" i="1"/>
  <c r="AP249" i="1" s="1"/>
  <c r="AN250" i="1"/>
  <c r="AN251" i="1"/>
  <c r="AN252" i="1"/>
  <c r="AN253" i="1"/>
  <c r="AN254" i="1"/>
  <c r="AO254" i="1" s="1"/>
  <c r="AN255" i="1"/>
  <c r="AO255" i="1" s="1"/>
  <c r="AN256" i="1"/>
  <c r="AN257" i="1"/>
  <c r="AP257" i="1" s="1"/>
  <c r="AN258" i="1"/>
  <c r="AO258" i="1" s="1"/>
  <c r="AN259" i="1"/>
  <c r="AN260" i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N278" i="1"/>
  <c r="AN279" i="1"/>
  <c r="AO279" i="1" s="1"/>
  <c r="AN280" i="1"/>
  <c r="AO280" i="1" s="1"/>
  <c r="AN281" i="1"/>
  <c r="AN282" i="1"/>
  <c r="AP282" i="1" s="1"/>
  <c r="AN283" i="1"/>
  <c r="AN284" i="1"/>
  <c r="AN285" i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N302" i="1"/>
  <c r="AN303" i="1"/>
  <c r="AO303" i="1" s="1"/>
  <c r="AN304" i="1"/>
  <c r="AO304" i="1" s="1"/>
  <c r="AN2" i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D67" i="1"/>
  <c r="AD68" i="1"/>
  <c r="AD69" i="1"/>
  <c r="AD70" i="1"/>
  <c r="AD71" i="1"/>
  <c r="AD72" i="1"/>
  <c r="AD73" i="1"/>
  <c r="AE73" i="1" s="1"/>
  <c r="AD74" i="1"/>
  <c r="AD75" i="1"/>
  <c r="AD76" i="1"/>
  <c r="AD77" i="1"/>
  <c r="AD78" i="1"/>
  <c r="AD79" i="1"/>
  <c r="AD80" i="1"/>
  <c r="AD81" i="1"/>
  <c r="AE81" i="1" s="1"/>
  <c r="AD82" i="1"/>
  <c r="AD83" i="1"/>
  <c r="AD84" i="1"/>
  <c r="AD85" i="1"/>
  <c r="AD86" i="1"/>
  <c r="AD87" i="1"/>
  <c r="AD88" i="1"/>
  <c r="AD89" i="1"/>
  <c r="AE89" i="1" s="1"/>
  <c r="AD90" i="1"/>
  <c r="AD91" i="1"/>
  <c r="AD92" i="1"/>
  <c r="AD93" i="1"/>
  <c r="AD94" i="1"/>
  <c r="AD95" i="1"/>
  <c r="AD96" i="1"/>
  <c r="AD97" i="1"/>
  <c r="AE97" i="1" s="1"/>
  <c r="AD98" i="1"/>
  <c r="AD99" i="1"/>
  <c r="AD100" i="1"/>
  <c r="AD101" i="1"/>
  <c r="AD102" i="1"/>
  <c r="AD103" i="1"/>
  <c r="AD104" i="1"/>
  <c r="AD105" i="1"/>
  <c r="AF105" i="1" s="1"/>
  <c r="AD106" i="1"/>
  <c r="AD107" i="1"/>
  <c r="AD108" i="1"/>
  <c r="AD109" i="1"/>
  <c r="AD110" i="1"/>
  <c r="AD111" i="1"/>
  <c r="AD112" i="1"/>
  <c r="AE112" i="1" s="1"/>
  <c r="AD113" i="1"/>
  <c r="AE113" i="1" s="1"/>
  <c r="AD114" i="1"/>
  <c r="AD115" i="1"/>
  <c r="AD116" i="1"/>
  <c r="AD117" i="1"/>
  <c r="AD118" i="1"/>
  <c r="AD119" i="1"/>
  <c r="AD120" i="1"/>
  <c r="AD121" i="1"/>
  <c r="AE121" i="1" s="1"/>
  <c r="AD122" i="1"/>
  <c r="AD124" i="1"/>
  <c r="AD125" i="1"/>
  <c r="AE125" i="1" s="1"/>
  <c r="AD126" i="1"/>
  <c r="AD127" i="1"/>
  <c r="AD128" i="1"/>
  <c r="AF128" i="1" s="1"/>
  <c r="AD129" i="1"/>
  <c r="AE129" i="1" s="1"/>
  <c r="AD130" i="1"/>
  <c r="AE130" i="1" s="1"/>
  <c r="AD131" i="1"/>
  <c r="AD132" i="1"/>
  <c r="AD133" i="1"/>
  <c r="AF133" i="1" s="1"/>
  <c r="AD135" i="1"/>
  <c r="AD136" i="1"/>
  <c r="AD137" i="1"/>
  <c r="AE137" i="1" s="1"/>
  <c r="AD138" i="1"/>
  <c r="AF138" i="1" s="1"/>
  <c r="AD139" i="1"/>
  <c r="AD140" i="1"/>
  <c r="AD141" i="1"/>
  <c r="AE141" i="1" s="1"/>
  <c r="AD142" i="1"/>
  <c r="AD143" i="1"/>
  <c r="AD144" i="1"/>
  <c r="AD145" i="1"/>
  <c r="AE145" i="1" s="1"/>
  <c r="AD146" i="1"/>
  <c r="AE146" i="1" s="1"/>
  <c r="AD147" i="1"/>
  <c r="AD148" i="1"/>
  <c r="AD149" i="1"/>
  <c r="AE149" i="1" s="1"/>
  <c r="AD150" i="1"/>
  <c r="AD151" i="1"/>
  <c r="AD152" i="1"/>
  <c r="AD153" i="1"/>
  <c r="AF153" i="1" s="1"/>
  <c r="AD154" i="1"/>
  <c r="AF154" i="1" s="1"/>
  <c r="AD155" i="1"/>
  <c r="AE155" i="1" s="1"/>
  <c r="AD156" i="1"/>
  <c r="AD157" i="1"/>
  <c r="AE157" i="1" s="1"/>
  <c r="AD158" i="1"/>
  <c r="AD159" i="1"/>
  <c r="AD160" i="1"/>
  <c r="AD161" i="1"/>
  <c r="AE161" i="1" s="1"/>
  <c r="AD162" i="1"/>
  <c r="AF162" i="1" s="1"/>
  <c r="AD163" i="1"/>
  <c r="AE163" i="1" s="1"/>
  <c r="AD164" i="1"/>
  <c r="AD165" i="1"/>
  <c r="AE165" i="1" s="1"/>
  <c r="AD166" i="1"/>
  <c r="AD167" i="1"/>
  <c r="AD168" i="1"/>
  <c r="AD169" i="1"/>
  <c r="AF169" i="1" s="1"/>
  <c r="AD170" i="1"/>
  <c r="AE170" i="1" s="1"/>
  <c r="AD171" i="1"/>
  <c r="AE171" i="1" s="1"/>
  <c r="AD172" i="1"/>
  <c r="AD173" i="1"/>
  <c r="AE173" i="1" s="1"/>
  <c r="AD174" i="1"/>
  <c r="AD175" i="1"/>
  <c r="AD176" i="1"/>
  <c r="AD177" i="1"/>
  <c r="AF177" i="1" s="1"/>
  <c r="AD178" i="1"/>
  <c r="AE178" i="1" s="1"/>
  <c r="AD179" i="1"/>
  <c r="AE179" i="1" s="1"/>
  <c r="AD180" i="1"/>
  <c r="AD181" i="1"/>
  <c r="AE181" i="1" s="1"/>
  <c r="AD182" i="1"/>
  <c r="AD183" i="1"/>
  <c r="AD184" i="1"/>
  <c r="AD185" i="1"/>
  <c r="AE185" i="1" s="1"/>
  <c r="AD186" i="1"/>
  <c r="AE186" i="1" s="1"/>
  <c r="AD187" i="1"/>
  <c r="AF187" i="1" s="1"/>
  <c r="AD188" i="1"/>
  <c r="AD189" i="1"/>
  <c r="AE189" i="1" s="1"/>
  <c r="AD190" i="1"/>
  <c r="AD191" i="1"/>
  <c r="AD192" i="1"/>
  <c r="AD193" i="1"/>
  <c r="AE193" i="1" s="1"/>
  <c r="AD194" i="1"/>
  <c r="AE194" i="1" s="1"/>
  <c r="AD195" i="1"/>
  <c r="AE195" i="1" s="1"/>
  <c r="AD196" i="1"/>
  <c r="AD197" i="1"/>
  <c r="AF197" i="1" s="1"/>
  <c r="AD198" i="1"/>
  <c r="AD199" i="1"/>
  <c r="AD200" i="1"/>
  <c r="AD201" i="1"/>
  <c r="AE201" i="1" s="1"/>
  <c r="AD202" i="1"/>
  <c r="AE202" i="1" s="1"/>
  <c r="AD203" i="1"/>
  <c r="AF203" i="1" s="1"/>
  <c r="AD204" i="1"/>
  <c r="AD205" i="1"/>
  <c r="AD206" i="1"/>
  <c r="AD207" i="1"/>
  <c r="AD208" i="1"/>
  <c r="AD209" i="1"/>
  <c r="AE209" i="1" s="1"/>
  <c r="AD210" i="1"/>
  <c r="AF210" i="1" s="1"/>
  <c r="AD211" i="1"/>
  <c r="AE211" i="1" s="1"/>
  <c r="AD212" i="1"/>
  <c r="AD213" i="1"/>
  <c r="AE213" i="1" s="1"/>
  <c r="AD214" i="1"/>
  <c r="AD215" i="1"/>
  <c r="AD216" i="1"/>
  <c r="AD217" i="1"/>
  <c r="AE217" i="1" s="1"/>
  <c r="AD218" i="1"/>
  <c r="AE218" i="1" s="1"/>
  <c r="AD219" i="1"/>
  <c r="AF219" i="1" s="1"/>
  <c r="AD220" i="1"/>
  <c r="AD221" i="1"/>
  <c r="AE221" i="1" s="1"/>
  <c r="AD222" i="1"/>
  <c r="AD223" i="1"/>
  <c r="AD224" i="1"/>
  <c r="AD225" i="1"/>
  <c r="AE225" i="1" s="1"/>
  <c r="AD226" i="1"/>
  <c r="AD227" i="1"/>
  <c r="AE227" i="1" s="1"/>
  <c r="AD228" i="1"/>
  <c r="AD229" i="1"/>
  <c r="AE229" i="1" s="1"/>
  <c r="AD230" i="1"/>
  <c r="AD231" i="1"/>
  <c r="AD232" i="1"/>
  <c r="AD233" i="1"/>
  <c r="AE233" i="1" s="1"/>
  <c r="AD234" i="1"/>
  <c r="AE234" i="1" s="1"/>
  <c r="AD235" i="1"/>
  <c r="AE235" i="1" s="1"/>
  <c r="AD236" i="1"/>
  <c r="AD237" i="1"/>
  <c r="AE237" i="1" s="1"/>
  <c r="AD238" i="1"/>
  <c r="AD239" i="1"/>
  <c r="AD240" i="1"/>
  <c r="AD241" i="1"/>
  <c r="AF241" i="1" s="1"/>
  <c r="AD242" i="1"/>
  <c r="AE242" i="1" s="1"/>
  <c r="AD243" i="1"/>
  <c r="AE243" i="1" s="1"/>
  <c r="AD244" i="1"/>
  <c r="AD245" i="1"/>
  <c r="AE245" i="1" s="1"/>
  <c r="AD246" i="1"/>
  <c r="AD247" i="1"/>
  <c r="AD248" i="1"/>
  <c r="AD249" i="1"/>
  <c r="AE249" i="1" s="1"/>
  <c r="AD250" i="1"/>
  <c r="AF250" i="1" s="1"/>
  <c r="AD251" i="1"/>
  <c r="AE251" i="1" s="1"/>
  <c r="AD252" i="1"/>
  <c r="AD253" i="1"/>
  <c r="AE253" i="1" s="1"/>
  <c r="AD254" i="1"/>
  <c r="AD255" i="1"/>
  <c r="AD256" i="1"/>
  <c r="AD257" i="1"/>
  <c r="AE257" i="1" s="1"/>
  <c r="AD258" i="1"/>
  <c r="AE258" i="1" s="1"/>
  <c r="AD259" i="1"/>
  <c r="AE259" i="1" s="1"/>
  <c r="AD260" i="1"/>
  <c r="AD261" i="1"/>
  <c r="AF261" i="1" s="1"/>
  <c r="AD262" i="1"/>
  <c r="AD264" i="1"/>
  <c r="AD265" i="1"/>
  <c r="AD266" i="1"/>
  <c r="AE266" i="1" s="1"/>
  <c r="AD267" i="1"/>
  <c r="AE267" i="1" s="1"/>
  <c r="AD268" i="1"/>
  <c r="AD269" i="1"/>
  <c r="AD270" i="1"/>
  <c r="AD271" i="1"/>
  <c r="AD272" i="1"/>
  <c r="AD273" i="1"/>
  <c r="AD274" i="1"/>
  <c r="AE274" i="1" s="1"/>
  <c r="AD275" i="1"/>
  <c r="AE275" i="1" s="1"/>
  <c r="AD276" i="1"/>
  <c r="AD277" i="1"/>
  <c r="AD278" i="1"/>
  <c r="AD279" i="1"/>
  <c r="AD280" i="1"/>
  <c r="AD281" i="1"/>
  <c r="AD282" i="1"/>
  <c r="AE282" i="1" s="1"/>
  <c r="AD283" i="1"/>
  <c r="AE283" i="1" s="1"/>
  <c r="AD284" i="1"/>
  <c r="AD285" i="1"/>
  <c r="AD286" i="1"/>
  <c r="AD287" i="1"/>
  <c r="AD288" i="1"/>
  <c r="AD289" i="1"/>
  <c r="AD290" i="1"/>
  <c r="AE290" i="1" s="1"/>
  <c r="AD291" i="1"/>
  <c r="AE291" i="1" s="1"/>
  <c r="AD292" i="1"/>
  <c r="AD293" i="1"/>
  <c r="AD294" i="1"/>
  <c r="AD295" i="1"/>
  <c r="AD296" i="1"/>
  <c r="AD297" i="1"/>
  <c r="AD298" i="1"/>
  <c r="AE298" i="1" s="1"/>
  <c r="AD299" i="1"/>
  <c r="AE299" i="1" s="1"/>
  <c r="AD300" i="1"/>
  <c r="AD301" i="1"/>
  <c r="AD302" i="1"/>
  <c r="AD303" i="1"/>
  <c r="AD304" i="1"/>
  <c r="AD2" i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4" i="1"/>
  <c r="J125" i="1"/>
  <c r="J126" i="1"/>
  <c r="J127" i="1"/>
  <c r="J128" i="1"/>
  <c r="J129" i="1"/>
  <c r="J130" i="1"/>
  <c r="J131" i="1"/>
  <c r="J132" i="1"/>
  <c r="J133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M128" i="1" l="1"/>
  <c r="EM120" i="1"/>
  <c r="EM112" i="1"/>
  <c r="EM104" i="1"/>
  <c r="EM96" i="1"/>
  <c r="EM88" i="1"/>
  <c r="EM80" i="1"/>
  <c r="EM72" i="1"/>
  <c r="EM64" i="1"/>
  <c r="EM56" i="1"/>
  <c r="EM48" i="1"/>
  <c r="EM40" i="1"/>
  <c r="EM32" i="1"/>
  <c r="EM24" i="1"/>
  <c r="EM16" i="1"/>
  <c r="EM8" i="1"/>
  <c r="EM304" i="1"/>
  <c r="EM296" i="1"/>
  <c r="EM288" i="1"/>
  <c r="EM280" i="1"/>
  <c r="EM272" i="1"/>
  <c r="EM264" i="1"/>
  <c r="EM256" i="1"/>
  <c r="EM248" i="1"/>
  <c r="EM240" i="1"/>
  <c r="EM232" i="1"/>
  <c r="EM224" i="1"/>
  <c r="EM216" i="1"/>
  <c r="EM208" i="1"/>
  <c r="EM200" i="1"/>
  <c r="EM192" i="1"/>
  <c r="EM184" i="1"/>
  <c r="EM176" i="1"/>
  <c r="EM168" i="1"/>
  <c r="EM160" i="1"/>
  <c r="EM152" i="1"/>
  <c r="EM144" i="1"/>
  <c r="EM136" i="1"/>
  <c r="EM116" i="1"/>
  <c r="EM108" i="1"/>
  <c r="EM100" i="1"/>
  <c r="EM92" i="1"/>
  <c r="EM84" i="1"/>
  <c r="EM76" i="1"/>
  <c r="EM68" i="1"/>
  <c r="EM60" i="1"/>
  <c r="EM52" i="1"/>
  <c r="EM44" i="1"/>
  <c r="EM36" i="1"/>
  <c r="EM28" i="1"/>
  <c r="EM20" i="1"/>
  <c r="EM12" i="1"/>
  <c r="EM4" i="1"/>
  <c r="EM82" i="1"/>
  <c r="EM74" i="1"/>
  <c r="EM66" i="1"/>
  <c r="EM58" i="1"/>
  <c r="EM50" i="1"/>
  <c r="EM42" i="1"/>
  <c r="EM34" i="1"/>
  <c r="EM26" i="1"/>
  <c r="EM18" i="1"/>
  <c r="EM10" i="1"/>
  <c r="EM303" i="1"/>
  <c r="EM295" i="1"/>
  <c r="EM287" i="1"/>
  <c r="EM279" i="1"/>
  <c r="EM271" i="1"/>
  <c r="EM263" i="1"/>
  <c r="EM255" i="1"/>
  <c r="EM247" i="1"/>
  <c r="EM239" i="1"/>
  <c r="EM231" i="1"/>
  <c r="EM223" i="1"/>
  <c r="EM215" i="1"/>
  <c r="EM207" i="1"/>
  <c r="EM199" i="1"/>
  <c r="EM191" i="1"/>
  <c r="EM183" i="1"/>
  <c r="EM175" i="1"/>
  <c r="EM167" i="1"/>
  <c r="EM159" i="1"/>
  <c r="EM151" i="1"/>
  <c r="EM143" i="1"/>
  <c r="EM135" i="1"/>
  <c r="EM127" i="1"/>
  <c r="EM119" i="1"/>
  <c r="EM111" i="1"/>
  <c r="EM103" i="1"/>
  <c r="EM95" i="1"/>
  <c r="EM87" i="1"/>
  <c r="EM79" i="1"/>
  <c r="EM71" i="1"/>
  <c r="EM63" i="1"/>
  <c r="EM55" i="1"/>
  <c r="EM47" i="1"/>
  <c r="EM39" i="1"/>
  <c r="EM31" i="1"/>
  <c r="EM23" i="1"/>
  <c r="EM15" i="1"/>
  <c r="EM7" i="1"/>
  <c r="EM302" i="1"/>
  <c r="EM294" i="1"/>
  <c r="EM286" i="1"/>
  <c r="EM278" i="1"/>
  <c r="EM270" i="1"/>
  <c r="EM262" i="1"/>
  <c r="EM254" i="1"/>
  <c r="EM246" i="1"/>
  <c r="EM238" i="1"/>
  <c r="EM230" i="1"/>
  <c r="EM222" i="1"/>
  <c r="EM214" i="1"/>
  <c r="EM206" i="1"/>
  <c r="EM198" i="1"/>
  <c r="EM190" i="1"/>
  <c r="EM182" i="1"/>
  <c r="EM174" i="1"/>
  <c r="EM166" i="1"/>
  <c r="EM158" i="1"/>
  <c r="EM150" i="1"/>
  <c r="EM142" i="1"/>
  <c r="EM134" i="1"/>
  <c r="EM126" i="1"/>
  <c r="EM118" i="1"/>
  <c r="EM110" i="1"/>
  <c r="EM102" i="1"/>
  <c r="EM94" i="1"/>
  <c r="EM86" i="1"/>
  <c r="EM78" i="1"/>
  <c r="EM70" i="1"/>
  <c r="EM62" i="1"/>
  <c r="EM54" i="1"/>
  <c r="EM46" i="1"/>
  <c r="EM38" i="1"/>
  <c r="EM30" i="1"/>
  <c r="EM22" i="1"/>
  <c r="EM14" i="1"/>
  <c r="EM6" i="1"/>
  <c r="EM301" i="1"/>
  <c r="EM293" i="1"/>
  <c r="EM285" i="1"/>
  <c r="EM277" i="1"/>
  <c r="EM269" i="1"/>
  <c r="EM261" i="1"/>
  <c r="EM253" i="1"/>
  <c r="EM245" i="1"/>
  <c r="EM237" i="1"/>
  <c r="EM229" i="1"/>
  <c r="EM221" i="1"/>
  <c r="EM213" i="1"/>
  <c r="EM205" i="1"/>
  <c r="EM197" i="1"/>
  <c r="EM189" i="1"/>
  <c r="EM181" i="1"/>
  <c r="EM173" i="1"/>
  <c r="EM165" i="1"/>
  <c r="EM157" i="1"/>
  <c r="EM149" i="1"/>
  <c r="EM141" i="1"/>
  <c r="EM133" i="1"/>
  <c r="EM125" i="1"/>
  <c r="EM117" i="1"/>
  <c r="EM109" i="1"/>
  <c r="EM101" i="1"/>
  <c r="EM93" i="1"/>
  <c r="EM85" i="1"/>
  <c r="EM77" i="1"/>
  <c r="EM69" i="1"/>
  <c r="EM61" i="1"/>
  <c r="EM53" i="1"/>
  <c r="EM45" i="1"/>
  <c r="EM37" i="1"/>
  <c r="EM29" i="1"/>
  <c r="EM21" i="1"/>
  <c r="EM13" i="1"/>
  <c r="EM5" i="1"/>
  <c r="EM300" i="1"/>
  <c r="EM292" i="1"/>
  <c r="EM284" i="1"/>
  <c r="EM276" i="1"/>
  <c r="EM268" i="1"/>
  <c r="EM260" i="1"/>
  <c r="EM252" i="1"/>
  <c r="EM244" i="1"/>
  <c r="EM236" i="1"/>
  <c r="EM228" i="1"/>
  <c r="EM220" i="1"/>
  <c r="EM212" i="1"/>
  <c r="EM204" i="1"/>
  <c r="EM196" i="1"/>
  <c r="EM188" i="1"/>
  <c r="EM180" i="1"/>
  <c r="EM172" i="1"/>
  <c r="EM164" i="1"/>
  <c r="EM156" i="1"/>
  <c r="EM148" i="1"/>
  <c r="EM140" i="1"/>
  <c r="EM132" i="1"/>
  <c r="EM124" i="1"/>
  <c r="EM299" i="1"/>
  <c r="EM291" i="1"/>
  <c r="EM283" i="1"/>
  <c r="EM275" i="1"/>
  <c r="EM267" i="1"/>
  <c r="EM259" i="1"/>
  <c r="EM251" i="1"/>
  <c r="EM243" i="1"/>
  <c r="EM235" i="1"/>
  <c r="EM227" i="1"/>
  <c r="EM219" i="1"/>
  <c r="EM211" i="1"/>
  <c r="EM203" i="1"/>
  <c r="EM195" i="1"/>
  <c r="EM187" i="1"/>
  <c r="EM179" i="1"/>
  <c r="EM171" i="1"/>
  <c r="EM163" i="1"/>
  <c r="EM155" i="1"/>
  <c r="EM147" i="1"/>
  <c r="EM139" i="1"/>
  <c r="EM131" i="1"/>
  <c r="EM123" i="1"/>
  <c r="EM115" i="1"/>
  <c r="EM107" i="1"/>
  <c r="EM99" i="1"/>
  <c r="EM91" i="1"/>
  <c r="EM83" i="1"/>
  <c r="EM75" i="1"/>
  <c r="EM67" i="1"/>
  <c r="EM59" i="1"/>
  <c r="EM51" i="1"/>
  <c r="EM43" i="1"/>
  <c r="EM35" i="1"/>
  <c r="EM27" i="1"/>
  <c r="EM19" i="1"/>
  <c r="EM11" i="1"/>
  <c r="EM3" i="1"/>
  <c r="EM2" i="1"/>
  <c r="EM298" i="1"/>
  <c r="EM290" i="1"/>
  <c r="EM282" i="1"/>
  <c r="EM274" i="1"/>
  <c r="EM266" i="1"/>
  <c r="EM258" i="1"/>
  <c r="EM250" i="1"/>
  <c r="EM242" i="1"/>
  <c r="EM234" i="1"/>
  <c r="EM226" i="1"/>
  <c r="EM218" i="1"/>
  <c r="EM210" i="1"/>
  <c r="EM202" i="1"/>
  <c r="EM194" i="1"/>
  <c r="EM186" i="1"/>
  <c r="EM178" i="1"/>
  <c r="EM170" i="1"/>
  <c r="EM162" i="1"/>
  <c r="EM154" i="1"/>
  <c r="EM146" i="1"/>
  <c r="EM138" i="1"/>
  <c r="EM130" i="1"/>
  <c r="EM122" i="1"/>
  <c r="EM114" i="1"/>
  <c r="EM106" i="1"/>
  <c r="EM98" i="1"/>
  <c r="EM90" i="1"/>
  <c r="EM305" i="1"/>
  <c r="EM297" i="1"/>
  <c r="EM289" i="1"/>
  <c r="EM281" i="1"/>
  <c r="EM273" i="1"/>
  <c r="EM265" i="1"/>
  <c r="EM257" i="1"/>
  <c r="EM249" i="1"/>
  <c r="EM241" i="1"/>
  <c r="EM233" i="1"/>
  <c r="EM225" i="1"/>
  <c r="EM217" i="1"/>
  <c r="EM209" i="1"/>
  <c r="EM201" i="1"/>
  <c r="EM193" i="1"/>
  <c r="EM185" i="1"/>
  <c r="EM177" i="1"/>
  <c r="EM169" i="1"/>
  <c r="EM161" i="1"/>
  <c r="EM153" i="1"/>
  <c r="EM145" i="1"/>
  <c r="EM137" i="1"/>
  <c r="EM129" i="1"/>
  <c r="EM121" i="1"/>
  <c r="EM113" i="1"/>
  <c r="EM105" i="1"/>
  <c r="EM97" i="1"/>
  <c r="EM89" i="1"/>
  <c r="EM81" i="1"/>
  <c r="EM73" i="1"/>
  <c r="EM65" i="1"/>
  <c r="EM57" i="1"/>
  <c r="EM49" i="1"/>
  <c r="EM41" i="1"/>
  <c r="EM33" i="1"/>
  <c r="EM25" i="1"/>
  <c r="EM17" i="1"/>
  <c r="EM9" i="1"/>
  <c r="L254" i="1"/>
  <c r="L190" i="1"/>
  <c r="L125" i="1"/>
  <c r="K68" i="1"/>
  <c r="L36" i="1"/>
  <c r="V297" i="1"/>
  <c r="Y297" i="1"/>
  <c r="V265" i="1"/>
  <c r="V232" i="1"/>
  <c r="V200" i="1"/>
  <c r="V168" i="1"/>
  <c r="V136" i="1"/>
  <c r="V102" i="1"/>
  <c r="V70" i="1"/>
  <c r="V30" i="1"/>
  <c r="AE2" i="1"/>
  <c r="AF297" i="1"/>
  <c r="AF289" i="1"/>
  <c r="AE281" i="1"/>
  <c r="AE273" i="1"/>
  <c r="AE265" i="1"/>
  <c r="AE256" i="1"/>
  <c r="AE248" i="1"/>
  <c r="AE240" i="1"/>
  <c r="AE232" i="1"/>
  <c r="AF224" i="1"/>
  <c r="AE216" i="1"/>
  <c r="AE208" i="1"/>
  <c r="AE200" i="1"/>
  <c r="AE192" i="1"/>
  <c r="AF184" i="1"/>
  <c r="AE176" i="1"/>
  <c r="AE168" i="1"/>
  <c r="AF160" i="1"/>
  <c r="AE152" i="1"/>
  <c r="AE144" i="1"/>
  <c r="AE136" i="1"/>
  <c r="AE127" i="1"/>
  <c r="AE118" i="1"/>
  <c r="AE110" i="1"/>
  <c r="AE102" i="1"/>
  <c r="AE94" i="1"/>
  <c r="AE86" i="1"/>
  <c r="AE78" i="1"/>
  <c r="AP301" i="1"/>
  <c r="AP293" i="1"/>
  <c r="AP285" i="1"/>
  <c r="AP277" i="1"/>
  <c r="AP269" i="1"/>
  <c r="AP260" i="1"/>
  <c r="AP252" i="1"/>
  <c r="AP244" i="1"/>
  <c r="AP236" i="1"/>
  <c r="AP228" i="1"/>
  <c r="AP220" i="1"/>
  <c r="AP212" i="1"/>
  <c r="AP204" i="1"/>
  <c r="AP196" i="1"/>
  <c r="AP188" i="1"/>
  <c r="AP180" i="1"/>
  <c r="AP172" i="1"/>
  <c r="AP164" i="1"/>
  <c r="AP156" i="1"/>
  <c r="AP148" i="1"/>
  <c r="AP140" i="1"/>
  <c r="AP131" i="1"/>
  <c r="AP122" i="1"/>
  <c r="AP114" i="1"/>
  <c r="AP106" i="1"/>
  <c r="AP98" i="1"/>
  <c r="AP90" i="1"/>
  <c r="AP82" i="1"/>
  <c r="AP74" i="1"/>
  <c r="AP66" i="1"/>
  <c r="AP58" i="1"/>
  <c r="AP50" i="1"/>
  <c r="AP42" i="1"/>
  <c r="AP34" i="1"/>
  <c r="AP26" i="1"/>
  <c r="AP17" i="1"/>
  <c r="AP9" i="1"/>
  <c r="L246" i="1"/>
  <c r="L182" i="1"/>
  <c r="L116" i="1"/>
  <c r="V281" i="1"/>
  <c r="V248" i="1"/>
  <c r="V216" i="1"/>
  <c r="V184" i="1"/>
  <c r="V152" i="1"/>
  <c r="V118" i="1"/>
  <c r="U86" i="1"/>
  <c r="V62" i="1"/>
  <c r="V38" i="1"/>
  <c r="U22" i="1"/>
  <c r="V13" i="1"/>
  <c r="U5" i="1"/>
  <c r="L294" i="1"/>
  <c r="L270" i="1"/>
  <c r="O270" i="1"/>
  <c r="S270" i="1" s="1"/>
  <c r="L245" i="1"/>
  <c r="L221" i="1"/>
  <c r="L205" i="1"/>
  <c r="L189" i="1"/>
  <c r="L173" i="1"/>
  <c r="L157" i="1"/>
  <c r="L132" i="1"/>
  <c r="O132" i="1"/>
  <c r="L115" i="1"/>
  <c r="K99" i="1"/>
  <c r="L83" i="1"/>
  <c r="K67" i="1"/>
  <c r="K51" i="1"/>
  <c r="L35" i="1"/>
  <c r="L27" i="1"/>
  <c r="L19" i="1"/>
  <c r="L10" i="1"/>
  <c r="V304" i="1"/>
  <c r="V296" i="1"/>
  <c r="V288" i="1"/>
  <c r="V280" i="1"/>
  <c r="V272" i="1"/>
  <c r="V264" i="1"/>
  <c r="V255" i="1"/>
  <c r="V247" i="1"/>
  <c r="V239" i="1"/>
  <c r="V231" i="1"/>
  <c r="V223" i="1"/>
  <c r="V215" i="1"/>
  <c r="V207" i="1"/>
  <c r="V199" i="1"/>
  <c r="V191" i="1"/>
  <c r="V183" i="1"/>
  <c r="V175" i="1"/>
  <c r="V167" i="1"/>
  <c r="V159" i="1"/>
  <c r="V151" i="1"/>
  <c r="V143" i="1"/>
  <c r="V135" i="1"/>
  <c r="V126" i="1"/>
  <c r="V117" i="1"/>
  <c r="V109" i="1"/>
  <c r="V101" i="1"/>
  <c r="U93" i="1"/>
  <c r="V85" i="1"/>
  <c r="U77" i="1"/>
  <c r="V69" i="1"/>
  <c r="V61" i="1"/>
  <c r="V53" i="1"/>
  <c r="V45" i="1"/>
  <c r="V37" i="1"/>
  <c r="V29" i="1"/>
  <c r="V21" i="1"/>
  <c r="V12" i="1"/>
  <c r="U4" i="1"/>
  <c r="AF304" i="1"/>
  <c r="AE296" i="1"/>
  <c r="AF288" i="1"/>
  <c r="AE280" i="1"/>
  <c r="AE272" i="1"/>
  <c r="AE264" i="1"/>
  <c r="AF255" i="1"/>
  <c r="AE247" i="1"/>
  <c r="AE239" i="1"/>
  <c r="AF231" i="1"/>
  <c r="AE223" i="1"/>
  <c r="AE207" i="1"/>
  <c r="AE199" i="1"/>
  <c r="AF191" i="1"/>
  <c r="AE183" i="1"/>
  <c r="AE175" i="1"/>
  <c r="AF167" i="1"/>
  <c r="AE159" i="1"/>
  <c r="AF151" i="1"/>
  <c r="AE143" i="1"/>
  <c r="AE135" i="1"/>
  <c r="AE126" i="1"/>
  <c r="AE109" i="1"/>
  <c r="AE101" i="1"/>
  <c r="AE93" i="1"/>
  <c r="AE85" i="1"/>
  <c r="AE77" i="1"/>
  <c r="AE69" i="1"/>
  <c r="L279" i="1"/>
  <c r="L214" i="1"/>
  <c r="L150" i="1"/>
  <c r="U2" i="1"/>
  <c r="V273" i="1"/>
  <c r="V240" i="1"/>
  <c r="V208" i="1"/>
  <c r="V176" i="1"/>
  <c r="V144" i="1"/>
  <c r="V110" i="1"/>
  <c r="V78" i="1"/>
  <c r="V46" i="1"/>
  <c r="L286" i="1"/>
  <c r="L261" i="1"/>
  <c r="L237" i="1"/>
  <c r="L213" i="1"/>
  <c r="L197" i="1"/>
  <c r="L181" i="1"/>
  <c r="L165" i="1"/>
  <c r="L149" i="1"/>
  <c r="L141" i="1"/>
  <c r="L124" i="1"/>
  <c r="L107" i="1"/>
  <c r="L91" i="1"/>
  <c r="L75" i="1"/>
  <c r="K59" i="1"/>
  <c r="K43" i="1"/>
  <c r="K301" i="1"/>
  <c r="K293" i="1"/>
  <c r="K285" i="1"/>
  <c r="L277" i="1"/>
  <c r="L269" i="1"/>
  <c r="L260" i="1"/>
  <c r="L252" i="1"/>
  <c r="L244" i="1"/>
  <c r="K236" i="1"/>
  <c r="K228" i="1"/>
  <c r="K220" i="1"/>
  <c r="L212" i="1"/>
  <c r="L204" i="1"/>
  <c r="O204" i="1"/>
  <c r="S204" i="1" s="1"/>
  <c r="L196" i="1"/>
  <c r="L188" i="1"/>
  <c r="L180" i="1"/>
  <c r="K172" i="1"/>
  <c r="K164" i="1"/>
  <c r="L156" i="1"/>
  <c r="L148" i="1"/>
  <c r="L140" i="1"/>
  <c r="L131" i="1"/>
  <c r="L122" i="1"/>
  <c r="L114" i="1"/>
  <c r="L106" i="1"/>
  <c r="L98" i="1"/>
  <c r="L90" i="1"/>
  <c r="L82" i="1"/>
  <c r="L74" i="1"/>
  <c r="L66" i="1"/>
  <c r="L58" i="1"/>
  <c r="L50" i="1"/>
  <c r="L42" i="1"/>
  <c r="L34" i="1"/>
  <c r="L26" i="1"/>
  <c r="L17" i="1"/>
  <c r="L9" i="1"/>
  <c r="V303" i="1"/>
  <c r="V295" i="1"/>
  <c r="V287" i="1"/>
  <c r="V279" i="1"/>
  <c r="V271" i="1"/>
  <c r="V262" i="1"/>
  <c r="V254" i="1"/>
  <c r="V246" i="1"/>
  <c r="V238" i="1"/>
  <c r="V230" i="1"/>
  <c r="V222" i="1"/>
  <c r="V214" i="1"/>
  <c r="V198" i="1"/>
  <c r="V190" i="1"/>
  <c r="V182" i="1"/>
  <c r="V174" i="1"/>
  <c r="V166" i="1"/>
  <c r="V158" i="1"/>
  <c r="V150" i="1"/>
  <c r="V142" i="1"/>
  <c r="V133" i="1"/>
  <c r="U125" i="1"/>
  <c r="V116" i="1"/>
  <c r="V108" i="1"/>
  <c r="V100" i="1"/>
  <c r="V92" i="1"/>
  <c r="V84" i="1"/>
  <c r="V76" i="1"/>
  <c r="U68" i="1"/>
  <c r="U60" i="1"/>
  <c r="V52" i="1"/>
  <c r="V44" i="1"/>
  <c r="V36" i="1"/>
  <c r="V28" i="1"/>
  <c r="V20" i="1"/>
  <c r="V11" i="1"/>
  <c r="U3" i="1"/>
  <c r="AF303" i="1"/>
  <c r="AE295" i="1"/>
  <c r="AE287" i="1"/>
  <c r="AF279" i="1"/>
  <c r="AE271" i="1"/>
  <c r="AE262" i="1"/>
  <c r="AE254" i="1"/>
  <c r="L287" i="1"/>
  <c r="L222" i="1"/>
  <c r="L158" i="1"/>
  <c r="L92" i="1"/>
  <c r="L52" i="1"/>
  <c r="L20" i="1"/>
  <c r="V289" i="1"/>
  <c r="V256" i="1"/>
  <c r="V224" i="1"/>
  <c r="V192" i="1"/>
  <c r="V160" i="1"/>
  <c r="V127" i="1"/>
  <c r="V94" i="1"/>
  <c r="V54" i="1"/>
  <c r="L302" i="1"/>
  <c r="L278" i="1"/>
  <c r="L253" i="1"/>
  <c r="L229" i="1"/>
  <c r="K300" i="1"/>
  <c r="L292" i="1"/>
  <c r="K284" i="1"/>
  <c r="K276" i="1"/>
  <c r="L268" i="1"/>
  <c r="L259" i="1"/>
  <c r="L251" i="1"/>
  <c r="L243" i="1"/>
  <c r="K235" i="1"/>
  <c r="K227" i="1"/>
  <c r="K219" i="1"/>
  <c r="K211" i="1"/>
  <c r="L203" i="1"/>
  <c r="L195" i="1"/>
  <c r="L187" i="1"/>
  <c r="L179" i="1"/>
  <c r="K171" i="1"/>
  <c r="K163" i="1"/>
  <c r="K155" i="1"/>
  <c r="K147" i="1"/>
  <c r="L139" i="1"/>
  <c r="L130" i="1"/>
  <c r="L121" i="1"/>
  <c r="K113" i="1"/>
  <c r="K105" i="1"/>
  <c r="K97" i="1"/>
  <c r="K89" i="1"/>
  <c r="L81" i="1"/>
  <c r="L73" i="1"/>
  <c r="L65" i="1"/>
  <c r="L57" i="1"/>
  <c r="K49" i="1"/>
  <c r="K41" i="1"/>
  <c r="K33" i="1"/>
  <c r="K25" i="1"/>
  <c r="O25" i="1"/>
  <c r="L16" i="1"/>
  <c r="L8" i="1"/>
  <c r="V302" i="1"/>
  <c r="V294" i="1"/>
  <c r="V286" i="1"/>
  <c r="V278" i="1"/>
  <c r="V270" i="1"/>
  <c r="Y270" i="1"/>
  <c r="V261" i="1"/>
  <c r="V253" i="1"/>
  <c r="V245" i="1"/>
  <c r="V237" i="1"/>
  <c r="V229" i="1"/>
  <c r="V221" i="1"/>
  <c r="V213" i="1"/>
  <c r="V205" i="1"/>
  <c r="V197" i="1"/>
  <c r="V189" i="1"/>
  <c r="V181" i="1"/>
  <c r="V173" i="1"/>
  <c r="V165" i="1"/>
  <c r="V157" i="1"/>
  <c r="V149" i="1"/>
  <c r="V141" i="1"/>
  <c r="V132" i="1"/>
  <c r="Y132" i="1"/>
  <c r="V124" i="1"/>
  <c r="V115" i="1"/>
  <c r="V107" i="1"/>
  <c r="U99" i="1"/>
  <c r="V91" i="1"/>
  <c r="V83" i="1"/>
  <c r="V75" i="1"/>
  <c r="U67" i="1"/>
  <c r="U59" i="1"/>
  <c r="V51" i="1"/>
  <c r="U43" i="1"/>
  <c r="V35" i="1"/>
  <c r="V27" i="1"/>
  <c r="V19" i="1"/>
  <c r="V10" i="1"/>
  <c r="K303" i="1"/>
  <c r="L238" i="1"/>
  <c r="L174" i="1"/>
  <c r="K108" i="1"/>
  <c r="K283" i="1"/>
  <c r="L250" i="1"/>
  <c r="K218" i="1"/>
  <c r="L186" i="1"/>
  <c r="L154" i="1"/>
  <c r="L120" i="1"/>
  <c r="K88" i="1"/>
  <c r="K64" i="1"/>
  <c r="K40" i="1"/>
  <c r="K24" i="1"/>
  <c r="K15" i="1"/>
  <c r="K7" i="1"/>
  <c r="V293" i="1"/>
  <c r="V277" i="1"/>
  <c r="V269" i="1"/>
  <c r="V260" i="1"/>
  <c r="V244" i="1"/>
  <c r="V236" i="1"/>
  <c r="V228" i="1"/>
  <c r="V220" i="1"/>
  <c r="V204" i="1"/>
  <c r="Y204" i="1"/>
  <c r="V188" i="1"/>
  <c r="V180" i="1"/>
  <c r="V172" i="1"/>
  <c r="V164" i="1"/>
  <c r="V156" i="1"/>
  <c r="V148" i="1"/>
  <c r="V140" i="1"/>
  <c r="V131" i="1"/>
  <c r="V122" i="1"/>
  <c r="V114" i="1"/>
  <c r="V106" i="1"/>
  <c r="V98" i="1"/>
  <c r="V90" i="1"/>
  <c r="V82" i="1"/>
  <c r="V74" i="1"/>
  <c r="V58" i="1"/>
  <c r="V50" i="1"/>
  <c r="V42" i="1"/>
  <c r="V34" i="1"/>
  <c r="V26" i="1"/>
  <c r="V17" i="1"/>
  <c r="V9" i="1"/>
  <c r="AE301" i="1"/>
  <c r="AE293" i="1"/>
  <c r="AE285" i="1"/>
  <c r="AE277" i="1"/>
  <c r="AF269" i="1"/>
  <c r="AF260" i="1"/>
  <c r="AE252" i="1"/>
  <c r="AE244" i="1"/>
  <c r="AE236" i="1"/>
  <c r="AE228" i="1"/>
  <c r="AE220" i="1"/>
  <c r="AF212" i="1"/>
  <c r="AF196" i="1"/>
  <c r="AF188" i="1"/>
  <c r="AE180" i="1"/>
  <c r="AE172" i="1"/>
  <c r="AE164" i="1"/>
  <c r="AF156" i="1"/>
  <c r="AE148" i="1"/>
  <c r="AE140" i="1"/>
  <c r="AF131" i="1"/>
  <c r="AE122" i="1"/>
  <c r="AE114" i="1"/>
  <c r="AF106" i="1"/>
  <c r="AE98" i="1"/>
  <c r="AF90" i="1"/>
  <c r="AE82" i="1"/>
  <c r="AE74" i="1"/>
  <c r="AF66" i="1"/>
  <c r="AO2" i="1"/>
  <c r="AP281" i="1"/>
  <c r="AP256" i="1"/>
  <c r="AP248" i="1"/>
  <c r="AP216" i="1"/>
  <c r="AO200" i="1"/>
  <c r="AO192" i="1"/>
  <c r="AP184" i="1"/>
  <c r="AP176" i="1"/>
  <c r="AP152" i="1"/>
  <c r="AP136" i="1"/>
  <c r="AO127" i="1"/>
  <c r="AP118" i="1"/>
  <c r="AP102" i="1"/>
  <c r="AP94" i="1"/>
  <c r="AO86" i="1"/>
  <c r="AP78" i="1"/>
  <c r="AP54" i="1"/>
  <c r="AO46" i="1"/>
  <c r="AP38" i="1"/>
  <c r="AO22" i="1"/>
  <c r="L262" i="1"/>
  <c r="L198" i="1"/>
  <c r="L133" i="1"/>
  <c r="L76" i="1"/>
  <c r="L44" i="1"/>
  <c r="L28" i="1"/>
  <c r="L11" i="1"/>
  <c r="K3" i="1"/>
  <c r="K291" i="1"/>
  <c r="L258" i="1"/>
  <c r="K226" i="1"/>
  <c r="L194" i="1"/>
  <c r="K162" i="1"/>
  <c r="L129" i="1"/>
  <c r="L96" i="1"/>
  <c r="V301" i="1"/>
  <c r="V285" i="1"/>
  <c r="V252" i="1"/>
  <c r="K298" i="1"/>
  <c r="K290" i="1"/>
  <c r="K282" i="1"/>
  <c r="K274" i="1"/>
  <c r="K266" i="1"/>
  <c r="K257" i="1"/>
  <c r="L249" i="1"/>
  <c r="L241" i="1"/>
  <c r="K233" i="1"/>
  <c r="K225" i="1"/>
  <c r="K217" i="1"/>
  <c r="K209" i="1"/>
  <c r="K201" i="1"/>
  <c r="K193" i="1"/>
  <c r="L185" i="1"/>
  <c r="L177" i="1"/>
  <c r="K169" i="1"/>
  <c r="K161" i="1"/>
  <c r="K153" i="1"/>
  <c r="K145" i="1"/>
  <c r="K137" i="1"/>
  <c r="O137" i="1"/>
  <c r="K128" i="1"/>
  <c r="L119" i="1"/>
  <c r="K111" i="1"/>
  <c r="K103" i="1"/>
  <c r="K95" i="1"/>
  <c r="K87" i="1"/>
  <c r="K79" i="1"/>
  <c r="K71" i="1"/>
  <c r="L63" i="1"/>
  <c r="L55" i="1"/>
  <c r="L47" i="1"/>
  <c r="K39" i="1"/>
  <c r="K31" i="1"/>
  <c r="K23" i="1"/>
  <c r="K14" i="1"/>
  <c r="K6" i="1"/>
  <c r="U300" i="1"/>
  <c r="U292" i="1"/>
  <c r="U284" i="1"/>
  <c r="U276" i="1"/>
  <c r="U268" i="1"/>
  <c r="U259" i="1"/>
  <c r="U251" i="1"/>
  <c r="U243" i="1"/>
  <c r="U235" i="1"/>
  <c r="U227" i="1"/>
  <c r="U219" i="1"/>
  <c r="U211" i="1"/>
  <c r="U203" i="1"/>
  <c r="U195" i="1"/>
  <c r="U187" i="1"/>
  <c r="U179" i="1"/>
  <c r="U171" i="1"/>
  <c r="V163" i="1"/>
  <c r="U155" i="1"/>
  <c r="U147" i="1"/>
  <c r="U139" i="1"/>
  <c r="U130" i="1"/>
  <c r="U121" i="1"/>
  <c r="U113" i="1"/>
  <c r="U105" i="1"/>
  <c r="V97" i="1"/>
  <c r="V89" i="1"/>
  <c r="V81" i="1"/>
  <c r="U73" i="1"/>
  <c r="U65" i="1"/>
  <c r="U57" i="1"/>
  <c r="U49" i="1"/>
  <c r="U41" i="1"/>
  <c r="U33" i="1"/>
  <c r="V25" i="1"/>
  <c r="Y25" i="1"/>
  <c r="U16" i="1"/>
  <c r="V8" i="1"/>
  <c r="L271" i="1"/>
  <c r="L206" i="1"/>
  <c r="L142" i="1"/>
  <c r="L84" i="1"/>
  <c r="K299" i="1"/>
  <c r="K267" i="1"/>
  <c r="K234" i="1"/>
  <c r="K202" i="1"/>
  <c r="K170" i="1"/>
  <c r="K138" i="1"/>
  <c r="K104" i="1"/>
  <c r="K72" i="1"/>
  <c r="K48" i="1"/>
  <c r="K2" i="1"/>
  <c r="K297" i="1"/>
  <c r="O297" i="1"/>
  <c r="K289" i="1"/>
  <c r="K281" i="1"/>
  <c r="K273" i="1"/>
  <c r="K265" i="1"/>
  <c r="K256" i="1"/>
  <c r="K248" i="1"/>
  <c r="L240" i="1"/>
  <c r="K232" i="1"/>
  <c r="K224" i="1"/>
  <c r="K216" i="1"/>
  <c r="K208" i="1"/>
  <c r="K200" i="1"/>
  <c r="K192" i="1"/>
  <c r="K184" i="1"/>
  <c r="L176" i="1"/>
  <c r="K168" i="1"/>
  <c r="K160" i="1"/>
  <c r="K152" i="1"/>
  <c r="K144" i="1"/>
  <c r="K136" i="1"/>
  <c r="K127" i="1"/>
  <c r="L118" i="1"/>
  <c r="K110" i="1"/>
  <c r="K102" i="1"/>
  <c r="K94" i="1"/>
  <c r="K86" i="1"/>
  <c r="K78" i="1"/>
  <c r="K70" i="1"/>
  <c r="K62" i="1"/>
  <c r="L54" i="1"/>
  <c r="L46" i="1"/>
  <c r="L38" i="1"/>
  <c r="L30" i="1"/>
  <c r="K22" i="1"/>
  <c r="K13" i="1"/>
  <c r="K5" i="1"/>
  <c r="U299" i="1"/>
  <c r="U291" i="1"/>
  <c r="U283" i="1"/>
  <c r="U275" i="1"/>
  <c r="U267" i="1"/>
  <c r="U258" i="1"/>
  <c r="U250" i="1"/>
  <c r="U242" i="1"/>
  <c r="U234" i="1"/>
  <c r="U226" i="1"/>
  <c r="U218" i="1"/>
  <c r="U210" i="1"/>
  <c r="U202" i="1"/>
  <c r="U194" i="1"/>
  <c r="U186" i="1"/>
  <c r="U178" i="1"/>
  <c r="U170" i="1"/>
  <c r="U162" i="1"/>
  <c r="U154" i="1"/>
  <c r="U146" i="1"/>
  <c r="U138" i="1"/>
  <c r="U129" i="1"/>
  <c r="U120" i="1"/>
  <c r="U112" i="1"/>
  <c r="U104" i="1"/>
  <c r="U96" i="1"/>
  <c r="U88" i="1"/>
  <c r="V80" i="1"/>
  <c r="U72" i="1"/>
  <c r="U64" i="1"/>
  <c r="U56" i="1"/>
  <c r="U48" i="1"/>
  <c r="U40" i="1"/>
  <c r="V32" i="1"/>
  <c r="V24" i="1"/>
  <c r="V15" i="1"/>
  <c r="V7" i="1"/>
  <c r="L295" i="1"/>
  <c r="K230" i="1"/>
  <c r="K166" i="1"/>
  <c r="L100" i="1"/>
  <c r="K60" i="1"/>
  <c r="K275" i="1"/>
  <c r="L242" i="1"/>
  <c r="K210" i="1"/>
  <c r="L178" i="1"/>
  <c r="K146" i="1"/>
  <c r="K112" i="1"/>
  <c r="K80" i="1"/>
  <c r="K56" i="1"/>
  <c r="K32" i="1"/>
  <c r="K304" i="1"/>
  <c r="L296" i="1"/>
  <c r="L288" i="1"/>
  <c r="L280" i="1"/>
  <c r="L272" i="1"/>
  <c r="L264" i="1"/>
  <c r="L255" i="1"/>
  <c r="L247" i="1"/>
  <c r="L239" i="1"/>
  <c r="L231" i="1"/>
  <c r="L223" i="1"/>
  <c r="L215" i="1"/>
  <c r="L207" i="1"/>
  <c r="L199" i="1"/>
  <c r="L191" i="1"/>
  <c r="L183" i="1"/>
  <c r="L175" i="1"/>
  <c r="L167" i="1"/>
  <c r="L159" i="1"/>
  <c r="L151" i="1"/>
  <c r="L143" i="1"/>
  <c r="L135" i="1"/>
  <c r="L126" i="1"/>
  <c r="L117" i="1"/>
  <c r="L109" i="1"/>
  <c r="L101" i="1"/>
  <c r="L93" i="1"/>
  <c r="K85" i="1"/>
  <c r="K77" i="1"/>
  <c r="K69" i="1"/>
  <c r="K61" i="1"/>
  <c r="L53" i="1"/>
  <c r="K45" i="1"/>
  <c r="L37" i="1"/>
  <c r="L29" i="1"/>
  <c r="L21" i="1"/>
  <c r="L12" i="1"/>
  <c r="K4" i="1"/>
  <c r="V298" i="1"/>
  <c r="V290" i="1"/>
  <c r="V282" i="1"/>
  <c r="V274" i="1"/>
  <c r="V266" i="1"/>
  <c r="V257" i="1"/>
  <c r="V249" i="1"/>
  <c r="V241" i="1"/>
  <c r="V233" i="1"/>
  <c r="V225" i="1"/>
  <c r="V217" i="1"/>
  <c r="V209" i="1"/>
  <c r="V201" i="1"/>
  <c r="V193" i="1"/>
  <c r="V185" i="1"/>
  <c r="V177" i="1"/>
  <c r="V169" i="1"/>
  <c r="V161" i="1"/>
  <c r="V153" i="1"/>
  <c r="V145" i="1"/>
  <c r="V137" i="1"/>
  <c r="Y137" i="1"/>
  <c r="V128" i="1"/>
  <c r="V119" i="1"/>
  <c r="V111" i="1"/>
  <c r="V103" i="1"/>
  <c r="V95" i="1"/>
  <c r="U87" i="1"/>
  <c r="U79" i="1"/>
  <c r="V71" i="1"/>
  <c r="V63" i="1"/>
  <c r="V55" i="1"/>
  <c r="V47" i="1"/>
  <c r="V39" i="1"/>
  <c r="V31" i="1"/>
  <c r="V23" i="1"/>
  <c r="U14" i="1"/>
  <c r="V6" i="1"/>
  <c r="K134" i="1"/>
  <c r="O134" i="1"/>
  <c r="V263" i="1"/>
  <c r="K18" i="1"/>
  <c r="AF246" i="1"/>
  <c r="AE238" i="1"/>
  <c r="AE230" i="1"/>
  <c r="AF222" i="1"/>
  <c r="AE214" i="1"/>
  <c r="AE206" i="1"/>
  <c r="AE198" i="1"/>
  <c r="AE190" i="1"/>
  <c r="AE182" i="1"/>
  <c r="AE174" i="1"/>
  <c r="AE166" i="1"/>
  <c r="AF158" i="1"/>
  <c r="AF150" i="1"/>
  <c r="AE142" i="1"/>
  <c r="AE116" i="1"/>
  <c r="AE108" i="1"/>
  <c r="AE100" i="1"/>
  <c r="AF92" i="1"/>
  <c r="AF84" i="1"/>
  <c r="AE76" i="1"/>
  <c r="AE68" i="1"/>
  <c r="AO15" i="1"/>
  <c r="AE123" i="1"/>
  <c r="AE302" i="1"/>
  <c r="AE294" i="1"/>
  <c r="AE286" i="1"/>
  <c r="AE278" i="1"/>
  <c r="AF270" i="1"/>
  <c r="AF132" i="1"/>
  <c r="AF124" i="1"/>
  <c r="AF115" i="1"/>
  <c r="AF107" i="1"/>
  <c r="AE99" i="1"/>
  <c r="AE83" i="1"/>
  <c r="AE75" i="1"/>
  <c r="AE67" i="1"/>
  <c r="AO23" i="1"/>
  <c r="K263" i="1"/>
  <c r="V18" i="1"/>
  <c r="K123" i="1"/>
  <c r="AS134" i="1"/>
  <c r="AV134" i="1" s="1"/>
  <c r="AW134" i="1" s="1"/>
  <c r="AE300" i="1"/>
  <c r="AE284" i="1"/>
  <c r="AE276" i="1"/>
  <c r="AE268" i="1"/>
  <c r="AF147" i="1"/>
  <c r="AE139" i="1"/>
  <c r="AE16" i="1"/>
  <c r="AE8" i="1"/>
  <c r="AE104" i="1"/>
  <c r="AE96" i="1"/>
  <c r="AE88" i="1"/>
  <c r="AE80" i="1"/>
  <c r="AE72" i="1"/>
  <c r="AF119" i="1"/>
  <c r="AE111" i="1"/>
  <c r="AE103" i="1"/>
  <c r="AF95" i="1"/>
  <c r="AE87" i="1"/>
  <c r="AF71" i="1"/>
  <c r="U123" i="1"/>
  <c r="CE123" i="1"/>
  <c r="CH123" i="1" s="1"/>
  <c r="DH123" i="1"/>
  <c r="DL123" i="1" s="1"/>
  <c r="BT123" i="1"/>
  <c r="BX123" i="1" s="1"/>
  <c r="AF123" i="1"/>
  <c r="AP123" i="1"/>
  <c r="AO123" i="1"/>
  <c r="DS123" i="1"/>
  <c r="DV123" i="1" s="1"/>
  <c r="ET123" i="1"/>
  <c r="CY123" i="1"/>
  <c r="DB123" i="1" s="1"/>
  <c r="DE123" i="1" s="1"/>
  <c r="DF123" i="1" s="1"/>
  <c r="ES123" i="1"/>
  <c r="BK123" i="1"/>
  <c r="BN123" i="1" s="1"/>
  <c r="BQ123" i="1" s="1"/>
  <c r="BR123" i="1" s="1"/>
  <c r="V123" i="1"/>
  <c r="CO123" i="1"/>
  <c r="CR123" i="1" s="1"/>
  <c r="BA123" i="1"/>
  <c r="BD123" i="1" s="1"/>
  <c r="L123" i="1"/>
  <c r="CE18" i="1"/>
  <c r="CH18" i="1" s="1"/>
  <c r="CK18" i="1" s="1"/>
  <c r="CL18" i="1" s="1"/>
  <c r="ES18" i="1"/>
  <c r="BK18" i="1"/>
  <c r="BN18" i="1" s="1"/>
  <c r="BQ18" i="1" s="1"/>
  <c r="BR18" i="1" s="1"/>
  <c r="ET18" i="1"/>
  <c r="CY18" i="1"/>
  <c r="DB18" i="1" s="1"/>
  <c r="DE18" i="1" s="1"/>
  <c r="DF18" i="1" s="1"/>
  <c r="U18" i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DR263" i="1"/>
  <c r="DV263" i="1" s="1"/>
  <c r="DY263" i="1" s="1"/>
  <c r="DH263" i="1"/>
  <c r="DL263" i="1" s="1"/>
  <c r="DO263" i="1" s="1"/>
  <c r="DP263" i="1" s="1"/>
  <c r="ES263" i="1"/>
  <c r="ET263" i="1"/>
  <c r="AF305" i="1"/>
  <c r="AI305" i="1" s="1"/>
  <c r="DI305" i="1"/>
  <c r="DL305" i="1" s="1"/>
  <c r="ES305" i="1"/>
  <c r="ET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BA263" i="1"/>
  <c r="BD263" i="1" s="1"/>
  <c r="CO263" i="1"/>
  <c r="CR263" i="1" s="1"/>
  <c r="K305" i="1"/>
  <c r="AY305" i="1"/>
  <c r="CN305" i="1"/>
  <c r="U263" i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P134" i="1"/>
  <c r="BD134" i="1"/>
  <c r="BD171" i="1"/>
  <c r="DL171" i="1"/>
  <c r="BN171" i="1"/>
  <c r="BN134" i="1"/>
  <c r="V134" i="1"/>
  <c r="ES134" i="1"/>
  <c r="DR134" i="1"/>
  <c r="DV134" i="1" s="1"/>
  <c r="U134" i="1"/>
  <c r="ET134" i="1"/>
  <c r="CD134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F126" i="1"/>
  <c r="AF183" i="1"/>
  <c r="AI183" i="1" s="1"/>
  <c r="DH32" i="1"/>
  <c r="DL32" i="1" s="1"/>
  <c r="DO32" i="1" s="1"/>
  <c r="DP32" i="1" s="1"/>
  <c r="CN63" i="1"/>
  <c r="CR63" i="1" s="1"/>
  <c r="AF223" i="1"/>
  <c r="AF109" i="1"/>
  <c r="AE231" i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P71" i="1"/>
  <c r="AS71" i="1" s="1"/>
  <c r="AP6" i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P103" i="1"/>
  <c r="AP46" i="1"/>
  <c r="AS46" i="1" s="1"/>
  <c r="AP31" i="1"/>
  <c r="AS31" i="1" s="1"/>
  <c r="AO118" i="1"/>
  <c r="AP111" i="1"/>
  <c r="AS111" i="1" s="1"/>
  <c r="AP14" i="1"/>
  <c r="AS14" i="1" s="1"/>
  <c r="AO54" i="1"/>
  <c r="AS54" i="1" s="1"/>
  <c r="AP87" i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U177" i="1"/>
  <c r="Y177" i="1" s="1"/>
  <c r="U128" i="1"/>
  <c r="Y128" i="1" s="1"/>
  <c r="U61" i="1"/>
  <c r="Y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S184" i="1" s="1"/>
  <c r="AO76" i="1"/>
  <c r="AS76" i="1" s="1"/>
  <c r="AO28" i="1"/>
  <c r="AS28" i="1" s="1"/>
  <c r="AP137" i="1"/>
  <c r="AS137" i="1" s="1"/>
  <c r="AP79" i="1"/>
  <c r="AS79" i="1" s="1"/>
  <c r="AP55" i="1"/>
  <c r="AS55" i="1" s="1"/>
  <c r="AP3" i="1"/>
  <c r="AS3" i="1" s="1"/>
  <c r="AO256" i="1"/>
  <c r="AS256" i="1" s="1"/>
  <c r="AO64" i="1"/>
  <c r="AS64" i="1" s="1"/>
  <c r="AO24" i="1"/>
  <c r="AS24" i="1" s="1"/>
  <c r="AP96" i="1"/>
  <c r="AO32" i="1"/>
  <c r="AS32" i="1" s="1"/>
  <c r="AO152" i="1"/>
  <c r="AS152" i="1" s="1"/>
  <c r="AO104" i="1"/>
  <c r="AS104" i="1" s="1"/>
  <c r="AP128" i="1"/>
  <c r="AS128" i="1" s="1"/>
  <c r="AP23" i="1"/>
  <c r="AO20" i="1"/>
  <c r="AS20" i="1" s="1"/>
  <c r="AP92" i="1"/>
  <c r="AS92" i="1" s="1"/>
  <c r="AP40" i="1"/>
  <c r="AS40" i="1" s="1"/>
  <c r="AO11" i="1"/>
  <c r="AS11" i="1" s="1"/>
  <c r="AP218" i="1"/>
  <c r="AP153" i="1"/>
  <c r="AS153" i="1" s="1"/>
  <c r="AP119" i="1"/>
  <c r="AS119" i="1" s="1"/>
  <c r="AP88" i="1"/>
  <c r="AS88" i="1" s="1"/>
  <c r="AP39" i="1"/>
  <c r="AS39" i="1" s="1"/>
  <c r="AP15" i="1"/>
  <c r="AO299" i="1"/>
  <c r="AS299" i="1" s="1"/>
  <c r="AP145" i="1"/>
  <c r="AS145" i="1" s="1"/>
  <c r="AP63" i="1"/>
  <c r="AS63" i="1" s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O78" i="1"/>
  <c r="AP62" i="1"/>
  <c r="AO30" i="1"/>
  <c r="AO13" i="1"/>
  <c r="AO178" i="1"/>
  <c r="AS178" i="1" s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P70" i="1"/>
  <c r="AO38" i="1"/>
  <c r="AS38" i="1" s="1"/>
  <c r="AP22" i="1"/>
  <c r="AP5" i="1"/>
  <c r="AO283" i="1"/>
  <c r="AO248" i="1"/>
  <c r="AS248" i="1" s="1"/>
  <c r="AO216" i="1"/>
  <c r="AS216" i="1" s="1"/>
  <c r="AO110" i="1"/>
  <c r="AO5" i="1"/>
  <c r="AP240" i="1"/>
  <c r="AO281" i="1"/>
  <c r="AS281" i="1" s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S52" i="1" s="1"/>
  <c r="AP44" i="1"/>
  <c r="AS44" i="1" s="1"/>
  <c r="AO36" i="1"/>
  <c r="AP36" i="1"/>
  <c r="AO240" i="1"/>
  <c r="AO136" i="1"/>
  <c r="AS136" i="1" s="1"/>
  <c r="AO68" i="1"/>
  <c r="AP265" i="1"/>
  <c r="AP234" i="1"/>
  <c r="AS234" i="1" s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S170" i="1" s="1"/>
  <c r="AP226" i="1"/>
  <c r="AS226" i="1" s="1"/>
  <c r="AP194" i="1"/>
  <c r="AS194" i="1" s="1"/>
  <c r="AO265" i="1"/>
  <c r="AO162" i="1"/>
  <c r="AO62" i="1"/>
  <c r="AP291" i="1"/>
  <c r="AS291" i="1" s="1"/>
  <c r="AP258" i="1"/>
  <c r="AS258" i="1" s="1"/>
  <c r="AP192" i="1"/>
  <c r="AS192" i="1" s="1"/>
  <c r="AP154" i="1"/>
  <c r="AY229" i="1"/>
  <c r="BA229" i="1"/>
  <c r="BA181" i="1"/>
  <c r="AY181" i="1"/>
  <c r="AY278" i="1"/>
  <c r="BD278" i="1" s="1"/>
  <c r="AP267" i="1"/>
  <c r="AO267" i="1"/>
  <c r="AO120" i="1"/>
  <c r="AS120" i="1" s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S48" i="1" s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S95" i="1" s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U71" i="1"/>
  <c r="Y71" i="1" s="1"/>
  <c r="V33" i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Y45" i="1" s="1"/>
  <c r="U298" i="1"/>
  <c r="Y298" i="1" s="1"/>
  <c r="U266" i="1"/>
  <c r="Y266" i="1" s="1"/>
  <c r="U21" i="1"/>
  <c r="Y21" i="1" s="1"/>
  <c r="V4" i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Y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Y39" i="1" s="1"/>
  <c r="DZ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Y13" i="1" s="1"/>
  <c r="AE150" i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S61" i="1" s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S204" i="1" s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V43" i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O4" i="1"/>
  <c r="DS298" i="1"/>
  <c r="DV298" i="1" s="1"/>
  <c r="DS233" i="1"/>
  <c r="DV233" i="1" s="1"/>
  <c r="DS274" i="1"/>
  <c r="DV274" i="1" s="1"/>
  <c r="DS209" i="1"/>
  <c r="DV209" i="1" s="1"/>
  <c r="ES302" i="1"/>
  <c r="ES294" i="1"/>
  <c r="ES286" i="1"/>
  <c r="ES278" i="1"/>
  <c r="ES270" i="1"/>
  <c r="ES261" i="1"/>
  <c r="ES253" i="1"/>
  <c r="ES245" i="1"/>
  <c r="ES237" i="1"/>
  <c r="ES229" i="1"/>
  <c r="ES221" i="1"/>
  <c r="ES213" i="1"/>
  <c r="ES205" i="1"/>
  <c r="ES197" i="1"/>
  <c r="ES189" i="1"/>
  <c r="ES181" i="1"/>
  <c r="ES173" i="1"/>
  <c r="ES165" i="1"/>
  <c r="ES157" i="1"/>
  <c r="ES149" i="1"/>
  <c r="ES141" i="1"/>
  <c r="ES132" i="1"/>
  <c r="ES124" i="1"/>
  <c r="ES115" i="1"/>
  <c r="ES107" i="1"/>
  <c r="ES99" i="1"/>
  <c r="ES91" i="1"/>
  <c r="ES83" i="1"/>
  <c r="ES75" i="1"/>
  <c r="ES67" i="1"/>
  <c r="ES59" i="1"/>
  <c r="ES51" i="1"/>
  <c r="ES43" i="1"/>
  <c r="ES35" i="1"/>
  <c r="ES27" i="1"/>
  <c r="ES19" i="1"/>
  <c r="ES10" i="1"/>
  <c r="ET297" i="1"/>
  <c r="ET289" i="1"/>
  <c r="ET281" i="1"/>
  <c r="ET273" i="1"/>
  <c r="ET265" i="1"/>
  <c r="ET256" i="1"/>
  <c r="ET248" i="1"/>
  <c r="ET240" i="1"/>
  <c r="ET232" i="1"/>
  <c r="ET224" i="1"/>
  <c r="ET216" i="1"/>
  <c r="ET208" i="1"/>
  <c r="ET200" i="1"/>
  <c r="ET192" i="1"/>
  <c r="ET184" i="1"/>
  <c r="ET176" i="1"/>
  <c r="ET168" i="1"/>
  <c r="ET160" i="1"/>
  <c r="ET152" i="1"/>
  <c r="ET144" i="1"/>
  <c r="ET136" i="1"/>
  <c r="ET127" i="1"/>
  <c r="ET118" i="1"/>
  <c r="ET110" i="1"/>
  <c r="ET102" i="1"/>
  <c r="ET94" i="1"/>
  <c r="ET86" i="1"/>
  <c r="ET78" i="1"/>
  <c r="ET70" i="1"/>
  <c r="ET62" i="1"/>
  <c r="ET54" i="1"/>
  <c r="ET46" i="1"/>
  <c r="ET38" i="1"/>
  <c r="ET30" i="1"/>
  <c r="ET22" i="1"/>
  <c r="ET13" i="1"/>
  <c r="ET5" i="1"/>
  <c r="ES301" i="1"/>
  <c r="ES293" i="1"/>
  <c r="ES285" i="1"/>
  <c r="ES277" i="1"/>
  <c r="ES269" i="1"/>
  <c r="ES260" i="1"/>
  <c r="ES252" i="1"/>
  <c r="ES244" i="1"/>
  <c r="ES236" i="1"/>
  <c r="ES228" i="1"/>
  <c r="ES220" i="1"/>
  <c r="ES212" i="1"/>
  <c r="ES204" i="1"/>
  <c r="ES196" i="1"/>
  <c r="ES188" i="1"/>
  <c r="ES180" i="1"/>
  <c r="ES172" i="1"/>
  <c r="ES164" i="1"/>
  <c r="ES156" i="1"/>
  <c r="ES148" i="1"/>
  <c r="ES140" i="1"/>
  <c r="ES131" i="1"/>
  <c r="ES122" i="1"/>
  <c r="ES114" i="1"/>
  <c r="ES106" i="1"/>
  <c r="ES98" i="1"/>
  <c r="ES90" i="1"/>
  <c r="ES82" i="1"/>
  <c r="ES74" i="1"/>
  <c r="ES66" i="1"/>
  <c r="ES58" i="1"/>
  <c r="ES50" i="1"/>
  <c r="ES42" i="1"/>
  <c r="ES34" i="1"/>
  <c r="ES26" i="1"/>
  <c r="ES17" i="1"/>
  <c r="ES9" i="1"/>
  <c r="ET304" i="1"/>
  <c r="ET296" i="1"/>
  <c r="ET288" i="1"/>
  <c r="ET280" i="1"/>
  <c r="ET272" i="1"/>
  <c r="ET264" i="1"/>
  <c r="ET255" i="1"/>
  <c r="ET247" i="1"/>
  <c r="ET239" i="1"/>
  <c r="ET231" i="1"/>
  <c r="ET223" i="1"/>
  <c r="ET215" i="1"/>
  <c r="ET207" i="1"/>
  <c r="ET199" i="1"/>
  <c r="ET191" i="1"/>
  <c r="ET183" i="1"/>
  <c r="ET175" i="1"/>
  <c r="ET167" i="1"/>
  <c r="ET159" i="1"/>
  <c r="ET151" i="1"/>
  <c r="ET143" i="1"/>
  <c r="ET135" i="1"/>
  <c r="ET126" i="1"/>
  <c r="ET117" i="1"/>
  <c r="ET109" i="1"/>
  <c r="ET101" i="1"/>
  <c r="ET93" i="1"/>
  <c r="ET85" i="1"/>
  <c r="ET77" i="1"/>
  <c r="ET69" i="1"/>
  <c r="ET61" i="1"/>
  <c r="ET53" i="1"/>
  <c r="ET45" i="1"/>
  <c r="ET37" i="1"/>
  <c r="ET29" i="1"/>
  <c r="ET21" i="1"/>
  <c r="ET12" i="1"/>
  <c r="ET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O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S300" i="1"/>
  <c r="ES292" i="1"/>
  <c r="ES284" i="1"/>
  <c r="ES276" i="1"/>
  <c r="ES268" i="1"/>
  <c r="ES259" i="1"/>
  <c r="ES251" i="1"/>
  <c r="ES243" i="1"/>
  <c r="ES235" i="1"/>
  <c r="ES227" i="1"/>
  <c r="ES219" i="1"/>
  <c r="ES211" i="1"/>
  <c r="ES203" i="1"/>
  <c r="ES195" i="1"/>
  <c r="ES187" i="1"/>
  <c r="ES179" i="1"/>
  <c r="ES171" i="1"/>
  <c r="ES163" i="1"/>
  <c r="ES155" i="1"/>
  <c r="ES147" i="1"/>
  <c r="ES139" i="1"/>
  <c r="ES130" i="1"/>
  <c r="ES121" i="1"/>
  <c r="ES113" i="1"/>
  <c r="ES105" i="1"/>
  <c r="ES97" i="1"/>
  <c r="ES89" i="1"/>
  <c r="ES81" i="1"/>
  <c r="ES73" i="1"/>
  <c r="ES65" i="1"/>
  <c r="ES57" i="1"/>
  <c r="ES49" i="1"/>
  <c r="ES41" i="1"/>
  <c r="ES33" i="1"/>
  <c r="ES25" i="1"/>
  <c r="ES16" i="1"/>
  <c r="ES8" i="1"/>
  <c r="ET303" i="1"/>
  <c r="ET295" i="1"/>
  <c r="ET287" i="1"/>
  <c r="ET279" i="1"/>
  <c r="ET271" i="1"/>
  <c r="ET262" i="1"/>
  <c r="ET254" i="1"/>
  <c r="ET246" i="1"/>
  <c r="ET238" i="1"/>
  <c r="ET230" i="1"/>
  <c r="ET222" i="1"/>
  <c r="ET214" i="1"/>
  <c r="ET206" i="1"/>
  <c r="ET198" i="1"/>
  <c r="ET190" i="1"/>
  <c r="ET182" i="1"/>
  <c r="ET174" i="1"/>
  <c r="ET166" i="1"/>
  <c r="ET158" i="1"/>
  <c r="ET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S299" i="1"/>
  <c r="ES291" i="1"/>
  <c r="ES283" i="1"/>
  <c r="ES275" i="1"/>
  <c r="ES267" i="1"/>
  <c r="ES258" i="1"/>
  <c r="ES250" i="1"/>
  <c r="ES242" i="1"/>
  <c r="ES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S298" i="1"/>
  <c r="ES290" i="1"/>
  <c r="ES282" i="1"/>
  <c r="ES274" i="1"/>
  <c r="ES266" i="1"/>
  <c r="ES257" i="1"/>
  <c r="ES249" i="1"/>
  <c r="ES297" i="1"/>
  <c r="ES289" i="1"/>
  <c r="ES281" i="1"/>
  <c r="ES273" i="1"/>
  <c r="ES265" i="1"/>
  <c r="ES256" i="1"/>
  <c r="ES248" i="1"/>
  <c r="ES240" i="1"/>
  <c r="ES232" i="1"/>
  <c r="ES224" i="1"/>
  <c r="ES216" i="1"/>
  <c r="ES208" i="1"/>
  <c r="ES200" i="1"/>
  <c r="ES192" i="1"/>
  <c r="ES184" i="1"/>
  <c r="ES176" i="1"/>
  <c r="ES168" i="1"/>
  <c r="ES304" i="1"/>
  <c r="ES296" i="1"/>
  <c r="ES288" i="1"/>
  <c r="ES280" i="1"/>
  <c r="ES272" i="1"/>
  <c r="ES264" i="1"/>
  <c r="ES255" i="1"/>
  <c r="ES303" i="1"/>
  <c r="FE303" i="1" s="1"/>
  <c r="FF303" i="1" s="1"/>
  <c r="ES295" i="1"/>
  <c r="ES287" i="1"/>
  <c r="ES279" i="1"/>
  <c r="ES271" i="1"/>
  <c r="ES262" i="1"/>
  <c r="ES254" i="1"/>
  <c r="ES246" i="1"/>
  <c r="ES174" i="1"/>
  <c r="EO138" i="1"/>
  <c r="ET142" i="1"/>
  <c r="ET133" i="1"/>
  <c r="ET125" i="1"/>
  <c r="ET116" i="1"/>
  <c r="ET108" i="1"/>
  <c r="ET100" i="1"/>
  <c r="ET92" i="1"/>
  <c r="ET84" i="1"/>
  <c r="ET76" i="1"/>
  <c r="ET68" i="1"/>
  <c r="ET60" i="1"/>
  <c r="ET52" i="1"/>
  <c r="ET44" i="1"/>
  <c r="ET36" i="1"/>
  <c r="ET28" i="1"/>
  <c r="ET20" i="1"/>
  <c r="ET11" i="1"/>
  <c r="ET3" i="1"/>
  <c r="ES226" i="1"/>
  <c r="ES218" i="1"/>
  <c r="ES210" i="1"/>
  <c r="ES202" i="1"/>
  <c r="ES194" i="1"/>
  <c r="ES186" i="1"/>
  <c r="ES178" i="1"/>
  <c r="ES170" i="1"/>
  <c r="ES162" i="1"/>
  <c r="ES154" i="1"/>
  <c r="ES146" i="1"/>
  <c r="ES138" i="1"/>
  <c r="ES129" i="1"/>
  <c r="ES120" i="1"/>
  <c r="ES112" i="1"/>
  <c r="ES104" i="1"/>
  <c r="ES96" i="1"/>
  <c r="ES88" i="1"/>
  <c r="ES80" i="1"/>
  <c r="ES72" i="1"/>
  <c r="ES64" i="1"/>
  <c r="ES56" i="1"/>
  <c r="ES48" i="1"/>
  <c r="ES40" i="1"/>
  <c r="ES32" i="1"/>
  <c r="ES24" i="1"/>
  <c r="ES15" i="1"/>
  <c r="ES7" i="1"/>
  <c r="ET302" i="1"/>
  <c r="ET294" i="1"/>
  <c r="ET286" i="1"/>
  <c r="ET278" i="1"/>
  <c r="ET270" i="1"/>
  <c r="ET261" i="1"/>
  <c r="ET253" i="1"/>
  <c r="ET245" i="1"/>
  <c r="ET237" i="1"/>
  <c r="ET229" i="1"/>
  <c r="ET221" i="1"/>
  <c r="ET213" i="1"/>
  <c r="ET205" i="1"/>
  <c r="ET197" i="1"/>
  <c r="ET189" i="1"/>
  <c r="ET181" i="1"/>
  <c r="ET173" i="1"/>
  <c r="ET165" i="1"/>
  <c r="ET157" i="1"/>
  <c r="ET149" i="1"/>
  <c r="ET141" i="1"/>
  <c r="ET132" i="1"/>
  <c r="ET124" i="1"/>
  <c r="ET115" i="1"/>
  <c r="ET107" i="1"/>
  <c r="ET99" i="1"/>
  <c r="ET91" i="1"/>
  <c r="ET83" i="1"/>
  <c r="ET75" i="1"/>
  <c r="ET67" i="1"/>
  <c r="ET59" i="1"/>
  <c r="ET51" i="1"/>
  <c r="ET43" i="1"/>
  <c r="ET35" i="1"/>
  <c r="ET27" i="1"/>
  <c r="ET19" i="1"/>
  <c r="ET10" i="1"/>
  <c r="EO200" i="1"/>
  <c r="EO147" i="1"/>
  <c r="ES241" i="1"/>
  <c r="ES233" i="1"/>
  <c r="ES225" i="1"/>
  <c r="ES217" i="1"/>
  <c r="ES209" i="1"/>
  <c r="ES201" i="1"/>
  <c r="ES193" i="1"/>
  <c r="ES185" i="1"/>
  <c r="ES177" i="1"/>
  <c r="ES169" i="1"/>
  <c r="ES161" i="1"/>
  <c r="ES153" i="1"/>
  <c r="ES145" i="1"/>
  <c r="ES137" i="1"/>
  <c r="ES128" i="1"/>
  <c r="ES119" i="1"/>
  <c r="ES111" i="1"/>
  <c r="ES103" i="1"/>
  <c r="ES95" i="1"/>
  <c r="ES87" i="1"/>
  <c r="ES79" i="1"/>
  <c r="ES71" i="1"/>
  <c r="ES63" i="1"/>
  <c r="ES55" i="1"/>
  <c r="ES47" i="1"/>
  <c r="ES39" i="1"/>
  <c r="ES31" i="1"/>
  <c r="ES23" i="1"/>
  <c r="ES14" i="1"/>
  <c r="ES6" i="1"/>
  <c r="ET301" i="1"/>
  <c r="ET293" i="1"/>
  <c r="ET285" i="1"/>
  <c r="ET277" i="1"/>
  <c r="ET269" i="1"/>
  <c r="ET260" i="1"/>
  <c r="ET252" i="1"/>
  <c r="ET244" i="1"/>
  <c r="ET236" i="1"/>
  <c r="ET228" i="1"/>
  <c r="ET220" i="1"/>
  <c r="ET212" i="1"/>
  <c r="ET204" i="1"/>
  <c r="ET196" i="1"/>
  <c r="ET188" i="1"/>
  <c r="ET180" i="1"/>
  <c r="ET172" i="1"/>
  <c r="ET164" i="1"/>
  <c r="ET156" i="1"/>
  <c r="ET148" i="1"/>
  <c r="ET140" i="1"/>
  <c r="ET131" i="1"/>
  <c r="ET122" i="1"/>
  <c r="ET114" i="1"/>
  <c r="ET106" i="1"/>
  <c r="ET98" i="1"/>
  <c r="ET90" i="1"/>
  <c r="ET82" i="1"/>
  <c r="ET74" i="1"/>
  <c r="ET66" i="1"/>
  <c r="ET58" i="1"/>
  <c r="ET50" i="1"/>
  <c r="ET42" i="1"/>
  <c r="ET34" i="1"/>
  <c r="ET26" i="1"/>
  <c r="ET17" i="1"/>
  <c r="ET9" i="1"/>
  <c r="ES160" i="1"/>
  <c r="ES152" i="1"/>
  <c r="ES144" i="1"/>
  <c r="ES136" i="1"/>
  <c r="ES127" i="1"/>
  <c r="ES118" i="1"/>
  <c r="ES110" i="1"/>
  <c r="ES102" i="1"/>
  <c r="ES94" i="1"/>
  <c r="ES86" i="1"/>
  <c r="ES78" i="1"/>
  <c r="ES70" i="1"/>
  <c r="ES62" i="1"/>
  <c r="ES54" i="1"/>
  <c r="ES46" i="1"/>
  <c r="ES38" i="1"/>
  <c r="ES30" i="1"/>
  <c r="ES22" i="1"/>
  <c r="ES13" i="1"/>
  <c r="ES5" i="1"/>
  <c r="ET300" i="1"/>
  <c r="ET292" i="1"/>
  <c r="ET284" i="1"/>
  <c r="ET276" i="1"/>
  <c r="ET268" i="1"/>
  <c r="ET259" i="1"/>
  <c r="ET251" i="1"/>
  <c r="ET243" i="1"/>
  <c r="ET235" i="1"/>
  <c r="ET227" i="1"/>
  <c r="ET219" i="1"/>
  <c r="ET211" i="1"/>
  <c r="ET203" i="1"/>
  <c r="ET195" i="1"/>
  <c r="ET187" i="1"/>
  <c r="ET179" i="1"/>
  <c r="ET171" i="1"/>
  <c r="ET163" i="1"/>
  <c r="ET155" i="1"/>
  <c r="ET147" i="1"/>
  <c r="ET139" i="1"/>
  <c r="ET130" i="1"/>
  <c r="ET121" i="1"/>
  <c r="ET113" i="1"/>
  <c r="ET105" i="1"/>
  <c r="ET97" i="1"/>
  <c r="ET89" i="1"/>
  <c r="ET81" i="1"/>
  <c r="ET73" i="1"/>
  <c r="ET65" i="1"/>
  <c r="ET57" i="1"/>
  <c r="ET49" i="1"/>
  <c r="ET41" i="1"/>
  <c r="ET33" i="1"/>
  <c r="ET25" i="1"/>
  <c r="ET16" i="1"/>
  <c r="ET8" i="1"/>
  <c r="ES247" i="1"/>
  <c r="ES239" i="1"/>
  <c r="ES231" i="1"/>
  <c r="ES223" i="1"/>
  <c r="ES215" i="1"/>
  <c r="ES207" i="1"/>
  <c r="ES199" i="1"/>
  <c r="ES191" i="1"/>
  <c r="ES183" i="1"/>
  <c r="ES175" i="1"/>
  <c r="ES167" i="1"/>
  <c r="ES159" i="1"/>
  <c r="ES151" i="1"/>
  <c r="ES143" i="1"/>
  <c r="ES135" i="1"/>
  <c r="ES126" i="1"/>
  <c r="ES117" i="1"/>
  <c r="ES109" i="1"/>
  <c r="ES101" i="1"/>
  <c r="ES93" i="1"/>
  <c r="ES85" i="1"/>
  <c r="ES77" i="1"/>
  <c r="ES69" i="1"/>
  <c r="ES61" i="1"/>
  <c r="ES53" i="1"/>
  <c r="ES45" i="1"/>
  <c r="ES37" i="1"/>
  <c r="ES29" i="1"/>
  <c r="ES21" i="1"/>
  <c r="ES12" i="1"/>
  <c r="ES4" i="1"/>
  <c r="ET299" i="1"/>
  <c r="ET291" i="1"/>
  <c r="ET283" i="1"/>
  <c r="ET275" i="1"/>
  <c r="ET267" i="1"/>
  <c r="ET258" i="1"/>
  <c r="ET250" i="1"/>
  <c r="ET242" i="1"/>
  <c r="ET234" i="1"/>
  <c r="ET226" i="1"/>
  <c r="ET218" i="1"/>
  <c r="ET210" i="1"/>
  <c r="ET202" i="1"/>
  <c r="ET194" i="1"/>
  <c r="ET186" i="1"/>
  <c r="ET178" i="1"/>
  <c r="ET170" i="1"/>
  <c r="ET162" i="1"/>
  <c r="ET154" i="1"/>
  <c r="ET146" i="1"/>
  <c r="ET138" i="1"/>
  <c r="ET129" i="1"/>
  <c r="ET120" i="1"/>
  <c r="ET112" i="1"/>
  <c r="ET104" i="1"/>
  <c r="ET96" i="1"/>
  <c r="ET88" i="1"/>
  <c r="ET80" i="1"/>
  <c r="ET72" i="1"/>
  <c r="ET64" i="1"/>
  <c r="ET56" i="1"/>
  <c r="ET48" i="1"/>
  <c r="ET40" i="1"/>
  <c r="ET32" i="1"/>
  <c r="ET24" i="1"/>
  <c r="ET15" i="1"/>
  <c r="ET7" i="1"/>
  <c r="EO270" i="1"/>
  <c r="ES238" i="1"/>
  <c r="ES230" i="1"/>
  <c r="FE230" i="1" s="1"/>
  <c r="FF230" i="1" s="1"/>
  <c r="ES222" i="1"/>
  <c r="ES214" i="1"/>
  <c r="FE214" i="1" s="1"/>
  <c r="FF214" i="1" s="1"/>
  <c r="ES206" i="1"/>
  <c r="FE206" i="1" s="1"/>
  <c r="FF206" i="1" s="1"/>
  <c r="ES198" i="1"/>
  <c r="FE198" i="1" s="1"/>
  <c r="FF198" i="1" s="1"/>
  <c r="ES190" i="1"/>
  <c r="FE190" i="1" s="1"/>
  <c r="FF190" i="1" s="1"/>
  <c r="ES182" i="1"/>
  <c r="FE182" i="1" s="1"/>
  <c r="FF182" i="1" s="1"/>
  <c r="ES166" i="1"/>
  <c r="ES158" i="1"/>
  <c r="ES150" i="1"/>
  <c r="ES142" i="1"/>
  <c r="ES133" i="1"/>
  <c r="ES125" i="1"/>
  <c r="ES116" i="1"/>
  <c r="ES108" i="1"/>
  <c r="ES100" i="1"/>
  <c r="ES92" i="1"/>
  <c r="ES84" i="1"/>
  <c r="ES76" i="1"/>
  <c r="ES68" i="1"/>
  <c r="ES60" i="1"/>
  <c r="ES52" i="1"/>
  <c r="ES44" i="1"/>
  <c r="ES36" i="1"/>
  <c r="ES28" i="1"/>
  <c r="ES20" i="1"/>
  <c r="ES11" i="1"/>
  <c r="ES3" i="1"/>
  <c r="ET298" i="1"/>
  <c r="ET290" i="1"/>
  <c r="ET282" i="1"/>
  <c r="ET274" i="1"/>
  <c r="ET266" i="1"/>
  <c r="ET257" i="1"/>
  <c r="ET249" i="1"/>
  <c r="ET241" i="1"/>
  <c r="ET233" i="1"/>
  <c r="ET225" i="1"/>
  <c r="ET217" i="1"/>
  <c r="ET209" i="1"/>
  <c r="ET201" i="1"/>
  <c r="ET193" i="1"/>
  <c r="ET185" i="1"/>
  <c r="ET177" i="1"/>
  <c r="ET169" i="1"/>
  <c r="ET161" i="1"/>
  <c r="ET153" i="1"/>
  <c r="ET145" i="1"/>
  <c r="ET137" i="1"/>
  <c r="ET128" i="1"/>
  <c r="ET119" i="1"/>
  <c r="ET111" i="1"/>
  <c r="ET103" i="1"/>
  <c r="ET95" i="1"/>
  <c r="ET87" i="1"/>
  <c r="ET79" i="1"/>
  <c r="ET71" i="1"/>
  <c r="ET63" i="1"/>
  <c r="ET55" i="1"/>
  <c r="ET47" i="1"/>
  <c r="ET39" i="1"/>
  <c r="ET31" i="1"/>
  <c r="ET23" i="1"/>
  <c r="ET14" i="1"/>
  <c r="ET6" i="1"/>
  <c r="EO61" i="1"/>
  <c r="EO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F216" i="1"/>
  <c r="AI216" i="1" s="1"/>
  <c r="AE133" i="1"/>
  <c r="AI133" i="1" s="1"/>
  <c r="AF108" i="1"/>
  <c r="AE246" i="1"/>
  <c r="AI246" i="1" s="1"/>
  <c r="AF190" i="1"/>
  <c r="AF198" i="1"/>
  <c r="AI198" i="1" s="1"/>
  <c r="AE303" i="1"/>
  <c r="AF76" i="1"/>
  <c r="AE289" i="1"/>
  <c r="AI289" i="1" s="1"/>
  <c r="AF125" i="1"/>
  <c r="AI125" i="1" s="1"/>
  <c r="AF254" i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V259" i="1"/>
  <c r="V227" i="1"/>
  <c r="V195" i="1"/>
  <c r="V130" i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Y101" i="1" s="1"/>
  <c r="U78" i="1"/>
  <c r="Y78" i="1" s="1"/>
  <c r="U55" i="1"/>
  <c r="Y55" i="1" s="1"/>
  <c r="U37" i="1"/>
  <c r="Y37" i="1" s="1"/>
  <c r="U23" i="1"/>
  <c r="Y23" i="1" s="1"/>
  <c r="U8" i="1"/>
  <c r="Y8" i="1" s="1"/>
  <c r="V291" i="1"/>
  <c r="V258" i="1"/>
  <c r="V226" i="1"/>
  <c r="V194" i="1"/>
  <c r="V162" i="1"/>
  <c r="V129" i="1"/>
  <c r="V96" i="1"/>
  <c r="V40" i="1"/>
  <c r="V14" i="1"/>
  <c r="Y14" i="1" s="1"/>
  <c r="V299" i="1"/>
  <c r="V267" i="1"/>
  <c r="V234" i="1"/>
  <c r="V202" i="1"/>
  <c r="V170" i="1"/>
  <c r="V138" i="1"/>
  <c r="V104" i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V219" i="1"/>
  <c r="V187" i="1"/>
  <c r="V155" i="1"/>
  <c r="Y155" i="1" s="1"/>
  <c r="V121" i="1"/>
  <c r="V88" i="1"/>
  <c r="U32" i="1"/>
  <c r="Y32" i="1" s="1"/>
  <c r="V283" i="1"/>
  <c r="Y283" i="1" s="1"/>
  <c r="V250" i="1"/>
  <c r="Y250" i="1" s="1"/>
  <c r="V218" i="1"/>
  <c r="Y218" i="1" s="1"/>
  <c r="V186" i="1"/>
  <c r="V154" i="1"/>
  <c r="V120" i="1"/>
  <c r="V64" i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Y147" i="1" s="1"/>
  <c r="V113" i="1"/>
  <c r="Y113" i="1" s="1"/>
  <c r="V86" i="1"/>
  <c r="U15" i="1"/>
  <c r="Y15" i="1" s="1"/>
  <c r="V275" i="1"/>
  <c r="Y275" i="1" s="1"/>
  <c r="V242" i="1"/>
  <c r="Y242" i="1" s="1"/>
  <c r="V210" i="1"/>
  <c r="Y210" i="1" s="1"/>
  <c r="V178" i="1"/>
  <c r="Y178" i="1" s="1"/>
  <c r="V146" i="1"/>
  <c r="Y146" i="1" s="1"/>
  <c r="V112" i="1"/>
  <c r="Y112" i="1" s="1"/>
  <c r="U297" i="1"/>
  <c r="U265" i="1"/>
  <c r="Y265" i="1" s="1"/>
  <c r="U232" i="1"/>
  <c r="Y232" i="1" s="1"/>
  <c r="U200" i="1"/>
  <c r="Y200" i="1" s="1"/>
  <c r="U168" i="1"/>
  <c r="Y168" i="1" s="1"/>
  <c r="U136" i="1"/>
  <c r="Y136" i="1" s="1"/>
  <c r="U109" i="1"/>
  <c r="Y109" i="1" s="1"/>
  <c r="U63" i="1"/>
  <c r="Y63" i="1" s="1"/>
  <c r="V300" i="1"/>
  <c r="V268" i="1"/>
  <c r="V235" i="1"/>
  <c r="V203" i="1"/>
  <c r="V171" i="1"/>
  <c r="V139" i="1"/>
  <c r="V105" i="1"/>
  <c r="V66" i="1"/>
  <c r="U304" i="1"/>
  <c r="Y304" i="1" s="1"/>
  <c r="U296" i="1"/>
  <c r="Y296" i="1" s="1"/>
  <c r="U288" i="1"/>
  <c r="Y288" i="1" s="1"/>
  <c r="U280" i="1"/>
  <c r="Y280" i="1" s="1"/>
  <c r="U272" i="1"/>
  <c r="Y272" i="1" s="1"/>
  <c r="U264" i="1"/>
  <c r="Y264" i="1" s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Y207" i="1" s="1"/>
  <c r="U199" i="1"/>
  <c r="Y199" i="1" s="1"/>
  <c r="U191" i="1"/>
  <c r="Y191" i="1" s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Y143" i="1" s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Y11" i="1" s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Y35" i="1" s="1"/>
  <c r="U27" i="1"/>
  <c r="Y27" i="1" s="1"/>
  <c r="U19" i="1"/>
  <c r="Y19" i="1" s="1"/>
  <c r="U10" i="1"/>
  <c r="Y10" i="1" s="1"/>
  <c r="V93" i="1"/>
  <c r="V65" i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U204" i="1"/>
  <c r="U196" i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Y82" i="1" s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U163" i="1"/>
  <c r="Y163" i="1" s="1"/>
  <c r="U97" i="1"/>
  <c r="Y97" i="1" s="1"/>
  <c r="U89" i="1"/>
  <c r="Y89" i="1" s="1"/>
  <c r="U81" i="1"/>
  <c r="Y81" i="1" s="1"/>
  <c r="V99" i="1"/>
  <c r="Y99" i="1" s="1"/>
  <c r="V72" i="1"/>
  <c r="V60" i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I121" i="1" s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F248" i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F277" i="1"/>
  <c r="AF235" i="1"/>
  <c r="AI235" i="1" s="1"/>
  <c r="AF225" i="1"/>
  <c r="AI225" i="1" s="1"/>
  <c r="AF211" i="1"/>
  <c r="AI211" i="1" s="1"/>
  <c r="AE184" i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E147" i="1"/>
  <c r="AE131" i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F278" i="1"/>
  <c r="AI278" i="1" s="1"/>
  <c r="AE270" i="1"/>
  <c r="AI270" i="1" s="1"/>
  <c r="AF264" i="1"/>
  <c r="AF257" i="1"/>
  <c r="AI257" i="1" s="1"/>
  <c r="AF249" i="1"/>
  <c r="AI249" i="1" s="1"/>
  <c r="AE241" i="1"/>
  <c r="AI241" i="1" s="1"/>
  <c r="AF233" i="1"/>
  <c r="AI233" i="1" s="1"/>
  <c r="AF226" i="1"/>
  <c r="AF220" i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E162" i="1"/>
  <c r="AI162" i="1" s="1"/>
  <c r="AE156" i="1"/>
  <c r="AI156" i="1" s="1"/>
  <c r="AE154" i="1"/>
  <c r="AI154" i="1" s="1"/>
  <c r="AE153" i="1"/>
  <c r="AI153" i="1" s="1"/>
  <c r="AF140" i="1"/>
  <c r="AF135" i="1"/>
  <c r="AF118" i="1"/>
  <c r="AF117" i="1"/>
  <c r="AF111" i="1"/>
  <c r="AF103" i="1"/>
  <c r="AI103" i="1" s="1"/>
  <c r="AF94" i="1"/>
  <c r="AI94" i="1" s="1"/>
  <c r="AE84" i="1"/>
  <c r="AI84" i="1" s="1"/>
  <c r="AF77" i="1"/>
  <c r="AE43" i="1"/>
  <c r="AF43" i="1"/>
  <c r="AE107" i="1"/>
  <c r="AI107" i="1" s="1"/>
  <c r="AF91" i="1"/>
  <c r="AF75" i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F272" i="1"/>
  <c r="AF271" i="1"/>
  <c r="AF265" i="1"/>
  <c r="AF242" i="1"/>
  <c r="AI242" i="1" s="1"/>
  <c r="AF234" i="1"/>
  <c r="AI234" i="1" s="1"/>
  <c r="AF228" i="1"/>
  <c r="AE226" i="1"/>
  <c r="AE212" i="1"/>
  <c r="AI212" i="1" s="1"/>
  <c r="AF206" i="1"/>
  <c r="AF205" i="1"/>
  <c r="AE204" i="1"/>
  <c r="AF200" i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E117" i="1"/>
  <c r="AF112" i="1"/>
  <c r="AI112" i="1" s="1"/>
  <c r="AF85" i="1"/>
  <c r="AF78" i="1"/>
  <c r="AI78" i="1" s="1"/>
  <c r="AE66" i="1"/>
  <c r="AE59" i="1"/>
  <c r="AF59" i="1"/>
  <c r="AE27" i="1"/>
  <c r="AF27" i="1"/>
  <c r="AE115" i="1"/>
  <c r="AI115" i="1" s="1"/>
  <c r="AE26" i="1"/>
  <c r="AF26" i="1"/>
  <c r="AE269" i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E205" i="1"/>
  <c r="AF180" i="1"/>
  <c r="AI180" i="1" s="1"/>
  <c r="AF174" i="1"/>
  <c r="AI174" i="1" s="1"/>
  <c r="AF173" i="1"/>
  <c r="AI173" i="1" s="1"/>
  <c r="AF172" i="1"/>
  <c r="AF142" i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F295" i="1"/>
  <c r="AI295" i="1" s="1"/>
  <c r="AF287" i="1"/>
  <c r="AF280" i="1"/>
  <c r="AF274" i="1"/>
  <c r="AI274" i="1" s="1"/>
  <c r="AF267" i="1"/>
  <c r="AI267" i="1" s="1"/>
  <c r="AF252" i="1"/>
  <c r="AF244" i="1"/>
  <c r="AF238" i="1"/>
  <c r="AF237" i="1"/>
  <c r="AI237" i="1" s="1"/>
  <c r="AF236" i="1"/>
  <c r="AF214" i="1"/>
  <c r="AF208" i="1"/>
  <c r="AI208" i="1" s="1"/>
  <c r="AF201" i="1"/>
  <c r="AI201" i="1" s="1"/>
  <c r="AE188" i="1"/>
  <c r="AI188" i="1" s="1"/>
  <c r="AF181" i="1"/>
  <c r="AI181" i="1" s="1"/>
  <c r="AF175" i="1"/>
  <c r="AF166" i="1"/>
  <c r="AI166" i="1" s="1"/>
  <c r="AE158" i="1"/>
  <c r="AI158" i="1" s="1"/>
  <c r="AF148" i="1"/>
  <c r="AF143" i="1"/>
  <c r="AF137" i="1"/>
  <c r="AI137" i="1" s="1"/>
  <c r="AE128" i="1"/>
  <c r="AI128" i="1" s="1"/>
  <c r="AE120" i="1"/>
  <c r="AF98" i="1"/>
  <c r="AF96" i="1"/>
  <c r="AI96" i="1" s="1"/>
  <c r="AF87" i="1"/>
  <c r="AF72" i="1"/>
  <c r="AF68" i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F230" i="1"/>
  <c r="AI230" i="1" s="1"/>
  <c r="AE222" i="1"/>
  <c r="AF215" i="1"/>
  <c r="AF209" i="1"/>
  <c r="AI209" i="1" s="1"/>
  <c r="AF189" i="1"/>
  <c r="AI189" i="1" s="1"/>
  <c r="AF182" i="1"/>
  <c r="AF159" i="1"/>
  <c r="AF149" i="1"/>
  <c r="AI149" i="1" s="1"/>
  <c r="AF144" i="1"/>
  <c r="AI144" i="1" s="1"/>
  <c r="AF129" i="1"/>
  <c r="AI129" i="1" s="1"/>
  <c r="AF122" i="1"/>
  <c r="AF114" i="1"/>
  <c r="AI114" i="1" s="1"/>
  <c r="AF99" i="1"/>
  <c r="AI99" i="1" s="1"/>
  <c r="AF88" i="1"/>
  <c r="AI88" i="1" s="1"/>
  <c r="AF82" i="1"/>
  <c r="AF80" i="1"/>
  <c r="AE19" i="1"/>
  <c r="AF19" i="1"/>
  <c r="AE124" i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E288" i="1"/>
  <c r="AI288" i="1" s="1"/>
  <c r="AF282" i="1"/>
  <c r="AI282" i="1" s="1"/>
  <c r="AE260" i="1"/>
  <c r="AI260" i="1" s="1"/>
  <c r="AE215" i="1"/>
  <c r="AF202" i="1"/>
  <c r="AI202" i="1" s="1"/>
  <c r="AE196" i="1"/>
  <c r="AF176" i="1"/>
  <c r="AI176" i="1" s="1"/>
  <c r="AE167" i="1"/>
  <c r="AI167" i="1" s="1"/>
  <c r="AE138" i="1"/>
  <c r="AI138" i="1" s="1"/>
  <c r="AF74" i="1"/>
  <c r="AF69" i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F65" i="1"/>
  <c r="AI65" i="1" s="1"/>
  <c r="AF2" i="1"/>
  <c r="AI2" i="1" s="1"/>
  <c r="K52" i="1"/>
  <c r="L60" i="1"/>
  <c r="L15" i="1"/>
  <c r="O15" i="1" s="1"/>
  <c r="L6" i="1"/>
  <c r="O6" i="1" s="1"/>
  <c r="K116" i="1"/>
  <c r="O116" i="1" s="1"/>
  <c r="K75" i="1"/>
  <c r="O75" i="1" s="1"/>
  <c r="K19" i="1"/>
  <c r="O19" i="1" s="1"/>
  <c r="L89" i="1"/>
  <c r="K73" i="1"/>
  <c r="O73" i="1" s="1"/>
  <c r="K8" i="1"/>
  <c r="O8" i="1" s="1"/>
  <c r="L87" i="1"/>
  <c r="L14" i="1"/>
  <c r="O14" i="1" s="1"/>
  <c r="K63" i="1"/>
  <c r="O63" i="1" s="1"/>
  <c r="L201" i="1"/>
  <c r="O201" i="1" s="1"/>
  <c r="L71" i="1"/>
  <c r="O71" i="1" s="1"/>
  <c r="L13" i="1"/>
  <c r="O13" i="1" s="1"/>
  <c r="K55" i="1"/>
  <c r="O55" i="1" s="1"/>
  <c r="L163" i="1"/>
  <c r="L145" i="1"/>
  <c r="O145" i="1" s="1"/>
  <c r="L59" i="1"/>
  <c r="K47" i="1"/>
  <c r="O47" i="1" s="1"/>
  <c r="L138" i="1"/>
  <c r="L43" i="1"/>
  <c r="K141" i="1"/>
  <c r="O141" i="1" s="1"/>
  <c r="K35" i="1"/>
  <c r="O35" i="1" s="1"/>
  <c r="L137" i="1"/>
  <c r="L41" i="1"/>
  <c r="O41" i="1" s="1"/>
  <c r="K30" i="1"/>
  <c r="O30" i="1" s="1"/>
  <c r="L99" i="1"/>
  <c r="L25" i="1"/>
  <c r="K302" i="1"/>
  <c r="O302" i="1" s="1"/>
  <c r="K279" i="1"/>
  <c r="K255" i="1"/>
  <c r="K237" i="1"/>
  <c r="O237" i="1" s="1"/>
  <c r="K214" i="1"/>
  <c r="K191" i="1"/>
  <c r="K173" i="1"/>
  <c r="K150" i="1"/>
  <c r="O150" i="1" s="1"/>
  <c r="K126" i="1"/>
  <c r="K107" i="1"/>
  <c r="O107" i="1" s="1"/>
  <c r="K84" i="1"/>
  <c r="O84" i="1" s="1"/>
  <c r="K57" i="1"/>
  <c r="O57" i="1" s="1"/>
  <c r="K44" i="1"/>
  <c r="O44" i="1" s="1"/>
  <c r="K27" i="1"/>
  <c r="O27" i="1" s="1"/>
  <c r="L304" i="1"/>
  <c r="L257" i="1"/>
  <c r="L230" i="1"/>
  <c r="O230" i="1" s="1"/>
  <c r="L193" i="1"/>
  <c r="L166" i="1"/>
  <c r="L128" i="1"/>
  <c r="L108" i="1"/>
  <c r="O108" i="1" s="1"/>
  <c r="L85" i="1"/>
  <c r="O85" i="1" s="1"/>
  <c r="L69" i="1"/>
  <c r="O69" i="1" s="1"/>
  <c r="L51" i="1"/>
  <c r="O51" i="1" s="1"/>
  <c r="L23" i="1"/>
  <c r="K296" i="1"/>
  <c r="O296" i="1" s="1"/>
  <c r="K278" i="1"/>
  <c r="O278" i="1" s="1"/>
  <c r="K254" i="1"/>
  <c r="O254" i="1" s="1"/>
  <c r="K231" i="1"/>
  <c r="O231" i="1" s="1"/>
  <c r="K213" i="1"/>
  <c r="O213" i="1" s="1"/>
  <c r="K190" i="1"/>
  <c r="O190" i="1" s="1"/>
  <c r="K167" i="1"/>
  <c r="O167" i="1" s="1"/>
  <c r="K149" i="1"/>
  <c r="O149" i="1" s="1"/>
  <c r="K125" i="1"/>
  <c r="O125" i="1" s="1"/>
  <c r="K101" i="1"/>
  <c r="O101" i="1" s="1"/>
  <c r="K83" i="1"/>
  <c r="O83" i="1" s="1"/>
  <c r="K38" i="1"/>
  <c r="O38" i="1" s="1"/>
  <c r="K21" i="1"/>
  <c r="O21" i="1" s="1"/>
  <c r="L303" i="1"/>
  <c r="L256" i="1"/>
  <c r="L227" i="1"/>
  <c r="L192" i="1"/>
  <c r="L127" i="1"/>
  <c r="L80" i="1"/>
  <c r="L68" i="1"/>
  <c r="O68" i="1" s="1"/>
  <c r="L45" i="1"/>
  <c r="L22" i="1"/>
  <c r="L5" i="1"/>
  <c r="O5" i="1" s="1"/>
  <c r="K295" i="1"/>
  <c r="O295" i="1" s="1"/>
  <c r="K272" i="1"/>
  <c r="O272" i="1" s="1"/>
  <c r="K253" i="1"/>
  <c r="O253" i="1" s="1"/>
  <c r="K207" i="1"/>
  <c r="O207" i="1" s="1"/>
  <c r="K189" i="1"/>
  <c r="K143" i="1"/>
  <c r="O143" i="1" s="1"/>
  <c r="K124" i="1"/>
  <c r="O124" i="1" s="1"/>
  <c r="K100" i="1"/>
  <c r="O100" i="1" s="1"/>
  <c r="K76" i="1"/>
  <c r="K54" i="1"/>
  <c r="K37" i="1"/>
  <c r="O37" i="1" s="1"/>
  <c r="K20" i="1"/>
  <c r="O20" i="1" s="1"/>
  <c r="L211" i="1"/>
  <c r="L147" i="1"/>
  <c r="L105" i="1"/>
  <c r="O105" i="1" s="1"/>
  <c r="L79" i="1"/>
  <c r="O79" i="1" s="1"/>
  <c r="L62" i="1"/>
  <c r="L4" i="1"/>
  <c r="K294" i="1"/>
  <c r="O294" i="1" s="1"/>
  <c r="K271" i="1"/>
  <c r="O271" i="1" s="1"/>
  <c r="K247" i="1"/>
  <c r="O247" i="1" s="1"/>
  <c r="K229" i="1"/>
  <c r="O229" i="1" s="1"/>
  <c r="K206" i="1"/>
  <c r="O206" i="1" s="1"/>
  <c r="K183" i="1"/>
  <c r="O183" i="1" s="1"/>
  <c r="K165" i="1"/>
  <c r="O165" i="1" s="1"/>
  <c r="K142" i="1"/>
  <c r="O142" i="1" s="1"/>
  <c r="K117" i="1"/>
  <c r="O117" i="1" s="1"/>
  <c r="K53" i="1"/>
  <c r="O53" i="1" s="1"/>
  <c r="K36" i="1"/>
  <c r="O36" i="1" s="1"/>
  <c r="L276" i="1"/>
  <c r="L248" i="1"/>
  <c r="L209" i="1"/>
  <c r="L184" i="1"/>
  <c r="L78" i="1"/>
  <c r="L61" i="1"/>
  <c r="L3" i="1"/>
  <c r="K288" i="1"/>
  <c r="O288" i="1" s="1"/>
  <c r="K270" i="1"/>
  <c r="K246" i="1"/>
  <c r="O246" i="1" s="1"/>
  <c r="K223" i="1"/>
  <c r="O223" i="1" s="1"/>
  <c r="K205" i="1"/>
  <c r="O205" i="1" s="1"/>
  <c r="K182" i="1"/>
  <c r="O182" i="1" s="1"/>
  <c r="K159" i="1"/>
  <c r="O159" i="1" s="1"/>
  <c r="K93" i="1"/>
  <c r="O93" i="1" s="1"/>
  <c r="K12" i="1"/>
  <c r="O12" i="1" s="1"/>
  <c r="L274" i="1"/>
  <c r="O274" i="1" s="1"/>
  <c r="L202" i="1"/>
  <c r="L77" i="1"/>
  <c r="K287" i="1"/>
  <c r="O287" i="1" s="1"/>
  <c r="K264" i="1"/>
  <c r="K245" i="1"/>
  <c r="O245" i="1" s="1"/>
  <c r="K222" i="1"/>
  <c r="O222" i="1" s="1"/>
  <c r="K199" i="1"/>
  <c r="K181" i="1"/>
  <c r="K158" i="1"/>
  <c r="O158" i="1" s="1"/>
  <c r="K135" i="1"/>
  <c r="O135" i="1" s="1"/>
  <c r="K115" i="1"/>
  <c r="O115" i="1" s="1"/>
  <c r="K92" i="1"/>
  <c r="K11" i="1"/>
  <c r="O11" i="1" s="1"/>
  <c r="L267" i="1"/>
  <c r="K286" i="1"/>
  <c r="O286" i="1" s="1"/>
  <c r="K262" i="1"/>
  <c r="O262" i="1" s="1"/>
  <c r="K239" i="1"/>
  <c r="O239" i="1" s="1"/>
  <c r="K221" i="1"/>
  <c r="O221" i="1" s="1"/>
  <c r="K198" i="1"/>
  <c r="O198" i="1" s="1"/>
  <c r="K175" i="1"/>
  <c r="O175" i="1" s="1"/>
  <c r="K157" i="1"/>
  <c r="O157" i="1" s="1"/>
  <c r="K133" i="1"/>
  <c r="K109" i="1"/>
  <c r="O109" i="1" s="1"/>
  <c r="K91" i="1"/>
  <c r="O91" i="1" s="1"/>
  <c r="K46" i="1"/>
  <c r="O46" i="1" s="1"/>
  <c r="K29" i="1"/>
  <c r="O29" i="1" s="1"/>
  <c r="K10" i="1"/>
  <c r="O10" i="1" s="1"/>
  <c r="L266" i="1"/>
  <c r="L200" i="1"/>
  <c r="O200" i="1" s="1"/>
  <c r="S200" i="1" s="1"/>
  <c r="L136" i="1"/>
  <c r="O136" i="1" s="1"/>
  <c r="K280" i="1"/>
  <c r="O280" i="1" s="1"/>
  <c r="K261" i="1"/>
  <c r="O261" i="1" s="1"/>
  <c r="K238" i="1"/>
  <c r="O238" i="1" s="1"/>
  <c r="K215" i="1"/>
  <c r="O215" i="1" s="1"/>
  <c r="K197" i="1"/>
  <c r="K174" i="1"/>
  <c r="O174" i="1" s="1"/>
  <c r="K151" i="1"/>
  <c r="O151" i="1" s="1"/>
  <c r="K132" i="1"/>
  <c r="K28" i="1"/>
  <c r="O28" i="1" s="1"/>
  <c r="L265" i="1"/>
  <c r="O265" i="1" s="1"/>
  <c r="L86" i="1"/>
  <c r="L70" i="1"/>
  <c r="O70" i="1" s="1"/>
  <c r="K74" i="1"/>
  <c r="K65" i="1"/>
  <c r="O65" i="1" s="1"/>
  <c r="K9" i="1"/>
  <c r="L293" i="1"/>
  <c r="L284" i="1"/>
  <c r="L275" i="1"/>
  <c r="O275" i="1" s="1"/>
  <c r="L228" i="1"/>
  <c r="L219" i="1"/>
  <c r="L210" i="1"/>
  <c r="O210" i="1" s="1"/>
  <c r="L164" i="1"/>
  <c r="L155" i="1"/>
  <c r="L146" i="1"/>
  <c r="O146" i="1" s="1"/>
  <c r="L97" i="1"/>
  <c r="L88" i="1"/>
  <c r="L33" i="1"/>
  <c r="O33" i="1" s="1"/>
  <c r="L24" i="1"/>
  <c r="O24" i="1" s="1"/>
  <c r="K66" i="1"/>
  <c r="L285" i="1"/>
  <c r="O285" i="1" s="1"/>
  <c r="L220" i="1"/>
  <c r="O220" i="1" s="1"/>
  <c r="K17" i="1"/>
  <c r="O17" i="1" s="1"/>
  <c r="L301" i="1"/>
  <c r="L283" i="1"/>
  <c r="L236" i="1"/>
  <c r="O236" i="1" s="1"/>
  <c r="L218" i="1"/>
  <c r="O218" i="1" s="1"/>
  <c r="L172" i="1"/>
  <c r="O172" i="1" s="1"/>
  <c r="K277" i="1"/>
  <c r="O277" i="1" s="1"/>
  <c r="K269" i="1"/>
  <c r="O269" i="1" s="1"/>
  <c r="K260" i="1"/>
  <c r="K252" i="1"/>
  <c r="K244" i="1"/>
  <c r="O244" i="1" s="1"/>
  <c r="K212" i="1"/>
  <c r="O212" i="1" s="1"/>
  <c r="K204" i="1"/>
  <c r="K196" i="1"/>
  <c r="K188" i="1"/>
  <c r="O188" i="1" s="1"/>
  <c r="K180" i="1"/>
  <c r="O180" i="1" s="1"/>
  <c r="K156" i="1"/>
  <c r="O156" i="1" s="1"/>
  <c r="K148" i="1"/>
  <c r="O148" i="1" s="1"/>
  <c r="K140" i="1"/>
  <c r="K131" i="1"/>
  <c r="K122" i="1"/>
  <c r="O122" i="1" s="1"/>
  <c r="K114" i="1"/>
  <c r="O114" i="1" s="1"/>
  <c r="K106" i="1"/>
  <c r="O106" i="1" s="1"/>
  <c r="K98" i="1"/>
  <c r="O98" i="1" s="1"/>
  <c r="K90" i="1"/>
  <c r="O90" i="1" s="1"/>
  <c r="K81" i="1"/>
  <c r="O81" i="1" s="1"/>
  <c r="K26" i="1"/>
  <c r="O26" i="1" s="1"/>
  <c r="K16" i="1"/>
  <c r="O16" i="1" s="1"/>
  <c r="L300" i="1"/>
  <c r="L291" i="1"/>
  <c r="L282" i="1"/>
  <c r="L273" i="1"/>
  <c r="O273" i="1" s="1"/>
  <c r="L235" i="1"/>
  <c r="O235" i="1" s="1"/>
  <c r="L226" i="1"/>
  <c r="L217" i="1"/>
  <c r="L208" i="1"/>
  <c r="O208" i="1" s="1"/>
  <c r="L171" i="1"/>
  <c r="O171" i="1" s="1"/>
  <c r="L162" i="1"/>
  <c r="L153" i="1"/>
  <c r="L144" i="1"/>
  <c r="L113" i="1"/>
  <c r="L104" i="1"/>
  <c r="O104" i="1" s="1"/>
  <c r="L95" i="1"/>
  <c r="L49" i="1"/>
  <c r="L40" i="1"/>
  <c r="O40" i="1" s="1"/>
  <c r="L31" i="1"/>
  <c r="K292" i="1"/>
  <c r="K268" i="1"/>
  <c r="O268" i="1" s="1"/>
  <c r="K259" i="1"/>
  <c r="O259" i="1" s="1"/>
  <c r="K251" i="1"/>
  <c r="O251" i="1" s="1"/>
  <c r="K243" i="1"/>
  <c r="O243" i="1" s="1"/>
  <c r="K203" i="1"/>
  <c r="O203" i="1" s="1"/>
  <c r="K195" i="1"/>
  <c r="O195" i="1" s="1"/>
  <c r="K187" i="1"/>
  <c r="O187" i="1" s="1"/>
  <c r="K179" i="1"/>
  <c r="O179" i="1" s="1"/>
  <c r="K139" i="1"/>
  <c r="O139" i="1" s="1"/>
  <c r="K130" i="1"/>
  <c r="O130" i="1" s="1"/>
  <c r="K121" i="1"/>
  <c r="O121" i="1" s="1"/>
  <c r="K34" i="1"/>
  <c r="O34" i="1" s="1"/>
  <c r="L299" i="1"/>
  <c r="L290" i="1"/>
  <c r="L281" i="1"/>
  <c r="L234" i="1"/>
  <c r="O234" i="1" s="1"/>
  <c r="L225" i="1"/>
  <c r="L216" i="1"/>
  <c r="L170" i="1"/>
  <c r="L161" i="1"/>
  <c r="L152" i="1"/>
  <c r="L112" i="1"/>
  <c r="L103" i="1"/>
  <c r="L94" i="1"/>
  <c r="L67" i="1"/>
  <c r="L48" i="1"/>
  <c r="L39" i="1"/>
  <c r="K82" i="1"/>
  <c r="O82" i="1" s="1"/>
  <c r="K258" i="1"/>
  <c r="O258" i="1" s="1"/>
  <c r="K250" i="1"/>
  <c r="O250" i="1" s="1"/>
  <c r="K242" i="1"/>
  <c r="O242" i="1" s="1"/>
  <c r="K194" i="1"/>
  <c r="K186" i="1"/>
  <c r="O186" i="1" s="1"/>
  <c r="K178" i="1"/>
  <c r="O178" i="1" s="1"/>
  <c r="K154" i="1"/>
  <c r="O154" i="1" s="1"/>
  <c r="K129" i="1"/>
  <c r="O129" i="1" s="1"/>
  <c r="K120" i="1"/>
  <c r="O120" i="1" s="1"/>
  <c r="K96" i="1"/>
  <c r="O96" i="1" s="1"/>
  <c r="K42" i="1"/>
  <c r="O42" i="1" s="1"/>
  <c r="L298" i="1"/>
  <c r="L289" i="1"/>
  <c r="L233" i="1"/>
  <c r="L224" i="1"/>
  <c r="L169" i="1"/>
  <c r="L160" i="1"/>
  <c r="L111" i="1"/>
  <c r="O111" i="1" s="1"/>
  <c r="L102" i="1"/>
  <c r="O102" i="1" s="1"/>
  <c r="L56" i="1"/>
  <c r="L32" i="1"/>
  <c r="O32" i="1" s="1"/>
  <c r="K249" i="1"/>
  <c r="O249" i="1" s="1"/>
  <c r="K241" i="1"/>
  <c r="O241" i="1" s="1"/>
  <c r="K185" i="1"/>
  <c r="O185" i="1" s="1"/>
  <c r="K177" i="1"/>
  <c r="O177" i="1" s="1"/>
  <c r="K119" i="1"/>
  <c r="O119" i="1" s="1"/>
  <c r="K50" i="1"/>
  <c r="O50" i="1" s="1"/>
  <c r="L297" i="1"/>
  <c r="L232" i="1"/>
  <c r="O232" i="1" s="1"/>
  <c r="L168" i="1"/>
  <c r="O168" i="1" s="1"/>
  <c r="L110" i="1"/>
  <c r="L64" i="1"/>
  <c r="O64" i="1" s="1"/>
  <c r="K240" i="1"/>
  <c r="O240" i="1" s="1"/>
  <c r="K176" i="1"/>
  <c r="O176" i="1" s="1"/>
  <c r="K118" i="1"/>
  <c r="K58" i="1"/>
  <c r="O58" i="1" s="1"/>
  <c r="L72" i="1"/>
  <c r="L7" i="1"/>
  <c r="O7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V2" i="1"/>
  <c r="L2" i="1"/>
  <c r="O2" i="1" s="1"/>
  <c r="FE238" i="1" l="1"/>
  <c r="FF238" i="1" s="1"/>
  <c r="O169" i="1"/>
  <c r="O140" i="1"/>
  <c r="O181" i="1"/>
  <c r="O191" i="1"/>
  <c r="O59" i="1"/>
  <c r="O39" i="1"/>
  <c r="O252" i="1"/>
  <c r="R252" i="1" s="1"/>
  <c r="S252" i="1" s="1"/>
  <c r="O199" i="1"/>
  <c r="R199" i="1" s="1"/>
  <c r="S199" i="1" s="1"/>
  <c r="O189" i="1"/>
  <c r="O214" i="1"/>
  <c r="O131" i="1"/>
  <c r="O260" i="1"/>
  <c r="O133" i="1"/>
  <c r="O80" i="1"/>
  <c r="O163" i="1"/>
  <c r="R163" i="1" s="1"/>
  <c r="S163" i="1" s="1"/>
  <c r="O60" i="1"/>
  <c r="R60" i="1" s="1"/>
  <c r="S60" i="1" s="1"/>
  <c r="O255" i="1"/>
  <c r="O52" i="1"/>
  <c r="O173" i="1"/>
  <c r="O9" i="1"/>
  <c r="O61" i="1"/>
  <c r="S61" i="1" s="1"/>
  <c r="O56" i="1"/>
  <c r="R56" i="1" s="1"/>
  <c r="S56" i="1" s="1"/>
  <c r="O194" i="1"/>
  <c r="S194" i="1" s="1"/>
  <c r="O292" i="1"/>
  <c r="R292" i="1" s="1"/>
  <c r="S292" i="1" s="1"/>
  <c r="O92" i="1"/>
  <c r="O264" i="1"/>
  <c r="O4" i="1"/>
  <c r="S4" i="1" s="1"/>
  <c r="O54" i="1"/>
  <c r="O279" i="1"/>
  <c r="O89" i="1"/>
  <c r="O118" i="1"/>
  <c r="R118" i="1" s="1"/>
  <c r="S118" i="1" s="1"/>
  <c r="O103" i="1"/>
  <c r="R103" i="1" s="1"/>
  <c r="S103" i="1" s="1"/>
  <c r="O196" i="1"/>
  <c r="O66" i="1"/>
  <c r="O74" i="1"/>
  <c r="O197" i="1"/>
  <c r="O76" i="1"/>
  <c r="O126" i="1"/>
  <c r="AI142" i="1"/>
  <c r="AI184" i="1"/>
  <c r="AI131" i="1"/>
  <c r="AI118" i="1"/>
  <c r="AI192" i="1"/>
  <c r="AI200" i="1"/>
  <c r="AI135" i="1"/>
  <c r="AL135" i="1" s="1"/>
  <c r="AM135" i="1" s="1"/>
  <c r="AI277" i="1"/>
  <c r="AL277" i="1" s="1"/>
  <c r="AM277" i="1" s="1"/>
  <c r="AI303" i="1"/>
  <c r="AI150" i="1"/>
  <c r="AI66" i="1"/>
  <c r="AI196" i="1"/>
  <c r="AI124" i="1"/>
  <c r="AI147" i="1"/>
  <c r="AI265" i="1"/>
  <c r="AL265" i="1" s="1"/>
  <c r="AM265" i="1" s="1"/>
  <c r="AI151" i="1"/>
  <c r="AL151" i="1" s="1"/>
  <c r="AM151" i="1" s="1"/>
  <c r="AI269" i="1"/>
  <c r="AI222" i="1"/>
  <c r="AI82" i="1"/>
  <c r="AI72" i="1"/>
  <c r="AI148" i="1"/>
  <c r="AI280" i="1"/>
  <c r="AI127" i="1"/>
  <c r="AL127" i="1" s="1"/>
  <c r="AM127" i="1" s="1"/>
  <c r="AI248" i="1"/>
  <c r="AL248" i="1" s="1"/>
  <c r="AM248" i="1" s="1"/>
  <c r="AI231" i="1"/>
  <c r="AS86" i="1"/>
  <c r="AS78" i="1"/>
  <c r="AS94" i="1"/>
  <c r="AI191" i="1"/>
  <c r="AS208" i="1"/>
  <c r="AV208" i="1" s="1"/>
  <c r="AW208" i="1" s="1"/>
  <c r="AS232" i="1"/>
  <c r="AS146" i="1"/>
  <c r="AV146" i="1" s="1"/>
  <c r="AW146" i="1" s="1"/>
  <c r="AS250" i="1"/>
  <c r="AV250" i="1" s="1"/>
  <c r="AW250" i="1" s="1"/>
  <c r="AS70" i="1"/>
  <c r="AI59" i="1"/>
  <c r="AI24" i="1"/>
  <c r="AI56" i="1"/>
  <c r="AI3" i="1"/>
  <c r="AI32" i="1"/>
  <c r="AI64" i="1"/>
  <c r="AI23" i="1"/>
  <c r="AI30" i="1"/>
  <c r="AI62" i="1"/>
  <c r="AI6" i="1"/>
  <c r="AI39" i="1"/>
  <c r="AI17" i="1"/>
  <c r="AI20" i="1"/>
  <c r="AI52" i="1"/>
  <c r="AI205" i="1"/>
  <c r="AI55" i="1"/>
  <c r="AI117" i="1"/>
  <c r="AI204" i="1"/>
  <c r="AI35" i="1"/>
  <c r="AI22" i="1"/>
  <c r="AI54" i="1"/>
  <c r="AI10" i="1"/>
  <c r="AI31" i="1"/>
  <c r="AI58" i="1"/>
  <c r="AI51" i="1"/>
  <c r="AI226" i="1"/>
  <c r="AI292" i="1"/>
  <c r="Y66" i="1"/>
  <c r="Y196" i="1"/>
  <c r="AS25" i="1"/>
  <c r="AV25" i="1" s="1"/>
  <c r="AW25" i="1" s="1"/>
  <c r="AS89" i="1"/>
  <c r="AV89" i="1" s="1"/>
  <c r="AW89" i="1" s="1"/>
  <c r="AS155" i="1"/>
  <c r="AS219" i="1"/>
  <c r="AS284" i="1"/>
  <c r="Y263" i="1"/>
  <c r="AS123" i="1"/>
  <c r="AI11" i="1"/>
  <c r="AI44" i="1"/>
  <c r="AI5" i="1"/>
  <c r="AI38" i="1"/>
  <c r="AI70" i="1"/>
  <c r="AI14" i="1"/>
  <c r="AI47" i="1"/>
  <c r="AI26" i="1"/>
  <c r="AI50" i="1"/>
  <c r="AS43" i="1"/>
  <c r="AV43" i="1" s="1"/>
  <c r="AW43" i="1" s="1"/>
  <c r="AS107" i="1"/>
  <c r="AV107" i="1" s="1"/>
  <c r="AW107" i="1" s="1"/>
  <c r="AS173" i="1"/>
  <c r="AS237" i="1"/>
  <c r="AI123" i="1"/>
  <c r="AS144" i="1"/>
  <c r="AS297" i="1"/>
  <c r="AV297" i="1" s="1"/>
  <c r="AW297" i="1" s="1"/>
  <c r="AS275" i="1"/>
  <c r="AV275" i="1" s="1"/>
  <c r="AW275" i="1" s="1"/>
  <c r="AS265" i="1"/>
  <c r="AV265" i="1" s="1"/>
  <c r="AW265" i="1" s="1"/>
  <c r="O267" i="1"/>
  <c r="R267" i="1" s="1"/>
  <c r="S267" i="1" s="1"/>
  <c r="AI36" i="1"/>
  <c r="AS27" i="1"/>
  <c r="AS91" i="1"/>
  <c r="AS157" i="1"/>
  <c r="AS221" i="1"/>
  <c r="AS286" i="1"/>
  <c r="AV286" i="1" s="1"/>
  <c r="AW286" i="1" s="1"/>
  <c r="AS7" i="1"/>
  <c r="AV7" i="1" s="1"/>
  <c r="AW7" i="1" s="1"/>
  <c r="Y123" i="1"/>
  <c r="AI80" i="1"/>
  <c r="AI268" i="1"/>
  <c r="O263" i="1"/>
  <c r="AS15" i="1"/>
  <c r="AI206" i="1"/>
  <c r="AS35" i="1"/>
  <c r="AV35" i="1" s="1"/>
  <c r="AW35" i="1" s="1"/>
  <c r="AS99" i="1"/>
  <c r="AS165" i="1"/>
  <c r="AV165" i="1" s="1"/>
  <c r="AW165" i="1" s="1"/>
  <c r="AS229" i="1"/>
  <c r="AS294" i="1"/>
  <c r="AS23" i="1"/>
  <c r="AI68" i="1"/>
  <c r="AI214" i="1"/>
  <c r="AI87" i="1"/>
  <c r="AL87" i="1" s="1"/>
  <c r="AM87" i="1" s="1"/>
  <c r="AI284" i="1"/>
  <c r="AL284" i="1" s="1"/>
  <c r="AM284" i="1" s="1"/>
  <c r="AI67" i="1"/>
  <c r="AI76" i="1"/>
  <c r="Y120" i="1"/>
  <c r="Y186" i="1"/>
  <c r="O78" i="1"/>
  <c r="O144" i="1"/>
  <c r="AI215" i="1"/>
  <c r="AI19" i="1"/>
  <c r="AI37" i="1"/>
  <c r="AI42" i="1"/>
  <c r="AI7" i="1"/>
  <c r="AI40" i="1"/>
  <c r="AI43" i="1"/>
  <c r="AS51" i="1"/>
  <c r="AS115" i="1"/>
  <c r="AS181" i="1"/>
  <c r="AV181" i="1" s="1"/>
  <c r="AW181" i="1" s="1"/>
  <c r="AS245" i="1"/>
  <c r="AV245" i="1" s="1"/>
  <c r="AW245" i="1" s="1"/>
  <c r="AS68" i="1"/>
  <c r="Y18" i="1"/>
  <c r="AI75" i="1"/>
  <c r="O138" i="1"/>
  <c r="S138" i="1" s="1"/>
  <c r="AS57" i="1"/>
  <c r="AS121" i="1"/>
  <c r="AS187" i="1"/>
  <c r="AS251" i="1"/>
  <c r="AV251" i="1" s="1"/>
  <c r="AW251" i="1" s="1"/>
  <c r="AS59" i="1"/>
  <c r="AS124" i="1"/>
  <c r="AS189" i="1"/>
  <c r="AS253" i="1"/>
  <c r="AI8" i="1"/>
  <c r="AI286" i="1"/>
  <c r="AL286" i="1" s="1"/>
  <c r="AM286" i="1" s="1"/>
  <c r="AI238" i="1"/>
  <c r="AI27" i="1"/>
  <c r="AI15" i="1"/>
  <c r="AI48" i="1"/>
  <c r="AI91" i="1"/>
  <c r="AS67" i="1"/>
  <c r="AS132" i="1"/>
  <c r="AS197" i="1"/>
  <c r="AS261" i="1"/>
  <c r="AS62" i="1"/>
  <c r="AV62" i="1" s="1"/>
  <c r="AW62" i="1" s="1"/>
  <c r="AS100" i="1"/>
  <c r="O305" i="1"/>
  <c r="AI111" i="1"/>
  <c r="O123" i="1"/>
  <c r="AI100" i="1"/>
  <c r="AI182" i="1"/>
  <c r="AL182" i="1" s="1"/>
  <c r="AM182" i="1" s="1"/>
  <c r="AI28" i="1"/>
  <c r="AI60" i="1"/>
  <c r="AI63" i="1"/>
  <c r="AS10" i="1"/>
  <c r="AS75" i="1"/>
  <c r="AS141" i="1"/>
  <c r="AS205" i="1"/>
  <c r="AV205" i="1" s="1"/>
  <c r="AW205" i="1" s="1"/>
  <c r="AS270" i="1"/>
  <c r="AW270" i="1" s="1"/>
  <c r="AS162" i="1"/>
  <c r="AV162" i="1" s="1"/>
  <c r="AW162" i="1" s="1"/>
  <c r="AS289" i="1"/>
  <c r="AV289" i="1" s="1"/>
  <c r="AW289" i="1" s="1"/>
  <c r="AS242" i="1"/>
  <c r="AS160" i="1"/>
  <c r="AS168" i="1"/>
  <c r="AS210" i="1"/>
  <c r="AI139" i="1"/>
  <c r="AI108" i="1"/>
  <c r="AL108" i="1" s="1"/>
  <c r="AM108" i="1" s="1"/>
  <c r="AI190" i="1"/>
  <c r="AL190" i="1" s="1"/>
  <c r="AM190" i="1" s="1"/>
  <c r="Y88" i="1"/>
  <c r="Y154" i="1"/>
  <c r="O110" i="1"/>
  <c r="AI21" i="1"/>
  <c r="AI53" i="1"/>
  <c r="AS16" i="1"/>
  <c r="AS81" i="1"/>
  <c r="AV81" i="1" s="1"/>
  <c r="AW81" i="1" s="1"/>
  <c r="AS147" i="1"/>
  <c r="AW147" i="1" s="1"/>
  <c r="AS211" i="1"/>
  <c r="AV211" i="1" s="1"/>
  <c r="AW211" i="1" s="1"/>
  <c r="AS276" i="1"/>
  <c r="AS19" i="1"/>
  <c r="AS83" i="1"/>
  <c r="AS149" i="1"/>
  <c r="AS213" i="1"/>
  <c r="AS278" i="1"/>
  <c r="AS56" i="1"/>
  <c r="AV56" i="1" s="1"/>
  <c r="AW56" i="1" s="1"/>
  <c r="AS36" i="1"/>
  <c r="AV36" i="1" s="1"/>
  <c r="AW36" i="1" s="1"/>
  <c r="AS13" i="1"/>
  <c r="AS154" i="1"/>
  <c r="AV263" i="1"/>
  <c r="AW263" i="1" s="1"/>
  <c r="Y129" i="1"/>
  <c r="Y234" i="1"/>
  <c r="O86" i="1"/>
  <c r="R86" i="1" s="1"/>
  <c r="O192" i="1"/>
  <c r="Y33" i="1"/>
  <c r="O161" i="1"/>
  <c r="R161" i="1" s="1"/>
  <c r="O225" i="1"/>
  <c r="O290" i="1"/>
  <c r="AS2" i="1"/>
  <c r="AI122" i="1"/>
  <c r="AS30" i="1"/>
  <c r="AV30" i="1" s="1"/>
  <c r="AW30" i="1" s="1"/>
  <c r="AS6" i="1"/>
  <c r="AV6" i="1" s="1"/>
  <c r="AW6" i="1" s="1"/>
  <c r="AS103" i="1"/>
  <c r="AV103" i="1" s="1"/>
  <c r="AW103" i="1" s="1"/>
  <c r="Y138" i="1"/>
  <c r="Y291" i="1"/>
  <c r="O94" i="1"/>
  <c r="O248" i="1"/>
  <c r="O170" i="1"/>
  <c r="Y41" i="1"/>
  <c r="Y219" i="1"/>
  <c r="O233" i="1"/>
  <c r="R233" i="1" s="1"/>
  <c r="O298" i="1"/>
  <c r="R298" i="1" s="1"/>
  <c r="O226" i="1"/>
  <c r="O283" i="1"/>
  <c r="O97" i="1"/>
  <c r="O227" i="1"/>
  <c r="AI29" i="1"/>
  <c r="AI61" i="1"/>
  <c r="AI120" i="1"/>
  <c r="AS33" i="1"/>
  <c r="AS97" i="1"/>
  <c r="AS163" i="1"/>
  <c r="AS227" i="1"/>
  <c r="AS292" i="1"/>
  <c r="AS72" i="1"/>
  <c r="AS5" i="1"/>
  <c r="AV5" i="1" s="1"/>
  <c r="AW5" i="1" s="1"/>
  <c r="Y40" i="1"/>
  <c r="Y194" i="1"/>
  <c r="Y299" i="1"/>
  <c r="O152" i="1"/>
  <c r="O256" i="1"/>
  <c r="O202" i="1"/>
  <c r="Y227" i="1"/>
  <c r="Y292" i="1"/>
  <c r="AI74" i="1"/>
  <c r="AI140" i="1"/>
  <c r="Y43" i="1"/>
  <c r="AI4" i="1"/>
  <c r="Y212" i="1"/>
  <c r="Y206" i="1"/>
  <c r="AS41" i="1"/>
  <c r="AS105" i="1"/>
  <c r="AS171" i="1"/>
  <c r="AV171" i="1" s="1"/>
  <c r="AW171" i="1" s="1"/>
  <c r="AS235" i="1"/>
  <c r="AS300" i="1"/>
  <c r="AS302" i="1"/>
  <c r="AS267" i="1"/>
  <c r="AS202" i="1"/>
  <c r="AV202" i="1" s="1"/>
  <c r="AW202" i="1" s="1"/>
  <c r="AS60" i="1"/>
  <c r="AV60" i="1" s="1"/>
  <c r="AW60" i="1" s="1"/>
  <c r="AS110" i="1"/>
  <c r="AV110" i="1" s="1"/>
  <c r="AW110" i="1" s="1"/>
  <c r="AS224" i="1"/>
  <c r="AV224" i="1" s="1"/>
  <c r="AW224" i="1" s="1"/>
  <c r="AS273" i="1"/>
  <c r="AS186" i="1"/>
  <c r="AS218" i="1"/>
  <c r="AV218" i="1" s="1"/>
  <c r="AW218" i="1" s="1"/>
  <c r="Y96" i="1"/>
  <c r="Y202" i="1"/>
  <c r="O160" i="1"/>
  <c r="R160" i="1" s="1"/>
  <c r="Y105" i="1"/>
  <c r="Y171" i="1"/>
  <c r="Y235" i="1"/>
  <c r="Y300" i="1"/>
  <c r="O128" i="1"/>
  <c r="O291" i="1"/>
  <c r="O88" i="1"/>
  <c r="O49" i="1"/>
  <c r="O113" i="1"/>
  <c r="AS49" i="1"/>
  <c r="AV49" i="1" s="1"/>
  <c r="AS113" i="1"/>
  <c r="AS179" i="1"/>
  <c r="AS243" i="1"/>
  <c r="O166" i="1"/>
  <c r="Y104" i="1"/>
  <c r="Y258" i="1"/>
  <c r="O62" i="1"/>
  <c r="O216" i="1"/>
  <c r="R216" i="1" s="1"/>
  <c r="O48" i="1"/>
  <c r="R48" i="1" s="1"/>
  <c r="O193" i="1"/>
  <c r="O257" i="1"/>
  <c r="O3" i="1"/>
  <c r="AS22" i="1"/>
  <c r="AI228" i="1"/>
  <c r="AL228" i="1" s="1"/>
  <c r="AM228" i="1" s="1"/>
  <c r="AV299" i="1"/>
  <c r="AW299" i="1" s="1"/>
  <c r="AV40" i="1"/>
  <c r="AW40" i="1" s="1"/>
  <c r="AS118" i="1"/>
  <c r="AV118" i="1" s="1"/>
  <c r="AW118" i="1" s="1"/>
  <c r="AS84" i="1"/>
  <c r="AV84" i="1" s="1"/>
  <c r="AW84" i="1" s="1"/>
  <c r="Y162" i="1"/>
  <c r="Y267" i="1"/>
  <c r="O224" i="1"/>
  <c r="O72" i="1"/>
  <c r="Y65" i="1"/>
  <c r="Y121" i="1"/>
  <c r="Y187" i="1"/>
  <c r="Y251" i="1"/>
  <c r="O266" i="1"/>
  <c r="AS127" i="1"/>
  <c r="AI98" i="1"/>
  <c r="AI164" i="1"/>
  <c r="AL164" i="1" s="1"/>
  <c r="AM164" i="1" s="1"/>
  <c r="AI236" i="1"/>
  <c r="AL236" i="1" s="1"/>
  <c r="AM236" i="1" s="1"/>
  <c r="AI301" i="1"/>
  <c r="O303" i="1"/>
  <c r="R303" i="1" s="1"/>
  <c r="AI13" i="1"/>
  <c r="AI46" i="1"/>
  <c r="AI34" i="1"/>
  <c r="AI9" i="1"/>
  <c r="AI12" i="1"/>
  <c r="AI45" i="1"/>
  <c r="AS65" i="1"/>
  <c r="AV65" i="1" s="1"/>
  <c r="AW65" i="1" s="1"/>
  <c r="AS130" i="1"/>
  <c r="AS195" i="1"/>
  <c r="AS259" i="1"/>
  <c r="AS240" i="1"/>
  <c r="AV240" i="1" s="1"/>
  <c r="AW240" i="1" s="1"/>
  <c r="AS283" i="1"/>
  <c r="AV283" i="1" s="1"/>
  <c r="AW283" i="1" s="1"/>
  <c r="AS138" i="1"/>
  <c r="AW138" i="1" s="1"/>
  <c r="AS96" i="1"/>
  <c r="AV96" i="1" s="1"/>
  <c r="AW96" i="1" s="1"/>
  <c r="O77" i="1"/>
  <c r="R77" i="1" s="1"/>
  <c r="O112" i="1"/>
  <c r="R112" i="1" s="1"/>
  <c r="Y64" i="1"/>
  <c r="Y170" i="1"/>
  <c r="O22" i="1"/>
  <c r="O127" i="1"/>
  <c r="O281" i="1"/>
  <c r="O299" i="1"/>
  <c r="Y73" i="1"/>
  <c r="Y130" i="1"/>
  <c r="Y195" i="1"/>
  <c r="Y259" i="1"/>
  <c r="O23" i="1"/>
  <c r="O87" i="1"/>
  <c r="O209" i="1"/>
  <c r="AI172" i="1"/>
  <c r="AL172" i="1" s="1"/>
  <c r="AM172" i="1" s="1"/>
  <c r="AI244" i="1"/>
  <c r="AS8" i="1"/>
  <c r="AS73" i="1"/>
  <c r="AS139" i="1"/>
  <c r="AS203" i="1"/>
  <c r="AS268" i="1"/>
  <c r="AS87" i="1"/>
  <c r="AV87" i="1" s="1"/>
  <c r="AW87" i="1" s="1"/>
  <c r="Y87" i="1"/>
  <c r="O45" i="1"/>
  <c r="R45" i="1" s="1"/>
  <c r="O304" i="1"/>
  <c r="R304" i="1" s="1"/>
  <c r="Y72" i="1"/>
  <c r="Y226" i="1"/>
  <c r="AB226" i="1" s="1"/>
  <c r="AC226" i="1" s="1"/>
  <c r="O184" i="1"/>
  <c r="O289" i="1"/>
  <c r="Y139" i="1"/>
  <c r="Y203" i="1"/>
  <c r="Y268" i="1"/>
  <c r="O31" i="1"/>
  <c r="O95" i="1"/>
  <c r="O153" i="1"/>
  <c r="O217" i="1"/>
  <c r="O282" i="1"/>
  <c r="O162" i="1"/>
  <c r="O147" i="1"/>
  <c r="S147" i="1" s="1"/>
  <c r="O211" i="1"/>
  <c r="R211" i="1" s="1"/>
  <c r="O276" i="1"/>
  <c r="R276" i="1" s="1"/>
  <c r="AI271" i="1"/>
  <c r="AI126" i="1"/>
  <c r="AI264" i="1"/>
  <c r="O300" i="1"/>
  <c r="AI272" i="1"/>
  <c r="AL272" i="1" s="1"/>
  <c r="AM272" i="1" s="1"/>
  <c r="Y93" i="1"/>
  <c r="O67" i="1"/>
  <c r="R67" i="1" s="1"/>
  <c r="O219" i="1"/>
  <c r="R219" i="1" s="1"/>
  <c r="Y60" i="1"/>
  <c r="AI69" i="1"/>
  <c r="AI143" i="1"/>
  <c r="AI207" i="1"/>
  <c r="Y22" i="1"/>
  <c r="AI285" i="1"/>
  <c r="AL285" i="1" s="1"/>
  <c r="AM285" i="1" s="1"/>
  <c r="AI287" i="1"/>
  <c r="O164" i="1"/>
  <c r="R164" i="1" s="1"/>
  <c r="AI77" i="1"/>
  <c r="AI223" i="1"/>
  <c r="O99" i="1"/>
  <c r="AI252" i="1"/>
  <c r="AI85" i="1"/>
  <c r="AL85" i="1" s="1"/>
  <c r="AM85" i="1" s="1"/>
  <c r="AI159" i="1"/>
  <c r="AL159" i="1" s="1"/>
  <c r="AM159" i="1" s="1"/>
  <c r="AI296" i="1"/>
  <c r="AI220" i="1"/>
  <c r="AI254" i="1"/>
  <c r="O228" i="1"/>
  <c r="O293" i="1"/>
  <c r="AI93" i="1"/>
  <c r="AI239" i="1"/>
  <c r="Y86" i="1"/>
  <c r="O155" i="1"/>
  <c r="O284" i="1"/>
  <c r="R284" i="1" s="1"/>
  <c r="Y125" i="1"/>
  <c r="O301" i="1"/>
  <c r="Y2" i="1"/>
  <c r="AI101" i="1"/>
  <c r="AI175" i="1"/>
  <c r="AL175" i="1" s="1"/>
  <c r="AM175" i="1" s="1"/>
  <c r="AI247" i="1"/>
  <c r="AL247" i="1" s="1"/>
  <c r="AM247" i="1" s="1"/>
  <c r="Y4" i="1"/>
  <c r="O43" i="1"/>
  <c r="R43" i="1" s="1"/>
  <c r="AI109" i="1"/>
  <c r="Y77" i="1"/>
  <c r="AL123" i="1"/>
  <c r="AM123" i="1" s="1"/>
  <c r="AB296" i="1"/>
  <c r="AC61" i="1"/>
  <c r="AB53" i="1"/>
  <c r="AC4" i="1"/>
  <c r="AB29" i="1"/>
  <c r="AC29" i="1" s="1"/>
  <c r="DL18" i="1"/>
  <c r="DO18" i="1" s="1"/>
  <c r="DP18" i="1" s="1"/>
  <c r="BN48" i="1"/>
  <c r="BX18" i="1"/>
  <c r="CA18" i="1" s="1"/>
  <c r="CB18" i="1" s="1"/>
  <c r="FE123" i="1"/>
  <c r="FF123" i="1" s="1"/>
  <c r="AV123" i="1"/>
  <c r="AW123" i="1" s="1"/>
  <c r="DV18" i="1"/>
  <c r="DY18" i="1" s="1"/>
  <c r="AB123" i="1"/>
  <c r="AC123" i="1" s="1"/>
  <c r="FE18" i="1"/>
  <c r="FF18" i="1" s="1"/>
  <c r="CU123" i="1"/>
  <c r="CV123" i="1" s="1"/>
  <c r="CK123" i="1"/>
  <c r="CL123" i="1" s="1"/>
  <c r="DY123" i="1"/>
  <c r="DZ123" i="1" s="1"/>
  <c r="BG123" i="1"/>
  <c r="BH123" i="1" s="1"/>
  <c r="CA123" i="1"/>
  <c r="CB123" i="1" s="1"/>
  <c r="DO123" i="1"/>
  <c r="DP123" i="1" s="1"/>
  <c r="BN35" i="1"/>
  <c r="BQ35" i="1" s="1"/>
  <c r="BR35" i="1" s="1"/>
  <c r="BN149" i="1"/>
  <c r="BN58" i="1"/>
  <c r="BQ58" i="1" s="1"/>
  <c r="BR58" i="1" s="1"/>
  <c r="BD202" i="1"/>
  <c r="BG202" i="1" s="1"/>
  <c r="BH202" i="1" s="1"/>
  <c r="BD267" i="1"/>
  <c r="BG267" i="1" s="1"/>
  <c r="BH267" i="1" s="1"/>
  <c r="BX110" i="1"/>
  <c r="CA110" i="1" s="1"/>
  <c r="CB110" i="1" s="1"/>
  <c r="BN286" i="1"/>
  <c r="BQ286" i="1" s="1"/>
  <c r="BR286" i="1" s="1"/>
  <c r="AB18" i="1"/>
  <c r="AC18" i="1" s="1"/>
  <c r="CH22" i="1"/>
  <c r="CK22" i="1" s="1"/>
  <c r="CL22" i="1" s="1"/>
  <c r="CH54" i="1"/>
  <c r="CH86" i="1"/>
  <c r="CH118" i="1"/>
  <c r="CH152" i="1"/>
  <c r="CK152" i="1" s="1"/>
  <c r="CL152" i="1" s="1"/>
  <c r="CH184" i="1"/>
  <c r="CK184" i="1" s="1"/>
  <c r="CL184" i="1" s="1"/>
  <c r="CH216" i="1"/>
  <c r="CK216" i="1" s="1"/>
  <c r="CL216" i="1" s="1"/>
  <c r="CH248" i="1"/>
  <c r="CH281" i="1"/>
  <c r="CH90" i="1"/>
  <c r="CK90" i="1" s="1"/>
  <c r="CL90" i="1" s="1"/>
  <c r="CH164" i="1"/>
  <c r="CK164" i="1" s="1"/>
  <c r="CL164" i="1" s="1"/>
  <c r="AV232" i="1"/>
  <c r="AW232" i="1" s="1"/>
  <c r="CU18" i="1"/>
  <c r="CV18" i="1" s="1"/>
  <c r="R18" i="1"/>
  <c r="S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FE246" i="1"/>
  <c r="FF246" i="1" s="1"/>
  <c r="DL134" i="1"/>
  <c r="CH195" i="1"/>
  <c r="CH300" i="1"/>
  <c r="R25" i="1"/>
  <c r="S25" i="1" s="1"/>
  <c r="R305" i="1"/>
  <c r="S305" i="1" s="1"/>
  <c r="BD137" i="1"/>
  <c r="DL267" i="1"/>
  <c r="DL119" i="1"/>
  <c r="DL298" i="1"/>
  <c r="DO298" i="1" s="1"/>
  <c r="DP298" i="1" s="1"/>
  <c r="DL157" i="1"/>
  <c r="DO157" i="1" s="1"/>
  <c r="DP157" i="1" s="1"/>
  <c r="DL189" i="1"/>
  <c r="DO189" i="1" s="1"/>
  <c r="DP189" i="1" s="1"/>
  <c r="DL221" i="1"/>
  <c r="DO221" i="1" s="1"/>
  <c r="DP221" i="1" s="1"/>
  <c r="DL253" i="1"/>
  <c r="DO253" i="1" s="1"/>
  <c r="DP253" i="1" s="1"/>
  <c r="DL286" i="1"/>
  <c r="DL3" i="1"/>
  <c r="DO3" i="1" s="1"/>
  <c r="DP3" i="1" s="1"/>
  <c r="DL36" i="1"/>
  <c r="DL68" i="1"/>
  <c r="DO68" i="1" s="1"/>
  <c r="DP68" i="1" s="1"/>
  <c r="DL100" i="1"/>
  <c r="DO100" i="1" s="1"/>
  <c r="DP100" i="1" s="1"/>
  <c r="DL133" i="1"/>
  <c r="DO133" i="1" s="1"/>
  <c r="DP133" i="1" s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O262" i="1" s="1"/>
  <c r="DP262" i="1" s="1"/>
  <c r="DV16" i="1"/>
  <c r="DV49" i="1"/>
  <c r="DY49" i="1" s="1"/>
  <c r="DL165" i="1"/>
  <c r="DO165" i="1" s="1"/>
  <c r="DP165" i="1" s="1"/>
  <c r="DL197" i="1"/>
  <c r="DO197" i="1" s="1"/>
  <c r="DP197" i="1" s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O108" i="1" s="1"/>
  <c r="DP108" i="1" s="1"/>
  <c r="DL142" i="1"/>
  <c r="DO142" i="1" s="1"/>
  <c r="DP142" i="1" s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E169" i="1" s="1"/>
  <c r="DF169" i="1" s="1"/>
  <c r="DV81" i="1"/>
  <c r="DY81" i="1" s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DO291" i="1" s="1"/>
  <c r="DP291" i="1" s="1"/>
  <c r="CH234" i="1"/>
  <c r="CH267" i="1"/>
  <c r="CH299" i="1"/>
  <c r="CK299" i="1" s="1"/>
  <c r="CL299" i="1" s="1"/>
  <c r="DL62" i="1"/>
  <c r="DO62" i="1" s="1"/>
  <c r="DP62" i="1" s="1"/>
  <c r="DV17" i="1"/>
  <c r="DY17" i="1" s="1"/>
  <c r="DZ17" i="1" s="1"/>
  <c r="DV50" i="1"/>
  <c r="DY50" i="1" s="1"/>
  <c r="DZ50" i="1" s="1"/>
  <c r="DV82" i="1"/>
  <c r="DY82" i="1" s="1"/>
  <c r="DZ82" i="1" s="1"/>
  <c r="DV114" i="1"/>
  <c r="DV148" i="1"/>
  <c r="DY148" i="1" s="1"/>
  <c r="DZ148" i="1" s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Y67" i="1" s="1"/>
  <c r="DZ67" i="1" s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P4" i="1" s="1"/>
  <c r="DL37" i="1"/>
  <c r="DO37" i="1" s="1"/>
  <c r="DP37" i="1" s="1"/>
  <c r="CR305" i="1"/>
  <c r="CU305" i="1" s="1"/>
  <c r="CV305" i="1" s="1"/>
  <c r="DL274" i="1"/>
  <c r="DL111" i="1"/>
  <c r="DO111" i="1" s="1"/>
  <c r="DP111" i="1" s="1"/>
  <c r="BD262" i="1"/>
  <c r="BG262" i="1" s="1"/>
  <c r="BH262" i="1" s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K30" i="1" s="1"/>
  <c r="CL30" i="1" s="1"/>
  <c r="CH62" i="1"/>
  <c r="CK62" i="1" s="1"/>
  <c r="CL62" i="1" s="1"/>
  <c r="CH94" i="1"/>
  <c r="CK94" i="1" s="1"/>
  <c r="CL94" i="1" s="1"/>
  <c r="CH127" i="1"/>
  <c r="CK127" i="1" s="1"/>
  <c r="CL127" i="1" s="1"/>
  <c r="CH160" i="1"/>
  <c r="CK160" i="1" s="1"/>
  <c r="CL160" i="1" s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K9" i="1" s="1"/>
  <c r="CL9" i="1" s="1"/>
  <c r="CH106" i="1"/>
  <c r="CK106" i="1" s="1"/>
  <c r="CL106" i="1" s="1"/>
  <c r="CH196" i="1"/>
  <c r="CK196" i="1" s="1"/>
  <c r="CL196" i="1" s="1"/>
  <c r="CH269" i="1"/>
  <c r="CK269" i="1" s="1"/>
  <c r="CL269" i="1" s="1"/>
  <c r="BX46" i="1"/>
  <c r="CA46" i="1" s="1"/>
  <c r="CB46" i="1" s="1"/>
  <c r="BX224" i="1"/>
  <c r="CA224" i="1" s="1"/>
  <c r="CB224" i="1" s="1"/>
  <c r="CR296" i="1"/>
  <c r="CU296" i="1" s="1"/>
  <c r="CV296" i="1" s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G3" i="1" s="1"/>
  <c r="BH3" i="1" s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BG53" i="1" s="1"/>
  <c r="BH53" i="1" s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Q173" i="1" s="1"/>
  <c r="BR173" i="1" s="1"/>
  <c r="BN187" i="1"/>
  <c r="BQ187" i="1" s="1"/>
  <c r="BR187" i="1" s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CA90" i="1" s="1"/>
  <c r="CB90" i="1" s="1"/>
  <c r="BX122" i="1"/>
  <c r="CA122" i="1" s="1"/>
  <c r="CB122" i="1" s="1"/>
  <c r="BX156" i="1"/>
  <c r="CA156" i="1" s="1"/>
  <c r="CB156" i="1" s="1"/>
  <c r="BX188" i="1"/>
  <c r="CA188" i="1" s="1"/>
  <c r="CB188" i="1" s="1"/>
  <c r="BX220" i="1"/>
  <c r="CA220" i="1" s="1"/>
  <c r="CB220" i="1" s="1"/>
  <c r="BX252" i="1"/>
  <c r="CA252" i="1" s="1"/>
  <c r="CB252" i="1" s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CA187" i="1" s="1"/>
  <c r="CB187" i="1" s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K217" i="1" s="1"/>
  <c r="CL217" i="1" s="1"/>
  <c r="CH249" i="1"/>
  <c r="CH282" i="1"/>
  <c r="CK282" i="1" s="1"/>
  <c r="CL282" i="1" s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K168" i="1" s="1"/>
  <c r="CL168" i="1" s="1"/>
  <c r="CH200" i="1"/>
  <c r="CL200" i="1" s="1"/>
  <c r="CH232" i="1"/>
  <c r="CK232" i="1" s="1"/>
  <c r="CL232" i="1" s="1"/>
  <c r="CH265" i="1"/>
  <c r="CK265" i="1" s="1"/>
  <c r="CL265" i="1" s="1"/>
  <c r="CH297" i="1"/>
  <c r="CK297" i="1" s="1"/>
  <c r="CL297" i="1" s="1"/>
  <c r="BX9" i="1"/>
  <c r="CA9" i="1" s="1"/>
  <c r="CB9" i="1" s="1"/>
  <c r="BX42" i="1"/>
  <c r="CA42" i="1" s="1"/>
  <c r="CB42" i="1" s="1"/>
  <c r="BX74" i="1"/>
  <c r="CA74" i="1" s="1"/>
  <c r="CB74" i="1" s="1"/>
  <c r="BX106" i="1"/>
  <c r="CA106" i="1" s="1"/>
  <c r="CB106" i="1" s="1"/>
  <c r="BX140" i="1"/>
  <c r="CA140" i="1" s="1"/>
  <c r="CB140" i="1" s="1"/>
  <c r="BX172" i="1"/>
  <c r="CA172" i="1" s="1"/>
  <c r="CB172" i="1" s="1"/>
  <c r="BX204" i="1"/>
  <c r="CB204" i="1" s="1"/>
  <c r="BX236" i="1"/>
  <c r="CA236" i="1" s="1"/>
  <c r="CB236" i="1" s="1"/>
  <c r="BX269" i="1"/>
  <c r="CA269" i="1" s="1"/>
  <c r="CB269" i="1" s="1"/>
  <c r="BX301" i="1"/>
  <c r="CA301" i="1" s="1"/>
  <c r="CB301" i="1" s="1"/>
  <c r="BX268" i="1"/>
  <c r="CA268" i="1" s="1"/>
  <c r="CB268" i="1" s="1"/>
  <c r="BX300" i="1"/>
  <c r="CA300" i="1" s="1"/>
  <c r="CB300" i="1" s="1"/>
  <c r="CH210" i="1"/>
  <c r="CH242" i="1"/>
  <c r="CK242" i="1" s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L13" i="1"/>
  <c r="AM13" i="1" s="1"/>
  <c r="AL46" i="1"/>
  <c r="AM46" i="1" s="1"/>
  <c r="BD162" i="1"/>
  <c r="BD226" i="1"/>
  <c r="BD291" i="1"/>
  <c r="BG291" i="1" s="1"/>
  <c r="BH291" i="1" s="1"/>
  <c r="BD208" i="1"/>
  <c r="BG208" i="1" s="1"/>
  <c r="BH208" i="1" s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O69" i="1" s="1"/>
  <c r="DP69" i="1" s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O199" i="1" s="1"/>
  <c r="DP199" i="1" s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G196" i="1" s="1"/>
  <c r="BH196" i="1" s="1"/>
  <c r="BD74" i="1"/>
  <c r="BG74" i="1" s="1"/>
  <c r="BH74" i="1" s="1"/>
  <c r="DL46" i="1"/>
  <c r="DO46" i="1" s="1"/>
  <c r="DP46" i="1" s="1"/>
  <c r="FE263" i="1"/>
  <c r="FF263" i="1" s="1"/>
  <c r="DL270" i="1"/>
  <c r="DP270" i="1" s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DO214" i="1" s="1"/>
  <c r="DP214" i="1" s="1"/>
  <c r="FE305" i="1"/>
  <c r="FF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N263" i="1"/>
  <c r="BX219" i="1"/>
  <c r="CA219" i="1" s="1"/>
  <c r="CB219" i="1" s="1"/>
  <c r="BX34" i="1"/>
  <c r="CA34" i="1" s="1"/>
  <c r="CB34" i="1" s="1"/>
  <c r="BX66" i="1"/>
  <c r="CA66" i="1" s="1"/>
  <c r="CB66" i="1" s="1"/>
  <c r="BX98" i="1"/>
  <c r="CA98" i="1" s="1"/>
  <c r="CB98" i="1" s="1"/>
  <c r="BX131" i="1"/>
  <c r="CA131" i="1" s="1"/>
  <c r="CB131" i="1" s="1"/>
  <c r="BX164" i="1"/>
  <c r="CA164" i="1" s="1"/>
  <c r="CB164" i="1" s="1"/>
  <c r="BX196" i="1"/>
  <c r="CA196" i="1" s="1"/>
  <c r="CB196" i="1" s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CA259" i="1" s="1"/>
  <c r="CB259" i="1" s="1"/>
  <c r="BX292" i="1"/>
  <c r="CA292" i="1" s="1"/>
  <c r="CB292" i="1" s="1"/>
  <c r="BX5" i="1"/>
  <c r="CA5" i="1" s="1"/>
  <c r="CB5" i="1" s="1"/>
  <c r="BX200" i="1"/>
  <c r="CB200" i="1" s="1"/>
  <c r="BX30" i="1"/>
  <c r="CA30" i="1" s="1"/>
  <c r="CB30" i="1" s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K219" i="1" s="1"/>
  <c r="CL219" i="1" s="1"/>
  <c r="CH31" i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A211" i="1" s="1"/>
  <c r="CB211" i="1" s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K240" i="1" s="1"/>
  <c r="CL240" i="1" s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CA180" i="1" s="1"/>
  <c r="CB180" i="1" s="1"/>
  <c r="BX212" i="1"/>
  <c r="CA212" i="1" s="1"/>
  <c r="CB212" i="1" s="1"/>
  <c r="BX244" i="1"/>
  <c r="CA244" i="1" s="1"/>
  <c r="CB244" i="1" s="1"/>
  <c r="BX277" i="1"/>
  <c r="CA277" i="1" s="1"/>
  <c r="CB277" i="1" s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K131" i="1" s="1"/>
  <c r="CL131" i="1" s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K218" i="1" s="1"/>
  <c r="CL218" i="1" s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U54" i="1" s="1"/>
  <c r="CV54" i="1" s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U59" i="1" s="1"/>
  <c r="CV59" i="1" s="1"/>
  <c r="CR253" i="1"/>
  <c r="CU253" i="1" s="1"/>
  <c r="CV253" i="1" s="1"/>
  <c r="CR36" i="1"/>
  <c r="CU36" i="1" s="1"/>
  <c r="CV36" i="1" s="1"/>
  <c r="CR247" i="1"/>
  <c r="CR208" i="1"/>
  <c r="CU208" i="1" s="1"/>
  <c r="CV208" i="1" s="1"/>
  <c r="AL120" i="1"/>
  <c r="AM120" i="1" s="1"/>
  <c r="CR174" i="1"/>
  <c r="CU174" i="1" s="1"/>
  <c r="CV174" i="1" s="1"/>
  <c r="CR238" i="1"/>
  <c r="CU238" i="1" s="1"/>
  <c r="CV238" i="1" s="1"/>
  <c r="CR303" i="1"/>
  <c r="CU303" i="1" s="1"/>
  <c r="CV303" i="1" s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FE295" i="1"/>
  <c r="FF295" i="1" s="1"/>
  <c r="FE254" i="1"/>
  <c r="FF254" i="1" s="1"/>
  <c r="BD215" i="1"/>
  <c r="BG215" i="1" s="1"/>
  <c r="BH215" i="1" s="1"/>
  <c r="BD56" i="1"/>
  <c r="BG56" i="1" s="1"/>
  <c r="BH56" i="1" s="1"/>
  <c r="BD228" i="1"/>
  <c r="BD214" i="1"/>
  <c r="BD39" i="1"/>
  <c r="BG39" i="1" s="1"/>
  <c r="BH39" i="1" s="1"/>
  <c r="BD272" i="1"/>
  <c r="BG272" i="1" s="1"/>
  <c r="BH272" i="1" s="1"/>
  <c r="BD178" i="1"/>
  <c r="BD242" i="1"/>
  <c r="BG242" i="1" s="1"/>
  <c r="BH242" i="1" s="1"/>
  <c r="AV179" i="1"/>
  <c r="AV243" i="1"/>
  <c r="AW243" i="1" s="1"/>
  <c r="AV51" i="1"/>
  <c r="AW51" i="1" s="1"/>
  <c r="AV115" i="1"/>
  <c r="AW115" i="1" s="1"/>
  <c r="AV68" i="1"/>
  <c r="AW68" i="1" s="1"/>
  <c r="BD129" i="1"/>
  <c r="BG129" i="1" s="1"/>
  <c r="BH129" i="1" s="1"/>
  <c r="BD194" i="1"/>
  <c r="BH194" i="1" s="1"/>
  <c r="BD258" i="1"/>
  <c r="BG258" i="1" s="1"/>
  <c r="BH258" i="1" s="1"/>
  <c r="AV57" i="1"/>
  <c r="AW57" i="1" s="1"/>
  <c r="AV121" i="1"/>
  <c r="AW121" i="1" s="1"/>
  <c r="AV144" i="1"/>
  <c r="AW144" i="1" s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G117" i="1" s="1"/>
  <c r="BH117" i="1" s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BG150" i="1" s="1"/>
  <c r="BH150" i="1" s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Y9" i="1" s="1"/>
  <c r="DV42" i="1"/>
  <c r="DY42" i="1" s="1"/>
  <c r="DZ42" i="1" s="1"/>
  <c r="DV74" i="1"/>
  <c r="DY74" i="1" s="1"/>
  <c r="DZ74" i="1" s="1"/>
  <c r="DV106" i="1"/>
  <c r="DY106" i="1" s="1"/>
  <c r="DZ106" i="1" s="1"/>
  <c r="DV140" i="1"/>
  <c r="DY140" i="1" s="1"/>
  <c r="DZ140" i="1" s="1"/>
  <c r="DV172" i="1"/>
  <c r="DV204" i="1"/>
  <c r="DZ204" i="1" s="1"/>
  <c r="DV236" i="1"/>
  <c r="DY236" i="1" s="1"/>
  <c r="DV269" i="1"/>
  <c r="DY269" i="1" s="1"/>
  <c r="DV301" i="1"/>
  <c r="DV27" i="1"/>
  <c r="DY27" i="1" s="1"/>
  <c r="DV59" i="1"/>
  <c r="DY59" i="1" s="1"/>
  <c r="DZ59" i="1" s="1"/>
  <c r="DV91" i="1"/>
  <c r="DY91" i="1" s="1"/>
  <c r="DZ91" i="1" s="1"/>
  <c r="DV124" i="1"/>
  <c r="DV157" i="1"/>
  <c r="DV189" i="1"/>
  <c r="DY189" i="1" s="1"/>
  <c r="DV221" i="1"/>
  <c r="DY221" i="1" s="1"/>
  <c r="DZ221" i="1" s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Y227" i="1" s="1"/>
  <c r="DZ227" i="1" s="1"/>
  <c r="DV259" i="1"/>
  <c r="DY259" i="1" s="1"/>
  <c r="DV292" i="1"/>
  <c r="DV297" i="1"/>
  <c r="DY297" i="1" s="1"/>
  <c r="DB21" i="1"/>
  <c r="DE21" i="1" s="1"/>
  <c r="DF21" i="1" s="1"/>
  <c r="DV52" i="1"/>
  <c r="DY52" i="1" s="1"/>
  <c r="DZ52" i="1" s="1"/>
  <c r="DB166" i="1"/>
  <c r="DE166" i="1" s="1"/>
  <c r="DF166" i="1" s="1"/>
  <c r="DV287" i="1"/>
  <c r="DY287" i="1" s="1"/>
  <c r="DZ287" i="1" s="1"/>
  <c r="DV8" i="1"/>
  <c r="DY8" i="1" s="1"/>
  <c r="DZ8" i="1" s="1"/>
  <c r="DV41" i="1"/>
  <c r="DY41" i="1" s="1"/>
  <c r="DZ41" i="1" s="1"/>
  <c r="DV73" i="1"/>
  <c r="DV105" i="1"/>
  <c r="DY105" i="1" s="1"/>
  <c r="DV139" i="1"/>
  <c r="DY139" i="1" s="1"/>
  <c r="DZ139" i="1" s="1"/>
  <c r="DV203" i="1"/>
  <c r="DY203" i="1" s="1"/>
  <c r="DV235" i="1"/>
  <c r="DY235" i="1" s="1"/>
  <c r="DZ235" i="1" s="1"/>
  <c r="DV268" i="1"/>
  <c r="DY268" i="1" s="1"/>
  <c r="DV300" i="1"/>
  <c r="DY300" i="1" s="1"/>
  <c r="DB28" i="1"/>
  <c r="DE28" i="1" s="1"/>
  <c r="DF28" i="1" s="1"/>
  <c r="DB151" i="1"/>
  <c r="DB292" i="1"/>
  <c r="DE292" i="1" s="1"/>
  <c r="DF292" i="1" s="1"/>
  <c r="DB225" i="1"/>
  <c r="DE225" i="1" s="1"/>
  <c r="DF225" i="1" s="1"/>
  <c r="DB239" i="1"/>
  <c r="DE239" i="1" s="1"/>
  <c r="DF239" i="1" s="1"/>
  <c r="DB167" i="1"/>
  <c r="DE167" i="1" s="1"/>
  <c r="DF167" i="1" s="1"/>
  <c r="DB23" i="1"/>
  <c r="DB92" i="1"/>
  <c r="DE92" i="1" s="1"/>
  <c r="DF92" i="1" s="1"/>
  <c r="DB251" i="1"/>
  <c r="DB304" i="1"/>
  <c r="DB300" i="1"/>
  <c r="DE300" i="1" s="1"/>
  <c r="DF300" i="1" s="1"/>
  <c r="DB19" i="1"/>
  <c r="DE19" i="1" s="1"/>
  <c r="DF19" i="1" s="1"/>
  <c r="DB51" i="1"/>
  <c r="DE51" i="1" s="1"/>
  <c r="DF51" i="1" s="1"/>
  <c r="DB83" i="1"/>
  <c r="DE83" i="1" s="1"/>
  <c r="DF83" i="1" s="1"/>
  <c r="DB115" i="1"/>
  <c r="DB149" i="1"/>
  <c r="DE149" i="1" s="1"/>
  <c r="DF149" i="1" s="1"/>
  <c r="DB181" i="1"/>
  <c r="DE181" i="1" s="1"/>
  <c r="DF181" i="1" s="1"/>
  <c r="DB213" i="1"/>
  <c r="DB245" i="1"/>
  <c r="DE245" i="1" s="1"/>
  <c r="DF245" i="1" s="1"/>
  <c r="DB278" i="1"/>
  <c r="DE278" i="1" s="1"/>
  <c r="DF278" i="1" s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BN121" i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Q195" i="1" s="1"/>
  <c r="BR195" i="1" s="1"/>
  <c r="BN259" i="1"/>
  <c r="BQ259" i="1" s="1"/>
  <c r="BR259" i="1" s="1"/>
  <c r="BN23" i="1"/>
  <c r="BN294" i="1"/>
  <c r="BX41" i="1"/>
  <c r="BX105" i="1"/>
  <c r="CA105" i="1" s="1"/>
  <c r="CB105" i="1" s="1"/>
  <c r="BX235" i="1"/>
  <c r="CA235" i="1" s="1"/>
  <c r="CB235" i="1" s="1"/>
  <c r="BX154" i="1"/>
  <c r="CA154" i="1" s="1"/>
  <c r="CB154" i="1" s="1"/>
  <c r="BX176" i="1"/>
  <c r="CA176" i="1" s="1"/>
  <c r="CB176" i="1" s="1"/>
  <c r="BX49" i="1"/>
  <c r="CA49" i="1" s="1"/>
  <c r="CB49" i="1" s="1"/>
  <c r="BX113" i="1"/>
  <c r="CA113" i="1" s="1"/>
  <c r="CB113" i="1" s="1"/>
  <c r="BX179" i="1"/>
  <c r="CA179" i="1" s="1"/>
  <c r="CB179" i="1" s="1"/>
  <c r="BX243" i="1"/>
  <c r="CA243" i="1" s="1"/>
  <c r="CB243" i="1" s="1"/>
  <c r="BX304" i="1"/>
  <c r="CA304" i="1" s="1"/>
  <c r="CB304" i="1" s="1"/>
  <c r="BX16" i="1"/>
  <c r="CA16" i="1" s="1"/>
  <c r="CB16" i="1" s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CA73" i="1" s="1"/>
  <c r="CB73" i="1" s="1"/>
  <c r="BX139" i="1"/>
  <c r="CA139" i="1" s="1"/>
  <c r="CB139" i="1" s="1"/>
  <c r="BX203" i="1"/>
  <c r="CA203" i="1" s="1"/>
  <c r="CB203" i="1" s="1"/>
  <c r="BX273" i="1"/>
  <c r="CA273" i="1" s="1"/>
  <c r="CB273" i="1" s="1"/>
  <c r="BX86" i="1"/>
  <c r="CA86" i="1" s="1"/>
  <c r="CB86" i="1" s="1"/>
  <c r="BX109" i="1"/>
  <c r="CA109" i="1" s="1"/>
  <c r="CB109" i="1" s="1"/>
  <c r="BX23" i="1"/>
  <c r="CA23" i="1" s="1"/>
  <c r="CB23" i="1" s="1"/>
  <c r="BX216" i="1"/>
  <c r="CA216" i="1" s="1"/>
  <c r="CB216" i="1" s="1"/>
  <c r="BX265" i="1"/>
  <c r="CA265" i="1" s="1"/>
  <c r="CB265" i="1" s="1"/>
  <c r="BX136" i="1"/>
  <c r="CA136" i="1" s="1"/>
  <c r="CB136" i="1" s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CA227" i="1" s="1"/>
  <c r="CB227" i="1" s="1"/>
  <c r="BX14" i="1"/>
  <c r="CA14" i="1" s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K257" i="1" s="1"/>
  <c r="CL257" i="1" s="1"/>
  <c r="CH290" i="1"/>
  <c r="CA127" i="1"/>
  <c r="CB127" i="1" s="1"/>
  <c r="CA13" i="1"/>
  <c r="CB13" i="1" s="1"/>
  <c r="CH59" i="1"/>
  <c r="CH229" i="1"/>
  <c r="CK229" i="1" s="1"/>
  <c r="CL229" i="1" s="1"/>
  <c r="CA120" i="1"/>
  <c r="CB120" i="1" s="1"/>
  <c r="BX234" i="1"/>
  <c r="CA234" i="1" s="1"/>
  <c r="CB234" i="1" s="1"/>
  <c r="FE174" i="1"/>
  <c r="FF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K137" i="1" s="1"/>
  <c r="CL137" i="1" s="1"/>
  <c r="CH169" i="1"/>
  <c r="CK169" i="1" s="1"/>
  <c r="CL169" i="1" s="1"/>
  <c r="CH201" i="1"/>
  <c r="CH233" i="1"/>
  <c r="CK233" i="1" s="1"/>
  <c r="CL233" i="1" s="1"/>
  <c r="CH266" i="1"/>
  <c r="CK266" i="1" s="1"/>
  <c r="CL266" i="1" s="1"/>
  <c r="CH298" i="1"/>
  <c r="CK298" i="1" s="1"/>
  <c r="CL298" i="1" s="1"/>
  <c r="CH117" i="1"/>
  <c r="CK117" i="1" s="1"/>
  <c r="CL117" i="1" s="1"/>
  <c r="CA129" i="1"/>
  <c r="CB129" i="1" s="1"/>
  <c r="CH99" i="1"/>
  <c r="CK99" i="1" s="1"/>
  <c r="CL99" i="1" s="1"/>
  <c r="CH245" i="1"/>
  <c r="CK245" i="1" s="1"/>
  <c r="CL245" i="1" s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B2" i="1" s="1"/>
  <c r="CH65" i="1"/>
  <c r="CH167" i="1"/>
  <c r="CK167" i="1" s="1"/>
  <c r="CL167" i="1" s="1"/>
  <c r="CA144" i="1"/>
  <c r="CB144" i="1" s="1"/>
  <c r="CH43" i="1"/>
  <c r="CK43" i="1" s="1"/>
  <c r="CL43" i="1" s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K202" i="1" s="1"/>
  <c r="CL202" i="1" s="1"/>
  <c r="CH130" i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K244" i="1" s="1"/>
  <c r="CL244" i="1" s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U245" i="1" s="1"/>
  <c r="CV245" i="1" s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U100" i="1" s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U127" i="1" s="1"/>
  <c r="CV127" i="1" s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L70" i="1"/>
  <c r="AM70" i="1" s="1"/>
  <c r="CR226" i="1"/>
  <c r="CU226" i="1" s="1"/>
  <c r="CV226" i="1" s="1"/>
  <c r="CR291" i="1"/>
  <c r="CU291" i="1" s="1"/>
  <c r="CV291" i="1" s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L34" i="1"/>
  <c r="AM34" i="1" s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L121" i="1"/>
  <c r="AM121" i="1" s="1"/>
  <c r="AM147" i="1"/>
  <c r="AV59" i="1"/>
  <c r="AW59" i="1" s="1"/>
  <c r="AV124" i="1"/>
  <c r="AW124" i="1" s="1"/>
  <c r="AV189" i="1"/>
  <c r="AW189" i="1" s="1"/>
  <c r="AV253" i="1"/>
  <c r="AW253" i="1" s="1"/>
  <c r="AV130" i="1"/>
  <c r="AW130" i="1" s="1"/>
  <c r="AV195" i="1"/>
  <c r="AW195" i="1" s="1"/>
  <c r="AV67" i="1"/>
  <c r="AW67" i="1" s="1"/>
  <c r="AV132" i="1"/>
  <c r="AW132" i="1" s="1"/>
  <c r="AV197" i="1"/>
  <c r="AW197" i="1" s="1"/>
  <c r="AV261" i="1"/>
  <c r="AW261" i="1" s="1"/>
  <c r="AV100" i="1"/>
  <c r="AW100" i="1" s="1"/>
  <c r="AV8" i="1"/>
  <c r="AW8" i="1" s="1"/>
  <c r="AV73" i="1"/>
  <c r="AW73" i="1" s="1"/>
  <c r="AV139" i="1"/>
  <c r="AW139" i="1" s="1"/>
  <c r="AV203" i="1"/>
  <c r="AV268" i="1"/>
  <c r="AW268" i="1" s="1"/>
  <c r="AV10" i="1"/>
  <c r="AW10" i="1" s="1"/>
  <c r="AV75" i="1"/>
  <c r="AW75" i="1" s="1"/>
  <c r="AV141" i="1"/>
  <c r="AW141" i="1" s="1"/>
  <c r="AV242" i="1"/>
  <c r="AW242" i="1" s="1"/>
  <c r="AV160" i="1"/>
  <c r="AW160" i="1" s="1"/>
  <c r="AV168" i="1"/>
  <c r="AW168" i="1" s="1"/>
  <c r="AV210" i="1"/>
  <c r="AW210" i="1" s="1"/>
  <c r="AV276" i="1"/>
  <c r="AW276" i="1" s="1"/>
  <c r="AV19" i="1"/>
  <c r="AW19" i="1" s="1"/>
  <c r="AV83" i="1"/>
  <c r="AW83" i="1" s="1"/>
  <c r="AV213" i="1"/>
  <c r="AW213" i="1" s="1"/>
  <c r="AV13" i="1"/>
  <c r="AW13" i="1" s="1"/>
  <c r="AV155" i="1"/>
  <c r="AW155" i="1" s="1"/>
  <c r="AV27" i="1"/>
  <c r="AW27" i="1" s="1"/>
  <c r="AV91" i="1"/>
  <c r="AW91" i="1" s="1"/>
  <c r="AV157" i="1"/>
  <c r="AW157" i="1" s="1"/>
  <c r="AV221" i="1"/>
  <c r="AW221" i="1" s="1"/>
  <c r="AV33" i="1"/>
  <c r="AW33" i="1" s="1"/>
  <c r="AV97" i="1"/>
  <c r="AW97" i="1" s="1"/>
  <c r="AV163" i="1"/>
  <c r="AW163" i="1" s="1"/>
  <c r="AV227" i="1"/>
  <c r="AW227" i="1" s="1"/>
  <c r="AV292" i="1"/>
  <c r="AW292" i="1" s="1"/>
  <c r="AV229" i="1"/>
  <c r="AW229" i="1" s="1"/>
  <c r="AV294" i="1"/>
  <c r="AW294" i="1" s="1"/>
  <c r="AV72" i="1"/>
  <c r="AW72" i="1" s="1"/>
  <c r="R137" i="1"/>
  <c r="S137" i="1" s="1"/>
  <c r="AV41" i="1"/>
  <c r="AW41" i="1" s="1"/>
  <c r="AV235" i="1"/>
  <c r="AW235" i="1" s="1"/>
  <c r="AV300" i="1"/>
  <c r="AW300" i="1" s="1"/>
  <c r="AV173" i="1"/>
  <c r="AW173" i="1" s="1"/>
  <c r="AV237" i="1"/>
  <c r="AW237" i="1" s="1"/>
  <c r="AV302" i="1"/>
  <c r="AW302" i="1" s="1"/>
  <c r="AV267" i="1"/>
  <c r="AW267" i="1" s="1"/>
  <c r="AV273" i="1"/>
  <c r="AW273" i="1" s="1"/>
  <c r="AV186" i="1"/>
  <c r="AW186" i="1" s="1"/>
  <c r="BD154" i="1"/>
  <c r="BG154" i="1" s="1"/>
  <c r="BH154" i="1" s="1"/>
  <c r="BD218" i="1"/>
  <c r="BG218" i="1" s="1"/>
  <c r="BH218" i="1" s="1"/>
  <c r="BD283" i="1"/>
  <c r="BG283" i="1" s="1"/>
  <c r="BH283" i="1" s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G280" i="1" s="1"/>
  <c r="BH280" i="1" s="1"/>
  <c r="BD168" i="1"/>
  <c r="BG168" i="1" s="1"/>
  <c r="BH168" i="1" s="1"/>
  <c r="BD232" i="1"/>
  <c r="BG232" i="1" s="1"/>
  <c r="BH232" i="1" s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V64" i="1"/>
  <c r="AW64" i="1" s="1"/>
  <c r="BD198" i="1"/>
  <c r="BG198" i="1" s="1"/>
  <c r="BH198" i="1" s="1"/>
  <c r="BD295" i="1"/>
  <c r="BG295" i="1" s="1"/>
  <c r="BH295" i="1" s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BG111" i="1" s="1"/>
  <c r="BH111" i="1" s="1"/>
  <c r="AV23" i="1"/>
  <c r="AW23" i="1" s="1"/>
  <c r="AV234" i="1"/>
  <c r="AW234" i="1" s="1"/>
  <c r="AV95" i="1"/>
  <c r="AW95" i="1" s="1"/>
  <c r="AV184" i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V88" i="1"/>
  <c r="AW88" i="1" s="1"/>
  <c r="AV3" i="1"/>
  <c r="AW3" i="1" s="1"/>
  <c r="AV39" i="1"/>
  <c r="AW39" i="1" s="1"/>
  <c r="AV192" i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V111" i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V104" i="1"/>
  <c r="AW104" i="1" s="1"/>
  <c r="AV20" i="1"/>
  <c r="AW20" i="1" s="1"/>
  <c r="AV55" i="1"/>
  <c r="AW55" i="1" s="1"/>
  <c r="AV119" i="1"/>
  <c r="AW119" i="1" s="1"/>
  <c r="BD122" i="1"/>
  <c r="BG122" i="1" s="1"/>
  <c r="BH122" i="1" s="1"/>
  <c r="BD252" i="1"/>
  <c r="BG252" i="1" s="1"/>
  <c r="BH252" i="1" s="1"/>
  <c r="BD144" i="1"/>
  <c r="BG144" i="1" s="1"/>
  <c r="BH144" i="1" s="1"/>
  <c r="BD273" i="1"/>
  <c r="BD249" i="1"/>
  <c r="BG249" i="1" s="1"/>
  <c r="BH249" i="1" s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V32" i="1"/>
  <c r="AW32" i="1" s="1"/>
  <c r="AV178" i="1"/>
  <c r="AW178" i="1" s="1"/>
  <c r="AW204" i="1"/>
  <c r="AV63" i="1"/>
  <c r="AW63" i="1" s="1"/>
  <c r="AV128" i="1"/>
  <c r="AW128" i="1" s="1"/>
  <c r="BD216" i="1"/>
  <c r="BD281" i="1"/>
  <c r="BG281" i="1" s="1"/>
  <c r="BH281" i="1" s="1"/>
  <c r="AV248" i="1"/>
  <c r="AW248" i="1" s="1"/>
  <c r="AV28" i="1"/>
  <c r="AW28" i="1" s="1"/>
  <c r="AV120" i="1"/>
  <c r="AW120" i="1" s="1"/>
  <c r="AW194" i="1"/>
  <c r="AV44" i="1"/>
  <c r="AW44" i="1" s="1"/>
  <c r="AV256" i="1"/>
  <c r="AW256" i="1" s="1"/>
  <c r="BD166" i="1"/>
  <c r="BG166" i="1" s="1"/>
  <c r="BH166" i="1" s="1"/>
  <c r="BD279" i="1"/>
  <c r="BG279" i="1" s="1"/>
  <c r="BH279" i="1" s="1"/>
  <c r="BD160" i="1"/>
  <c r="BG160" i="1" s="1"/>
  <c r="BH160" i="1" s="1"/>
  <c r="BD289" i="1"/>
  <c r="BG289" i="1" s="1"/>
  <c r="BH289" i="1" s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V48" i="1"/>
  <c r="AW48" i="1" s="1"/>
  <c r="AV52" i="1"/>
  <c r="AW52" i="1" s="1"/>
  <c r="AW61" i="1"/>
  <c r="AV38" i="1"/>
  <c r="AW38" i="1" s="1"/>
  <c r="AV127" i="1"/>
  <c r="AW127" i="1" s="1"/>
  <c r="AV14" i="1"/>
  <c r="AW14" i="1" s="1"/>
  <c r="AV79" i="1"/>
  <c r="AW79" i="1" s="1"/>
  <c r="AV281" i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O153" i="1" s="1"/>
  <c r="DP153" i="1" s="1"/>
  <c r="DL78" i="1"/>
  <c r="DO78" i="1" s="1"/>
  <c r="DP78" i="1" s="1"/>
  <c r="BD95" i="1"/>
  <c r="BG95" i="1" s="1"/>
  <c r="BH95" i="1" s="1"/>
  <c r="DL27" i="1"/>
  <c r="DL91" i="1"/>
  <c r="DO91" i="1" s="1"/>
  <c r="DP91" i="1" s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O271" i="1" s="1"/>
  <c r="DP271" i="1" s="1"/>
  <c r="DL303" i="1"/>
  <c r="DO303" i="1" s="1"/>
  <c r="DP303" i="1" s="1"/>
  <c r="DL161" i="1"/>
  <c r="DO161" i="1" s="1"/>
  <c r="DP161" i="1" s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O126" i="1" s="1"/>
  <c r="DP126" i="1" s="1"/>
  <c r="DL159" i="1"/>
  <c r="DO159" i="1" s="1"/>
  <c r="DP159" i="1" s="1"/>
  <c r="DL191" i="1"/>
  <c r="DO191" i="1" s="1"/>
  <c r="DP191" i="1" s="1"/>
  <c r="DL223" i="1"/>
  <c r="EN223" i="1" s="1"/>
  <c r="DL255" i="1"/>
  <c r="DO255" i="1" s="1"/>
  <c r="DP255" i="1" s="1"/>
  <c r="DL288" i="1"/>
  <c r="DO288" i="1" s="1"/>
  <c r="DP288" i="1" s="1"/>
  <c r="DL282" i="1"/>
  <c r="DO282" i="1" s="1"/>
  <c r="DP282" i="1" s="1"/>
  <c r="DL138" i="1"/>
  <c r="DP138" i="1" s="1"/>
  <c r="DL168" i="1"/>
  <c r="DO168" i="1" s="1"/>
  <c r="DP168" i="1" s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O51" i="1" s="1"/>
  <c r="DP51" i="1" s="1"/>
  <c r="DL115" i="1"/>
  <c r="DO115" i="1" s="1"/>
  <c r="DP115" i="1" s="1"/>
  <c r="DL152" i="1"/>
  <c r="DO152" i="1" s="1"/>
  <c r="DP152" i="1" s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O181" i="1" s="1"/>
  <c r="DP181" i="1" s="1"/>
  <c r="DL213" i="1"/>
  <c r="DO213" i="1" s="1"/>
  <c r="DP213" i="1" s="1"/>
  <c r="DL245" i="1"/>
  <c r="DO245" i="1" s="1"/>
  <c r="DP245" i="1" s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O92" i="1" s="1"/>
  <c r="DP92" i="1" s="1"/>
  <c r="DL125" i="1"/>
  <c r="DO125" i="1" s="1"/>
  <c r="DP125" i="1" s="1"/>
  <c r="DL158" i="1"/>
  <c r="DO158" i="1" s="1"/>
  <c r="DP158" i="1" s="1"/>
  <c r="DL190" i="1"/>
  <c r="DO190" i="1" s="1"/>
  <c r="DP190" i="1" s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DO30" i="1" s="1"/>
  <c r="DP30" i="1" s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O281" i="1" s="1"/>
  <c r="DP281" i="1" s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FE262" i="1"/>
  <c r="FF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Y58" i="1" s="1"/>
  <c r="DV90" i="1"/>
  <c r="DY90" i="1" s="1"/>
  <c r="DZ90" i="1" s="1"/>
  <c r="DV122" i="1"/>
  <c r="DY122" i="1" s="1"/>
  <c r="DZ122" i="1" s="1"/>
  <c r="DV156" i="1"/>
  <c r="DY156" i="1" s="1"/>
  <c r="DV188" i="1"/>
  <c r="DV220" i="1"/>
  <c r="DY220" i="1" s="1"/>
  <c r="DZ220" i="1" s="1"/>
  <c r="DV252" i="1"/>
  <c r="DY252" i="1" s="1"/>
  <c r="DZ252" i="1" s="1"/>
  <c r="DV285" i="1"/>
  <c r="DV10" i="1"/>
  <c r="DY10" i="1" s="1"/>
  <c r="DZ10" i="1" s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Z270" i="1" s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Y66" i="1" s="1"/>
  <c r="DZ66" i="1" s="1"/>
  <c r="DV98" i="1"/>
  <c r="DY98" i="1" s="1"/>
  <c r="DV131" i="1"/>
  <c r="DV164" i="1"/>
  <c r="DY164" i="1" s="1"/>
  <c r="DZ164" i="1" s="1"/>
  <c r="DV196" i="1"/>
  <c r="DY196" i="1" s="1"/>
  <c r="DZ196" i="1" s="1"/>
  <c r="DV228" i="1"/>
  <c r="DY228" i="1" s="1"/>
  <c r="DZ228" i="1" s="1"/>
  <c r="DV260" i="1"/>
  <c r="DY260" i="1" s="1"/>
  <c r="DZ260" i="1" s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Y149" i="1" s="1"/>
  <c r="DZ149" i="1" s="1"/>
  <c r="DV181" i="1"/>
  <c r="DY181" i="1" s="1"/>
  <c r="DV213" i="1"/>
  <c r="DY213" i="1" s="1"/>
  <c r="DZ213" i="1" s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Y57" i="1" s="1"/>
  <c r="DZ57" i="1" s="1"/>
  <c r="DV89" i="1"/>
  <c r="DY89" i="1" s="1"/>
  <c r="DZ89" i="1" s="1"/>
  <c r="DV121" i="1"/>
  <c r="DY121" i="1" s="1"/>
  <c r="DZ121" i="1" s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E59" i="1" s="1"/>
  <c r="DF59" i="1" s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Z53" i="1" s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E165" i="1" s="1"/>
  <c r="DF165" i="1" s="1"/>
  <c r="DB197" i="1"/>
  <c r="DE197" i="1" s="1"/>
  <c r="DF197" i="1" s="1"/>
  <c r="DB229" i="1"/>
  <c r="DE229" i="1" s="1"/>
  <c r="DF229" i="1" s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Q124" i="1" s="1"/>
  <c r="BR124" i="1" s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Q95" i="1" s="1"/>
  <c r="BR95" i="1" s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R138" i="1" s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Q245" i="1" s="1"/>
  <c r="BR245" i="1" s="1"/>
  <c r="BN244" i="1"/>
  <c r="BN196" i="1"/>
  <c r="BQ196" i="1" s="1"/>
  <c r="BR196" i="1" s="1"/>
  <c r="BN260" i="1"/>
  <c r="BN140" i="1"/>
  <c r="BN204" i="1"/>
  <c r="BR204" i="1" s="1"/>
  <c r="BN269" i="1"/>
  <c r="BQ269" i="1" s="1"/>
  <c r="BR269" i="1" s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Q220" i="1" s="1"/>
  <c r="BR220" i="1" s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C215" i="1" s="1"/>
  <c r="AB283" i="1"/>
  <c r="AC283" i="1" s="1"/>
  <c r="FE134" i="1"/>
  <c r="FF134" i="1" s="1"/>
  <c r="AB77" i="1"/>
  <c r="AC77" i="1" s="1"/>
  <c r="AB162" i="1"/>
  <c r="AC162" i="1" s="1"/>
  <c r="AB236" i="1"/>
  <c r="AC236" i="1" s="1"/>
  <c r="AB69" i="1"/>
  <c r="AC69" i="1" s="1"/>
  <c r="AB11" i="1"/>
  <c r="AC11" i="1" s="1"/>
  <c r="AB35" i="1"/>
  <c r="AC35" i="1" s="1"/>
  <c r="AB275" i="1"/>
  <c r="AC275" i="1" s="1"/>
  <c r="AB122" i="1"/>
  <c r="AC122" i="1" s="1"/>
  <c r="AB191" i="1"/>
  <c r="AC191" i="1" s="1"/>
  <c r="AC200" i="1"/>
  <c r="AB242" i="1"/>
  <c r="AC242" i="1" s="1"/>
  <c r="AB82" i="1"/>
  <c r="AC82" i="1" s="1"/>
  <c r="AC147" i="1"/>
  <c r="AB172" i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AB101" i="1"/>
  <c r="AC101" i="1" s="1"/>
  <c r="AB264" i="1"/>
  <c r="AC264" i="1" s="1"/>
  <c r="AB250" i="1"/>
  <c r="AC250" i="1" s="1"/>
  <c r="AB255" i="1"/>
  <c r="AC255" i="1" s="1"/>
  <c r="AB234" i="1"/>
  <c r="AC234" i="1" s="1"/>
  <c r="AB50" i="1"/>
  <c r="AC50" i="1" s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C12" i="1" s="1"/>
  <c r="AB22" i="1"/>
  <c r="AC22" i="1" s="1"/>
  <c r="AB21" i="1"/>
  <c r="AC21" i="1" s="1"/>
  <c r="AB85" i="1"/>
  <c r="AC85" i="1" s="1"/>
  <c r="AB45" i="1"/>
  <c r="AC45" i="1" s="1"/>
  <c r="AB109" i="1"/>
  <c r="AC109" i="1" s="1"/>
  <c r="AB13" i="1"/>
  <c r="AC13" i="1" s="1"/>
  <c r="AB207" i="1"/>
  <c r="AC207" i="1" s="1"/>
  <c r="AC194" i="1"/>
  <c r="AB258" i="1"/>
  <c r="AC258" i="1" s="1"/>
  <c r="AB188" i="1"/>
  <c r="AC188" i="1" s="1"/>
  <c r="R32" i="1"/>
  <c r="S32" i="1" s="1"/>
  <c r="R139" i="1"/>
  <c r="S139" i="1" s="1"/>
  <c r="R144" i="1"/>
  <c r="S144" i="1" s="1"/>
  <c r="R98" i="1"/>
  <c r="S98" i="1" s="1"/>
  <c r="R269" i="1"/>
  <c r="S269" i="1" s="1"/>
  <c r="R155" i="1"/>
  <c r="R151" i="1"/>
  <c r="S151" i="1" s="1"/>
  <c r="R157" i="1"/>
  <c r="S157" i="1" s="1"/>
  <c r="R245" i="1"/>
  <c r="S245" i="1" s="1"/>
  <c r="R294" i="1"/>
  <c r="S294" i="1" s="1"/>
  <c r="R253" i="1"/>
  <c r="S253" i="1" s="1"/>
  <c r="R101" i="1"/>
  <c r="S101" i="1" s="1"/>
  <c r="R166" i="1"/>
  <c r="R255" i="1"/>
  <c r="S255" i="1" s="1"/>
  <c r="R55" i="1"/>
  <c r="S55" i="1" s="1"/>
  <c r="R177" i="1"/>
  <c r="S177" i="1" s="1"/>
  <c r="R120" i="1"/>
  <c r="S120" i="1" s="1"/>
  <c r="R152" i="1"/>
  <c r="R203" i="1"/>
  <c r="S203" i="1" s="1"/>
  <c r="R208" i="1"/>
  <c r="S208" i="1" s="1"/>
  <c r="R131" i="1"/>
  <c r="S131" i="1" s="1"/>
  <c r="R212" i="1"/>
  <c r="S212" i="1" s="1"/>
  <c r="R33" i="1"/>
  <c r="S33" i="1" s="1"/>
  <c r="R228" i="1"/>
  <c r="R46" i="1"/>
  <c r="S46" i="1" s="1"/>
  <c r="R158" i="1"/>
  <c r="S158" i="1" s="1"/>
  <c r="R246" i="1"/>
  <c r="S246" i="1" s="1"/>
  <c r="R206" i="1"/>
  <c r="S206" i="1" s="1"/>
  <c r="R124" i="1"/>
  <c r="S124" i="1" s="1"/>
  <c r="R69" i="1"/>
  <c r="S69" i="1" s="1"/>
  <c r="R173" i="1"/>
  <c r="S173" i="1" s="1"/>
  <c r="R47" i="1"/>
  <c r="S47" i="1" s="1"/>
  <c r="R169" i="1"/>
  <c r="S169" i="1" s="1"/>
  <c r="R82" i="1"/>
  <c r="S82" i="1" s="1"/>
  <c r="R243" i="1"/>
  <c r="S243" i="1" s="1"/>
  <c r="R217" i="1"/>
  <c r="R140" i="1"/>
  <c r="S140" i="1" s="1"/>
  <c r="R283" i="1"/>
  <c r="R275" i="1"/>
  <c r="S275" i="1" s="1"/>
  <c r="R91" i="1"/>
  <c r="S91" i="1" s="1"/>
  <c r="R181" i="1"/>
  <c r="S181" i="1" s="1"/>
  <c r="R229" i="1"/>
  <c r="S229" i="1" s="1"/>
  <c r="R21" i="1"/>
  <c r="S21" i="1" s="1"/>
  <c r="R213" i="1"/>
  <c r="S213" i="1" s="1"/>
  <c r="R85" i="1"/>
  <c r="S85" i="1" s="1"/>
  <c r="R27" i="1"/>
  <c r="S27" i="1" s="1"/>
  <c r="R191" i="1"/>
  <c r="S191" i="1" s="1"/>
  <c r="R30" i="1"/>
  <c r="S30" i="1" s="1"/>
  <c r="R59" i="1"/>
  <c r="S59" i="1" s="1"/>
  <c r="R14" i="1"/>
  <c r="S14" i="1" s="1"/>
  <c r="R6" i="1"/>
  <c r="S6" i="1" s="1"/>
  <c r="R240" i="1"/>
  <c r="S240" i="1" s="1"/>
  <c r="R258" i="1"/>
  <c r="S258" i="1" s="1"/>
  <c r="R299" i="1"/>
  <c r="R49" i="1"/>
  <c r="R16" i="1"/>
  <c r="S16" i="1" s="1"/>
  <c r="R236" i="1"/>
  <c r="S236" i="1" s="1"/>
  <c r="R239" i="1"/>
  <c r="S239" i="1" s="1"/>
  <c r="R202" i="1"/>
  <c r="R248" i="1"/>
  <c r="R105" i="1"/>
  <c r="S105" i="1" s="1"/>
  <c r="R22" i="1"/>
  <c r="R190" i="1"/>
  <c r="S190" i="1" s="1"/>
  <c r="R63" i="1"/>
  <c r="S63" i="1" s="1"/>
  <c r="R116" i="1"/>
  <c r="S116" i="1" s="1"/>
  <c r="R185" i="1"/>
  <c r="S185" i="1" s="1"/>
  <c r="R129" i="1"/>
  <c r="S129" i="1" s="1"/>
  <c r="R34" i="1"/>
  <c r="S34" i="1" s="1"/>
  <c r="R95" i="1"/>
  <c r="R26" i="1"/>
  <c r="S26" i="1" s="1"/>
  <c r="R244" i="1"/>
  <c r="S244" i="1" s="1"/>
  <c r="R88" i="1"/>
  <c r="R265" i="1"/>
  <c r="S265" i="1" s="1"/>
  <c r="R261" i="1"/>
  <c r="S261" i="1" s="1"/>
  <c r="R262" i="1"/>
  <c r="S262" i="1" s="1"/>
  <c r="R274" i="1"/>
  <c r="S274" i="1" s="1"/>
  <c r="R143" i="1"/>
  <c r="S143" i="1" s="1"/>
  <c r="AB134" i="1"/>
  <c r="AC134" i="1" s="1"/>
  <c r="R72" i="1"/>
  <c r="R232" i="1"/>
  <c r="S232" i="1" s="1"/>
  <c r="R289" i="1"/>
  <c r="R186" i="1"/>
  <c r="S186" i="1" s="1"/>
  <c r="R225" i="1"/>
  <c r="R268" i="1"/>
  <c r="S268" i="1" s="1"/>
  <c r="R273" i="1"/>
  <c r="S273" i="1" s="1"/>
  <c r="R180" i="1"/>
  <c r="S180" i="1" s="1"/>
  <c r="R220" i="1"/>
  <c r="S220" i="1" s="1"/>
  <c r="R9" i="1"/>
  <c r="S9" i="1" s="1"/>
  <c r="R11" i="1"/>
  <c r="S11" i="1" s="1"/>
  <c r="R159" i="1"/>
  <c r="S159" i="1" s="1"/>
  <c r="R117" i="1"/>
  <c r="S117" i="1" s="1"/>
  <c r="R37" i="1"/>
  <c r="S37" i="1" s="1"/>
  <c r="R127" i="1"/>
  <c r="R278" i="1"/>
  <c r="S278" i="1" s="1"/>
  <c r="R35" i="1"/>
  <c r="S35" i="1" s="1"/>
  <c r="R73" i="1"/>
  <c r="S73" i="1" s="1"/>
  <c r="R52" i="1"/>
  <c r="S52" i="1" s="1"/>
  <c r="R58" i="1"/>
  <c r="S58" i="1" s="1"/>
  <c r="R94" i="1"/>
  <c r="R234" i="1"/>
  <c r="S234" i="1" s="1"/>
  <c r="R179" i="1"/>
  <c r="S179" i="1" s="1"/>
  <c r="R188" i="1"/>
  <c r="S188" i="1" s="1"/>
  <c r="R277" i="1"/>
  <c r="S277" i="1" s="1"/>
  <c r="R285" i="1"/>
  <c r="S285" i="1" s="1"/>
  <c r="R65" i="1"/>
  <c r="S65" i="1" s="1"/>
  <c r="R174" i="1"/>
  <c r="S174" i="1" s="1"/>
  <c r="R266" i="1"/>
  <c r="R207" i="1"/>
  <c r="S207" i="1" s="1"/>
  <c r="R178" i="1"/>
  <c r="S178" i="1" s="1"/>
  <c r="R8" i="1"/>
  <c r="S8" i="1" s="1"/>
  <c r="R113" i="1"/>
  <c r="R235" i="1"/>
  <c r="S235" i="1" s="1"/>
  <c r="R264" i="1"/>
  <c r="S264" i="1" s="1"/>
  <c r="R192" i="1"/>
  <c r="R78" i="1"/>
  <c r="S78" i="1" s="1"/>
  <c r="R128" i="1"/>
  <c r="R130" i="1"/>
  <c r="S130" i="1" s="1"/>
  <c r="R17" i="1"/>
  <c r="S17" i="1" s="1"/>
  <c r="R83" i="1"/>
  <c r="S83" i="1" s="1"/>
  <c r="R254" i="1"/>
  <c r="S254" i="1" s="1"/>
  <c r="R182" i="1"/>
  <c r="S182" i="1" s="1"/>
  <c r="R54" i="1"/>
  <c r="S54" i="1" s="1"/>
  <c r="R272" i="1"/>
  <c r="S272" i="1" s="1"/>
  <c r="R125" i="1"/>
  <c r="S125" i="1" s="1"/>
  <c r="R193" i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R227" i="1"/>
  <c r="R149" i="1"/>
  <c r="S149" i="1" s="1"/>
  <c r="R93" i="1"/>
  <c r="S93" i="1" s="1"/>
  <c r="R102" i="1"/>
  <c r="S102" i="1" s="1"/>
  <c r="R71" i="1"/>
  <c r="S71" i="1" s="1"/>
  <c r="R57" i="1"/>
  <c r="S57" i="1" s="1"/>
  <c r="R187" i="1"/>
  <c r="S187" i="1" s="1"/>
  <c r="R259" i="1"/>
  <c r="S259" i="1" s="1"/>
  <c r="R90" i="1"/>
  <c r="S90" i="1" s="1"/>
  <c r="R156" i="1"/>
  <c r="S156" i="1" s="1"/>
  <c r="R293" i="1"/>
  <c r="R197" i="1"/>
  <c r="S197" i="1" s="1"/>
  <c r="R3" i="1"/>
  <c r="R133" i="1"/>
  <c r="S133" i="1" s="1"/>
  <c r="R198" i="1"/>
  <c r="S198" i="1" s="1"/>
  <c r="R176" i="1"/>
  <c r="S176" i="1" s="1"/>
  <c r="R250" i="1"/>
  <c r="S250" i="1" s="1"/>
  <c r="R290" i="1"/>
  <c r="R40" i="1"/>
  <c r="S40" i="1" s="1"/>
  <c r="R171" i="1"/>
  <c r="S171" i="1" s="1"/>
  <c r="R300" i="1"/>
  <c r="R70" i="1"/>
  <c r="S70" i="1" s="1"/>
  <c r="R29" i="1"/>
  <c r="S29" i="1" s="1"/>
  <c r="R221" i="1"/>
  <c r="S221" i="1" s="1"/>
  <c r="R135" i="1"/>
  <c r="S135" i="1" s="1"/>
  <c r="R223" i="1"/>
  <c r="S223" i="1" s="1"/>
  <c r="R257" i="1"/>
  <c r="R201" i="1"/>
  <c r="S201" i="1" s="1"/>
  <c r="R167" i="1"/>
  <c r="S167" i="1" s="1"/>
  <c r="R296" i="1"/>
  <c r="S296" i="1" s="1"/>
  <c r="R79" i="1"/>
  <c r="S79" i="1" s="1"/>
  <c r="R7" i="1"/>
  <c r="S7" i="1" s="1"/>
  <c r="R115" i="1"/>
  <c r="S115" i="1" s="1"/>
  <c r="R76" i="1"/>
  <c r="S76" i="1" s="1"/>
  <c r="R142" i="1"/>
  <c r="S142" i="1" s="1"/>
  <c r="R271" i="1"/>
  <c r="S271" i="1" s="1"/>
  <c r="R175" i="1"/>
  <c r="S175" i="1" s="1"/>
  <c r="R5" i="1"/>
  <c r="S5" i="1" s="1"/>
  <c r="R136" i="1"/>
  <c r="S136" i="1" s="1"/>
  <c r="R23" i="1"/>
  <c r="R80" i="1"/>
  <c r="S80" i="1" s="1"/>
  <c r="R146" i="1"/>
  <c r="S146" i="1" s="1"/>
  <c r="R210" i="1"/>
  <c r="S210" i="1" s="1"/>
  <c r="R89" i="1"/>
  <c r="S89" i="1" s="1"/>
  <c r="R172" i="1"/>
  <c r="S172" i="1" s="1"/>
  <c r="R10" i="1"/>
  <c r="S10" i="1" s="1"/>
  <c r="R302" i="1"/>
  <c r="S302" i="1" s="1"/>
  <c r="R107" i="1"/>
  <c r="S107" i="1" s="1"/>
  <c r="R20" i="1"/>
  <c r="S20" i="1" s="1"/>
  <c r="R150" i="1"/>
  <c r="S150" i="1" s="1"/>
  <c r="R279" i="1"/>
  <c r="S279" i="1" s="1"/>
  <c r="R53" i="1"/>
  <c r="S53" i="1" s="1"/>
  <c r="R13" i="1"/>
  <c r="S13" i="1" s="1"/>
  <c r="R31" i="1"/>
  <c r="R24" i="1"/>
  <c r="S24" i="1" s="1"/>
  <c r="R218" i="1"/>
  <c r="S218" i="1" s="1"/>
  <c r="R195" i="1"/>
  <c r="S195" i="1" s="1"/>
  <c r="R50" i="1"/>
  <c r="S50" i="1" s="1"/>
  <c r="R114" i="1"/>
  <c r="S114" i="1" s="1"/>
  <c r="R19" i="1"/>
  <c r="S19" i="1" s="1"/>
  <c r="R295" i="1"/>
  <c r="S295" i="1" s="1"/>
  <c r="R92" i="1"/>
  <c r="S92" i="1" s="1"/>
  <c r="R222" i="1"/>
  <c r="S222" i="1" s="1"/>
  <c r="R110" i="1"/>
  <c r="S110" i="1" s="1"/>
  <c r="R224" i="1"/>
  <c r="R154" i="1"/>
  <c r="S154" i="1" s="1"/>
  <c r="R170" i="1"/>
  <c r="R251" i="1"/>
  <c r="S251" i="1" s="1"/>
  <c r="R104" i="1"/>
  <c r="S104" i="1" s="1"/>
  <c r="R148" i="1"/>
  <c r="S148" i="1" s="1"/>
  <c r="R97" i="1"/>
  <c r="R28" i="1"/>
  <c r="S28" i="1" s="1"/>
  <c r="R280" i="1"/>
  <c r="S280" i="1" s="1"/>
  <c r="R109" i="1"/>
  <c r="S109" i="1" s="1"/>
  <c r="R286" i="1"/>
  <c r="S286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R15" i="1"/>
  <c r="S15" i="1" s="1"/>
  <c r="R126" i="1"/>
  <c r="S126" i="1" s="1"/>
  <c r="R281" i="1"/>
  <c r="R38" i="1"/>
  <c r="S38" i="1" s="1"/>
  <c r="R168" i="1"/>
  <c r="S168" i="1" s="1"/>
  <c r="R39" i="1"/>
  <c r="S39" i="1" s="1"/>
  <c r="R241" i="1"/>
  <c r="S241" i="1" s="1"/>
  <c r="R96" i="1"/>
  <c r="S96" i="1" s="1"/>
  <c r="R162" i="1"/>
  <c r="R226" i="1"/>
  <c r="R291" i="1"/>
  <c r="R121" i="1"/>
  <c r="S121" i="1" s="1"/>
  <c r="R81" i="1"/>
  <c r="S81" i="1" s="1"/>
  <c r="R122" i="1"/>
  <c r="S122" i="1" s="1"/>
  <c r="R260" i="1"/>
  <c r="S260" i="1" s="1"/>
  <c r="R189" i="1"/>
  <c r="S189" i="1" s="1"/>
  <c r="R141" i="1"/>
  <c r="S141" i="1" s="1"/>
  <c r="R100" i="1"/>
  <c r="S100" i="1" s="1"/>
  <c r="R230" i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N134" i="1"/>
  <c r="DY134" i="1"/>
  <c r="FE287" i="1"/>
  <c r="FF287" i="1" s="1"/>
  <c r="DO36" i="1"/>
  <c r="DP36" i="1" s="1"/>
  <c r="CK190" i="1"/>
  <c r="CL190" i="1" s="1"/>
  <c r="CK128" i="1"/>
  <c r="CL128" i="1" s="1"/>
  <c r="CK118" i="1"/>
  <c r="CL118" i="1" s="1"/>
  <c r="DY171" i="1"/>
  <c r="DZ171" i="1" s="1"/>
  <c r="BQ112" i="1"/>
  <c r="BR112" i="1" s="1"/>
  <c r="CK284" i="1"/>
  <c r="CL284" i="1" s="1"/>
  <c r="EN290" i="1"/>
  <c r="CU280" i="1"/>
  <c r="CV280" i="1" s="1"/>
  <c r="FE279" i="1"/>
  <c r="FF279" i="1" s="1"/>
  <c r="AV70" i="1"/>
  <c r="AW70" i="1" s="1"/>
  <c r="DO267" i="1"/>
  <c r="DP267" i="1" s="1"/>
  <c r="DO229" i="1"/>
  <c r="DP229" i="1" s="1"/>
  <c r="DO85" i="1"/>
  <c r="DP85" i="1" s="1"/>
  <c r="BG67" i="1"/>
  <c r="BH67" i="1" s="1"/>
  <c r="DO246" i="1"/>
  <c r="DP246" i="1" s="1"/>
  <c r="DO275" i="1"/>
  <c r="DP275" i="1" s="1"/>
  <c r="BG137" i="1"/>
  <c r="BH137" i="1" s="1"/>
  <c r="DE55" i="1"/>
  <c r="DF55" i="1" s="1"/>
  <c r="BQ113" i="1"/>
  <c r="BR113" i="1" s="1"/>
  <c r="DE23" i="1"/>
  <c r="DF23" i="1" s="1"/>
  <c r="AB267" i="1"/>
  <c r="AC267" i="1" s="1"/>
  <c r="AC53" i="1"/>
  <c r="CA118" i="1"/>
  <c r="CB118" i="1" s="1"/>
  <c r="CA208" i="1"/>
  <c r="CB208" i="1" s="1"/>
  <c r="CA250" i="1"/>
  <c r="CB250" i="1" s="1"/>
  <c r="CA62" i="1"/>
  <c r="CB62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84" i="1"/>
  <c r="CB184" i="1" s="1"/>
  <c r="CA102" i="1"/>
  <c r="CB102" i="1" s="1"/>
  <c r="CA178" i="1"/>
  <c r="CB178" i="1" s="1"/>
  <c r="CK31" i="1"/>
  <c r="CL31" i="1" s="1"/>
  <c r="CK214" i="1"/>
  <c r="CL214" i="1" s="1"/>
  <c r="CA112" i="1"/>
  <c r="CB112" i="1" s="1"/>
  <c r="CK39" i="1"/>
  <c r="CL39" i="1" s="1"/>
  <c r="CA15" i="1"/>
  <c r="CB15" i="1" s="1"/>
  <c r="FE192" i="1"/>
  <c r="FF192" i="1" s="1"/>
  <c r="FE256" i="1"/>
  <c r="FF256" i="1" s="1"/>
  <c r="CK250" i="1"/>
  <c r="CL250" i="1" s="1"/>
  <c r="FE45" i="1"/>
  <c r="FF45" i="1" s="1"/>
  <c r="FE109" i="1"/>
  <c r="FF109" i="1" s="1"/>
  <c r="FE175" i="1"/>
  <c r="FF175" i="1" s="1"/>
  <c r="FE239" i="1"/>
  <c r="FF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CK267" i="1"/>
  <c r="CL267" i="1" s="1"/>
  <c r="CU240" i="1"/>
  <c r="CV240" i="1" s="1"/>
  <c r="CK23" i="1"/>
  <c r="CK256" i="1"/>
  <c r="CL256" i="1" s="1"/>
  <c r="CU192" i="1"/>
  <c r="CV192" i="1" s="1"/>
  <c r="CU102" i="1"/>
  <c r="CV102" i="1" s="1"/>
  <c r="CU162" i="1"/>
  <c r="CV162" i="1" s="1"/>
  <c r="CU267" i="1"/>
  <c r="CV267" i="1" s="1"/>
  <c r="FE11" i="1"/>
  <c r="FF11" i="1" s="1"/>
  <c r="FE76" i="1"/>
  <c r="FF76" i="1" s="1"/>
  <c r="FE142" i="1"/>
  <c r="FF142" i="1" s="1"/>
  <c r="FE53" i="1"/>
  <c r="FF53" i="1" s="1"/>
  <c r="FE117" i="1"/>
  <c r="FF117" i="1" s="1"/>
  <c r="FE183" i="1"/>
  <c r="FF183" i="1" s="1"/>
  <c r="FE247" i="1"/>
  <c r="FF247" i="1" s="1"/>
  <c r="CU202" i="1"/>
  <c r="CV202" i="1" s="1"/>
  <c r="FE272" i="1"/>
  <c r="FF272" i="1" s="1"/>
  <c r="FE255" i="1"/>
  <c r="FF255" i="1" s="1"/>
  <c r="FE13" i="1"/>
  <c r="FF13" i="1" s="1"/>
  <c r="FE78" i="1"/>
  <c r="FF78" i="1" s="1"/>
  <c r="FE144" i="1"/>
  <c r="FF144" i="1" s="1"/>
  <c r="FE22" i="1"/>
  <c r="FF22" i="1" s="1"/>
  <c r="FE86" i="1"/>
  <c r="FF86" i="1" s="1"/>
  <c r="FE152" i="1"/>
  <c r="FF152" i="1" s="1"/>
  <c r="FE208" i="1"/>
  <c r="FF208" i="1" s="1"/>
  <c r="FE273" i="1"/>
  <c r="FF273" i="1" s="1"/>
  <c r="FE166" i="1"/>
  <c r="FF166" i="1" s="1"/>
  <c r="FE20" i="1"/>
  <c r="FF20" i="1" s="1"/>
  <c r="FE84" i="1"/>
  <c r="FF84" i="1" s="1"/>
  <c r="FE61" i="1"/>
  <c r="FF61" i="1" s="1"/>
  <c r="FE126" i="1"/>
  <c r="FF126" i="1" s="1"/>
  <c r="FE191" i="1"/>
  <c r="FF191" i="1" s="1"/>
  <c r="FE222" i="1"/>
  <c r="FF222" i="1" s="1"/>
  <c r="FE158" i="1"/>
  <c r="FF158" i="1" s="1"/>
  <c r="FE304" i="1"/>
  <c r="FF304" i="1" s="1"/>
  <c r="AV76" i="1"/>
  <c r="AW76" i="1" s="1"/>
  <c r="AV152" i="1"/>
  <c r="AW152" i="1" s="1"/>
  <c r="FE12" i="1"/>
  <c r="FF12" i="1" s="1"/>
  <c r="FE77" i="1"/>
  <c r="FF77" i="1" s="1"/>
  <c r="FE143" i="1"/>
  <c r="FF143" i="1" s="1"/>
  <c r="FE207" i="1"/>
  <c r="FF207" i="1" s="1"/>
  <c r="FE54" i="1"/>
  <c r="FF54" i="1" s="1"/>
  <c r="FE118" i="1"/>
  <c r="FF118" i="1" s="1"/>
  <c r="FE52" i="1"/>
  <c r="FF52" i="1" s="1"/>
  <c r="FE116" i="1"/>
  <c r="FF116" i="1" s="1"/>
  <c r="FE29" i="1"/>
  <c r="FF29" i="1" s="1"/>
  <c r="FE93" i="1"/>
  <c r="FF93" i="1" s="1"/>
  <c r="FE159" i="1"/>
  <c r="FF159" i="1" s="1"/>
  <c r="FE223" i="1"/>
  <c r="FF223" i="1" s="1"/>
  <c r="FE62" i="1"/>
  <c r="FF62" i="1" s="1"/>
  <c r="FE127" i="1"/>
  <c r="FF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112" i="1"/>
  <c r="AW112" i="1" s="1"/>
  <c r="AV278" i="1"/>
  <c r="AW278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BG188" i="1"/>
  <c r="BH188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70" i="1"/>
  <c r="DP70" i="1" s="1"/>
  <c r="FE28" i="1"/>
  <c r="FF28" i="1" s="1"/>
  <c r="FE92" i="1"/>
  <c r="FF92" i="1" s="1"/>
  <c r="DO119" i="1"/>
  <c r="DP119" i="1" s="1"/>
  <c r="DY232" i="1"/>
  <c r="DZ232" i="1" s="1"/>
  <c r="DO137" i="1"/>
  <c r="DP137" i="1" s="1"/>
  <c r="FE184" i="1"/>
  <c r="FF184" i="1" s="1"/>
  <c r="FE248" i="1"/>
  <c r="FF248" i="1" s="1"/>
  <c r="DO67" i="1"/>
  <c r="DP67" i="1" s="1"/>
  <c r="FE60" i="1"/>
  <c r="FF60" i="1" s="1"/>
  <c r="FE125" i="1"/>
  <c r="FF125" i="1" s="1"/>
  <c r="FE150" i="1"/>
  <c r="FF150" i="1" s="1"/>
  <c r="FE216" i="1"/>
  <c r="FF216" i="1" s="1"/>
  <c r="FE281" i="1"/>
  <c r="FF281" i="1" s="1"/>
  <c r="DY212" i="1"/>
  <c r="DZ212" i="1" s="1"/>
  <c r="DO273" i="1"/>
  <c r="DP273" i="1" s="1"/>
  <c r="DY210" i="1"/>
  <c r="DZ210" i="1" s="1"/>
  <c r="DY23" i="1"/>
  <c r="DZ23" i="1" s="1"/>
  <c r="DY292" i="1"/>
  <c r="DY197" i="1"/>
  <c r="DZ197" i="1" s="1"/>
  <c r="DY229" i="1"/>
  <c r="DZ229" i="1" s="1"/>
  <c r="DY78" i="1"/>
  <c r="DZ147" i="1"/>
  <c r="DY28" i="1"/>
  <c r="BQ207" i="1"/>
  <c r="BR207" i="1" s="1"/>
  <c r="DE161" i="1"/>
  <c r="DF161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AB126" i="1"/>
  <c r="AC126" i="1" s="1"/>
  <c r="AB117" i="1"/>
  <c r="AC117" i="1" s="1"/>
  <c r="FE67" i="1"/>
  <c r="FF67" i="1" s="1"/>
  <c r="FE197" i="1"/>
  <c r="FF197" i="1" s="1"/>
  <c r="FE271" i="1"/>
  <c r="FF271" i="1" s="1"/>
  <c r="FE14" i="1"/>
  <c r="FF14" i="1" s="1"/>
  <c r="FE79" i="1"/>
  <c r="FF79" i="1" s="1"/>
  <c r="FE145" i="1"/>
  <c r="FF145" i="1" s="1"/>
  <c r="FE209" i="1"/>
  <c r="FF209" i="1" s="1"/>
  <c r="FE40" i="1"/>
  <c r="FF40" i="1" s="1"/>
  <c r="FE104" i="1"/>
  <c r="FF104" i="1" s="1"/>
  <c r="FE170" i="1"/>
  <c r="FF170" i="1" s="1"/>
  <c r="FE288" i="1"/>
  <c r="FF288" i="1" s="1"/>
  <c r="FE242" i="1"/>
  <c r="FF242" i="1" s="1"/>
  <c r="FE41" i="1"/>
  <c r="FF41" i="1" s="1"/>
  <c r="FE105" i="1"/>
  <c r="FF105" i="1" s="1"/>
  <c r="FE171" i="1"/>
  <c r="FF171" i="1" s="1"/>
  <c r="FE235" i="1"/>
  <c r="FF235" i="1" s="1"/>
  <c r="FE300" i="1"/>
  <c r="FF300" i="1" s="1"/>
  <c r="FE30" i="1"/>
  <c r="FF30" i="1" s="1"/>
  <c r="FE94" i="1"/>
  <c r="FF94" i="1" s="1"/>
  <c r="FE160" i="1"/>
  <c r="FF160" i="1" s="1"/>
  <c r="FE132" i="1"/>
  <c r="FF132" i="1" s="1"/>
  <c r="FE224" i="1"/>
  <c r="FF224" i="1" s="1"/>
  <c r="FE289" i="1"/>
  <c r="FF289" i="1" s="1"/>
  <c r="FE35" i="1"/>
  <c r="FF35" i="1" s="1"/>
  <c r="FE99" i="1"/>
  <c r="FF99" i="1" s="1"/>
  <c r="FE165" i="1"/>
  <c r="FF165" i="1" s="1"/>
  <c r="FE229" i="1"/>
  <c r="FF229" i="1" s="1"/>
  <c r="FE294" i="1"/>
  <c r="FF294" i="1" s="1"/>
  <c r="FE261" i="1"/>
  <c r="FF261" i="1" s="1"/>
  <c r="FE280" i="1"/>
  <c r="FF280" i="1" s="1"/>
  <c r="FE46" i="1"/>
  <c r="FF46" i="1" s="1"/>
  <c r="FE110" i="1"/>
  <c r="FF110" i="1" s="1"/>
  <c r="FE44" i="1"/>
  <c r="FF44" i="1" s="1"/>
  <c r="FE108" i="1"/>
  <c r="FF108" i="1" s="1"/>
  <c r="FE21" i="1"/>
  <c r="FF21" i="1" s="1"/>
  <c r="FE85" i="1"/>
  <c r="FF85" i="1" s="1"/>
  <c r="FE151" i="1"/>
  <c r="FF151" i="1" s="1"/>
  <c r="FE215" i="1"/>
  <c r="FF215" i="1" s="1"/>
  <c r="FE47" i="1"/>
  <c r="FF47" i="1" s="1"/>
  <c r="FE111" i="1"/>
  <c r="FF111" i="1" s="1"/>
  <c r="FE177" i="1"/>
  <c r="FF177" i="1" s="1"/>
  <c r="FE241" i="1"/>
  <c r="FF241" i="1" s="1"/>
  <c r="FE7" i="1"/>
  <c r="FF7" i="1" s="1"/>
  <c r="FE72" i="1"/>
  <c r="FF72" i="1" s="1"/>
  <c r="FE138" i="1"/>
  <c r="FF138" i="1" s="1"/>
  <c r="FE202" i="1"/>
  <c r="FF202" i="1" s="1"/>
  <c r="FE176" i="1"/>
  <c r="FF176" i="1" s="1"/>
  <c r="FE240" i="1"/>
  <c r="FF240" i="1" s="1"/>
  <c r="FE275" i="1"/>
  <c r="FF275" i="1" s="1"/>
  <c r="FE8" i="1"/>
  <c r="FF8" i="1" s="1"/>
  <c r="FE73" i="1"/>
  <c r="FF73" i="1" s="1"/>
  <c r="FE139" i="1"/>
  <c r="FF139" i="1" s="1"/>
  <c r="FE203" i="1"/>
  <c r="FF203" i="1" s="1"/>
  <c r="FE268" i="1"/>
  <c r="FF268" i="1" s="1"/>
  <c r="FE249" i="1"/>
  <c r="FF249" i="1" s="1"/>
  <c r="FE282" i="1"/>
  <c r="FF282" i="1" s="1"/>
  <c r="DY5" i="1"/>
  <c r="DZ5" i="1" s="1"/>
  <c r="DY155" i="1"/>
  <c r="DZ155" i="1" s="1"/>
  <c r="FE26" i="1"/>
  <c r="FF26" i="1" s="1"/>
  <c r="FE58" i="1"/>
  <c r="FF58" i="1" s="1"/>
  <c r="FE90" i="1"/>
  <c r="FF90" i="1" s="1"/>
  <c r="FE122" i="1"/>
  <c r="FF122" i="1" s="1"/>
  <c r="FE156" i="1"/>
  <c r="FF156" i="1" s="1"/>
  <c r="FE188" i="1"/>
  <c r="FF188" i="1" s="1"/>
  <c r="FE220" i="1"/>
  <c r="FF220" i="1" s="1"/>
  <c r="FE252" i="1"/>
  <c r="FF252" i="1" s="1"/>
  <c r="FE285" i="1"/>
  <c r="FF285" i="1" s="1"/>
  <c r="FE23" i="1"/>
  <c r="FF23" i="1" s="1"/>
  <c r="FE55" i="1"/>
  <c r="FF55" i="1" s="1"/>
  <c r="FE87" i="1"/>
  <c r="FF87" i="1" s="1"/>
  <c r="FE119" i="1"/>
  <c r="FF119" i="1" s="1"/>
  <c r="FE153" i="1"/>
  <c r="FF153" i="1" s="1"/>
  <c r="FE185" i="1"/>
  <c r="FF185" i="1" s="1"/>
  <c r="FE217" i="1"/>
  <c r="FF217" i="1" s="1"/>
  <c r="FE15" i="1"/>
  <c r="FF15" i="1" s="1"/>
  <c r="FE48" i="1"/>
  <c r="FF48" i="1" s="1"/>
  <c r="FE80" i="1"/>
  <c r="FF80" i="1" s="1"/>
  <c r="FE112" i="1"/>
  <c r="FF112" i="1" s="1"/>
  <c r="FE146" i="1"/>
  <c r="FF146" i="1" s="1"/>
  <c r="FE178" i="1"/>
  <c r="FF178" i="1" s="1"/>
  <c r="FE210" i="1"/>
  <c r="FF210" i="1" s="1"/>
  <c r="FE264" i="1"/>
  <c r="FF264" i="1" s="1"/>
  <c r="FE296" i="1"/>
  <c r="FF296" i="1" s="1"/>
  <c r="FE257" i="1"/>
  <c r="FF257" i="1" s="1"/>
  <c r="FE290" i="1"/>
  <c r="FF290" i="1" s="1"/>
  <c r="FE250" i="1"/>
  <c r="FF250" i="1" s="1"/>
  <c r="FE283" i="1"/>
  <c r="FF283" i="1" s="1"/>
  <c r="FE16" i="1"/>
  <c r="FF16" i="1" s="1"/>
  <c r="FE49" i="1"/>
  <c r="FF49" i="1" s="1"/>
  <c r="FE81" i="1"/>
  <c r="FF81" i="1" s="1"/>
  <c r="FE113" i="1"/>
  <c r="FF113" i="1" s="1"/>
  <c r="FE147" i="1"/>
  <c r="FF147" i="1" s="1"/>
  <c r="FE179" i="1"/>
  <c r="FF179" i="1" s="1"/>
  <c r="FE211" i="1"/>
  <c r="FF211" i="1" s="1"/>
  <c r="FE243" i="1"/>
  <c r="FF243" i="1" s="1"/>
  <c r="FE276" i="1"/>
  <c r="FF276" i="1" s="1"/>
  <c r="DY131" i="1"/>
  <c r="DY244" i="1"/>
  <c r="FE34" i="1"/>
  <c r="FF34" i="1" s="1"/>
  <c r="FE66" i="1"/>
  <c r="FF66" i="1" s="1"/>
  <c r="FE98" i="1"/>
  <c r="FF98" i="1" s="1"/>
  <c r="FE131" i="1"/>
  <c r="FF131" i="1" s="1"/>
  <c r="FE164" i="1"/>
  <c r="FF164" i="1" s="1"/>
  <c r="FE196" i="1"/>
  <c r="FF196" i="1" s="1"/>
  <c r="FE228" i="1"/>
  <c r="FF228" i="1" s="1"/>
  <c r="FE260" i="1"/>
  <c r="FF260" i="1" s="1"/>
  <c r="FE293" i="1"/>
  <c r="FF293" i="1" s="1"/>
  <c r="FE10" i="1"/>
  <c r="FF10" i="1" s="1"/>
  <c r="FE43" i="1"/>
  <c r="FF43" i="1" s="1"/>
  <c r="FE75" i="1"/>
  <c r="FF75" i="1" s="1"/>
  <c r="FE107" i="1"/>
  <c r="FF107" i="1" s="1"/>
  <c r="FE141" i="1"/>
  <c r="FF141" i="1" s="1"/>
  <c r="FE173" i="1"/>
  <c r="FF173" i="1" s="1"/>
  <c r="FE205" i="1"/>
  <c r="FF205" i="1" s="1"/>
  <c r="FE237" i="1"/>
  <c r="FF237" i="1" s="1"/>
  <c r="FE270" i="1"/>
  <c r="FF270" i="1" s="1"/>
  <c r="FE302" i="1"/>
  <c r="FF302" i="1" s="1"/>
  <c r="FE4" i="1"/>
  <c r="FF4" i="1" s="1"/>
  <c r="FE37" i="1"/>
  <c r="FF37" i="1" s="1"/>
  <c r="FE69" i="1"/>
  <c r="FF69" i="1" s="1"/>
  <c r="FE101" i="1"/>
  <c r="FF101" i="1" s="1"/>
  <c r="FE135" i="1"/>
  <c r="FF135" i="1" s="1"/>
  <c r="FE167" i="1"/>
  <c r="FF167" i="1" s="1"/>
  <c r="FE199" i="1"/>
  <c r="FF199" i="1" s="1"/>
  <c r="FE231" i="1"/>
  <c r="FF231" i="1" s="1"/>
  <c r="FE5" i="1"/>
  <c r="FF5" i="1" s="1"/>
  <c r="FE38" i="1"/>
  <c r="FF38" i="1" s="1"/>
  <c r="FE70" i="1"/>
  <c r="FF70" i="1" s="1"/>
  <c r="FE102" i="1"/>
  <c r="FF102" i="1" s="1"/>
  <c r="FE136" i="1"/>
  <c r="FF136" i="1" s="1"/>
  <c r="FE31" i="1"/>
  <c r="FF31" i="1" s="1"/>
  <c r="FE63" i="1"/>
  <c r="FF63" i="1" s="1"/>
  <c r="FE95" i="1"/>
  <c r="FF95" i="1" s="1"/>
  <c r="FE128" i="1"/>
  <c r="FF128" i="1" s="1"/>
  <c r="FE161" i="1"/>
  <c r="FF161" i="1" s="1"/>
  <c r="FE193" i="1"/>
  <c r="FF193" i="1" s="1"/>
  <c r="FE225" i="1"/>
  <c r="FF225" i="1" s="1"/>
  <c r="FE24" i="1"/>
  <c r="FF24" i="1" s="1"/>
  <c r="FE56" i="1"/>
  <c r="FF56" i="1" s="1"/>
  <c r="FE88" i="1"/>
  <c r="FF88" i="1" s="1"/>
  <c r="FE120" i="1"/>
  <c r="FF120" i="1" s="1"/>
  <c r="FE154" i="1"/>
  <c r="FF154" i="1" s="1"/>
  <c r="FE186" i="1"/>
  <c r="FF186" i="1" s="1"/>
  <c r="FE218" i="1"/>
  <c r="FF218" i="1" s="1"/>
  <c r="FE266" i="1"/>
  <c r="FF266" i="1" s="1"/>
  <c r="FE298" i="1"/>
  <c r="FF298" i="1" s="1"/>
  <c r="FE258" i="1"/>
  <c r="FF258" i="1" s="1"/>
  <c r="FE291" i="1"/>
  <c r="FF291" i="1" s="1"/>
  <c r="FE25" i="1"/>
  <c r="FF25" i="1" s="1"/>
  <c r="FE57" i="1"/>
  <c r="FF57" i="1" s="1"/>
  <c r="FE89" i="1"/>
  <c r="FF89" i="1" s="1"/>
  <c r="FE121" i="1"/>
  <c r="FF121" i="1" s="1"/>
  <c r="FE155" i="1"/>
  <c r="FF155" i="1" s="1"/>
  <c r="FE187" i="1"/>
  <c r="FF187" i="1" s="1"/>
  <c r="FE219" i="1"/>
  <c r="FF219" i="1" s="1"/>
  <c r="FE251" i="1"/>
  <c r="FF251" i="1" s="1"/>
  <c r="FE284" i="1"/>
  <c r="FF284" i="1" s="1"/>
  <c r="DY83" i="1"/>
  <c r="DZ83" i="1" s="1"/>
  <c r="FE9" i="1"/>
  <c r="FF9" i="1" s="1"/>
  <c r="FE42" i="1"/>
  <c r="FF42" i="1" s="1"/>
  <c r="FE74" i="1"/>
  <c r="FF74" i="1" s="1"/>
  <c r="FE106" i="1"/>
  <c r="FF106" i="1" s="1"/>
  <c r="FE140" i="1"/>
  <c r="FF140" i="1" s="1"/>
  <c r="FE172" i="1"/>
  <c r="FF172" i="1" s="1"/>
  <c r="FE204" i="1"/>
  <c r="FF204" i="1" s="1"/>
  <c r="FE236" i="1"/>
  <c r="FF236" i="1" s="1"/>
  <c r="FE269" i="1"/>
  <c r="FF269" i="1" s="1"/>
  <c r="FE301" i="1"/>
  <c r="FF301" i="1" s="1"/>
  <c r="FE19" i="1"/>
  <c r="FF19" i="1" s="1"/>
  <c r="FE51" i="1"/>
  <c r="FF51" i="1" s="1"/>
  <c r="FE83" i="1"/>
  <c r="FF83" i="1" s="1"/>
  <c r="FE115" i="1"/>
  <c r="FF115" i="1" s="1"/>
  <c r="FE149" i="1"/>
  <c r="FF149" i="1" s="1"/>
  <c r="FE181" i="1"/>
  <c r="FF181" i="1" s="1"/>
  <c r="FE213" i="1"/>
  <c r="FF213" i="1" s="1"/>
  <c r="FE245" i="1"/>
  <c r="FF245" i="1" s="1"/>
  <c r="FE278" i="1"/>
  <c r="FF278" i="1" s="1"/>
  <c r="FE3" i="1"/>
  <c r="FF3" i="1" s="1"/>
  <c r="FE36" i="1"/>
  <c r="FF36" i="1" s="1"/>
  <c r="FE68" i="1"/>
  <c r="FF68" i="1" s="1"/>
  <c r="FE100" i="1"/>
  <c r="FF100" i="1" s="1"/>
  <c r="FE133" i="1"/>
  <c r="FF133" i="1" s="1"/>
  <c r="FE6" i="1"/>
  <c r="FF6" i="1" s="1"/>
  <c r="FE39" i="1"/>
  <c r="FF39" i="1" s="1"/>
  <c r="FE71" i="1"/>
  <c r="FF71" i="1" s="1"/>
  <c r="FE103" i="1"/>
  <c r="FF103" i="1" s="1"/>
  <c r="FE137" i="1"/>
  <c r="FF137" i="1" s="1"/>
  <c r="FE169" i="1"/>
  <c r="FF169" i="1" s="1"/>
  <c r="FE201" i="1"/>
  <c r="FF201" i="1" s="1"/>
  <c r="FE233" i="1"/>
  <c r="FF233" i="1" s="1"/>
  <c r="FE32" i="1"/>
  <c r="FF32" i="1" s="1"/>
  <c r="FE64" i="1"/>
  <c r="FF64" i="1" s="1"/>
  <c r="FE96" i="1"/>
  <c r="FF96" i="1" s="1"/>
  <c r="FE129" i="1"/>
  <c r="FF129" i="1" s="1"/>
  <c r="FE162" i="1"/>
  <c r="FF162" i="1" s="1"/>
  <c r="FE194" i="1"/>
  <c r="FF194" i="1" s="1"/>
  <c r="FE226" i="1"/>
  <c r="FF226" i="1" s="1"/>
  <c r="FE168" i="1"/>
  <c r="FF168" i="1" s="1"/>
  <c r="FE200" i="1"/>
  <c r="FF200" i="1" s="1"/>
  <c r="FE232" i="1"/>
  <c r="FF232" i="1" s="1"/>
  <c r="FE265" i="1"/>
  <c r="FF265" i="1" s="1"/>
  <c r="FE297" i="1"/>
  <c r="FF297" i="1" s="1"/>
  <c r="FE274" i="1"/>
  <c r="FF274" i="1" s="1"/>
  <c r="FE234" i="1"/>
  <c r="FF234" i="1" s="1"/>
  <c r="FE267" i="1"/>
  <c r="FF267" i="1" s="1"/>
  <c r="FE299" i="1"/>
  <c r="FF299" i="1" s="1"/>
  <c r="FE33" i="1"/>
  <c r="FF33" i="1" s="1"/>
  <c r="FE65" i="1"/>
  <c r="FF65" i="1" s="1"/>
  <c r="FE97" i="1"/>
  <c r="FF97" i="1" s="1"/>
  <c r="FE130" i="1"/>
  <c r="FF130" i="1" s="1"/>
  <c r="FE163" i="1"/>
  <c r="FF163" i="1" s="1"/>
  <c r="FE195" i="1"/>
  <c r="FF195" i="1" s="1"/>
  <c r="FE227" i="1"/>
  <c r="FF227" i="1" s="1"/>
  <c r="FE259" i="1"/>
  <c r="FF259" i="1" s="1"/>
  <c r="FE292" i="1"/>
  <c r="FF292" i="1" s="1"/>
  <c r="FE17" i="1"/>
  <c r="FF17" i="1" s="1"/>
  <c r="FE50" i="1"/>
  <c r="FF50" i="1" s="1"/>
  <c r="FE82" i="1"/>
  <c r="FF82" i="1" s="1"/>
  <c r="FE114" i="1"/>
  <c r="FF114" i="1" s="1"/>
  <c r="FE148" i="1"/>
  <c r="FF148" i="1" s="1"/>
  <c r="FE180" i="1"/>
  <c r="FF180" i="1" s="1"/>
  <c r="FE212" i="1"/>
  <c r="FF212" i="1" s="1"/>
  <c r="FE244" i="1"/>
  <c r="FF244" i="1" s="1"/>
  <c r="FE277" i="1"/>
  <c r="FF277" i="1" s="1"/>
  <c r="FE27" i="1"/>
  <c r="FF27" i="1" s="1"/>
  <c r="FE59" i="1"/>
  <c r="FF59" i="1" s="1"/>
  <c r="FE91" i="1"/>
  <c r="FF91" i="1" s="1"/>
  <c r="FE124" i="1"/>
  <c r="FF124" i="1" s="1"/>
  <c r="FE157" i="1"/>
  <c r="FF157" i="1" s="1"/>
  <c r="FE189" i="1"/>
  <c r="FF189" i="1" s="1"/>
  <c r="FE221" i="1"/>
  <c r="FF221" i="1" s="1"/>
  <c r="FE253" i="1"/>
  <c r="FF253" i="1" s="1"/>
  <c r="FE286" i="1"/>
  <c r="FF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300" i="1"/>
  <c r="DP300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172" i="1"/>
  <c r="DY266" i="1"/>
  <c r="DZ266" i="1" s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BQ103" i="1"/>
  <c r="BR103" i="1" s="1"/>
  <c r="BQ86" i="1"/>
  <c r="BR86" i="1" s="1"/>
  <c r="BQ56" i="1"/>
  <c r="BR56" i="1" s="1"/>
  <c r="BQ23" i="1"/>
  <c r="BR23" i="1" s="1"/>
  <c r="BQ233" i="1"/>
  <c r="BR233" i="1" s="1"/>
  <c r="BQ125" i="1"/>
  <c r="BR125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276" i="1"/>
  <c r="DP276" i="1" s="1"/>
  <c r="DE48" i="1"/>
  <c r="DF48" i="1" s="1"/>
  <c r="DE272" i="1"/>
  <c r="DF272" i="1" s="1"/>
  <c r="DE46" i="1"/>
  <c r="DF46" i="1" s="1"/>
  <c r="DE11" i="1"/>
  <c r="DF11" i="1" s="1"/>
  <c r="DE201" i="1"/>
  <c r="DF201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71" i="1"/>
  <c r="CB171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O257" i="1"/>
  <c r="DP257" i="1" s="1"/>
  <c r="DY296" i="1"/>
  <c r="DY34" i="1"/>
  <c r="DZ34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E112" i="1"/>
  <c r="DF112" i="1" s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BG73" i="1"/>
  <c r="BH73" i="1" s="1"/>
  <c r="AV266" i="1"/>
  <c r="AW266" i="1" s="1"/>
  <c r="BG57" i="1"/>
  <c r="BH57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115" i="1"/>
  <c r="DF115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169" i="1"/>
  <c r="DP169" i="1" s="1"/>
  <c r="DE196" i="1"/>
  <c r="DF196" i="1" s="1"/>
  <c r="DE273" i="1"/>
  <c r="DF273" i="1" s="1"/>
  <c r="DE185" i="1"/>
  <c r="DF185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O23" i="1"/>
  <c r="DP23" i="1" s="1"/>
  <c r="DO87" i="1"/>
  <c r="DP87" i="1" s="1"/>
  <c r="DO277" i="1"/>
  <c r="DP277" i="1" s="1"/>
  <c r="DO243" i="1"/>
  <c r="DP243" i="1" s="1"/>
  <c r="DO252" i="1"/>
  <c r="DP252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BQ118" i="1"/>
  <c r="BR118" i="1" s="1"/>
  <c r="BQ248" i="1"/>
  <c r="BR248" i="1" s="1"/>
  <c r="BQ130" i="1"/>
  <c r="BR130" i="1" s="1"/>
  <c r="BQ96" i="1"/>
  <c r="BR96" i="1" s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4" i="1"/>
  <c r="BH274" i="1" s="1"/>
  <c r="BG193" i="1"/>
  <c r="BH193" i="1" s="1"/>
  <c r="DY11" i="1"/>
  <c r="DY290" i="1"/>
  <c r="DZ6" i="1"/>
  <c r="DY47" i="1"/>
  <c r="DZ47" i="1" s="1"/>
  <c r="DZ64" i="1"/>
  <c r="DZ258" i="1"/>
  <c r="DO285" i="1"/>
  <c r="DP285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110" i="1"/>
  <c r="AM110" i="1" s="1"/>
  <c r="AL198" i="1"/>
  <c r="AM198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115" i="1"/>
  <c r="AM115" i="1" s="1"/>
  <c r="AL206" i="1"/>
  <c r="AM206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04" i="1"/>
  <c r="AM104" i="1" s="1"/>
  <c r="AL2" i="1"/>
  <c r="AM2" i="1" s="1"/>
  <c r="AL167" i="1"/>
  <c r="AM167" i="1" s="1"/>
  <c r="AL244" i="1"/>
  <c r="AM244" i="1" s="1"/>
  <c r="AL258" i="1"/>
  <c r="AM258" i="1" s="1"/>
  <c r="AL112" i="1"/>
  <c r="AM112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301" i="1"/>
  <c r="AM301" i="1" s="1"/>
  <c r="AL174" i="1"/>
  <c r="AM174" i="1" s="1"/>
  <c r="AL101" i="1"/>
  <c r="AM101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171" i="1"/>
  <c r="AM171" i="1" s="1"/>
  <c r="AL243" i="1"/>
  <c r="AM243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197" i="1"/>
  <c r="AM197" i="1" s="1"/>
  <c r="AL118" i="1"/>
  <c r="AM118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B298" i="1"/>
  <c r="AC298" i="1" s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R42" i="1"/>
  <c r="S42" i="1" s="1"/>
  <c r="R99" i="1"/>
  <c r="R297" i="1"/>
  <c r="S297" i="1" s="1"/>
  <c r="R153" i="1"/>
  <c r="R106" i="1"/>
  <c r="S106" i="1" s="1"/>
  <c r="R256" i="1"/>
  <c r="R282" i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119" i="1"/>
  <c r="S119" i="1" s="1"/>
  <c r="R209" i="1"/>
  <c r="R237" i="1"/>
  <c r="S237" i="1" s="1"/>
  <c r="R238" i="1"/>
  <c r="S238" i="1" s="1"/>
  <c r="R184" i="1"/>
  <c r="FE2" i="1"/>
  <c r="FF2" i="1" s="1"/>
  <c r="AB2" i="1"/>
  <c r="BG2" i="1"/>
  <c r="DY2" i="1"/>
  <c r="R2" i="1"/>
  <c r="S2" i="1" s="1"/>
  <c r="EN123" i="1" l="1"/>
  <c r="R123" i="1"/>
  <c r="S123" i="1" s="1"/>
  <c r="S95" i="1"/>
  <c r="S87" i="1"/>
  <c r="S127" i="1"/>
  <c r="S49" i="1"/>
  <c r="S160" i="1"/>
  <c r="S152" i="1"/>
  <c r="S298" i="1"/>
  <c r="S67" i="1"/>
  <c r="S276" i="1"/>
  <c r="S31" i="1"/>
  <c r="S304" i="1"/>
  <c r="S23" i="1"/>
  <c r="S22" i="1"/>
  <c r="S3" i="1"/>
  <c r="S166" i="1"/>
  <c r="S88" i="1"/>
  <c r="S233" i="1"/>
  <c r="S290" i="1"/>
  <c r="S211" i="1"/>
  <c r="S45" i="1"/>
  <c r="S72" i="1"/>
  <c r="S257" i="1"/>
  <c r="S291" i="1"/>
  <c r="S225" i="1"/>
  <c r="S293" i="1"/>
  <c r="S99" i="1"/>
  <c r="S224" i="1"/>
  <c r="S193" i="1"/>
  <c r="S128" i="1"/>
  <c r="S161" i="1"/>
  <c r="S301" i="1"/>
  <c r="S228" i="1"/>
  <c r="S300" i="1"/>
  <c r="S162" i="1"/>
  <c r="S112" i="1"/>
  <c r="S48" i="1"/>
  <c r="S227" i="1"/>
  <c r="S170" i="1"/>
  <c r="S282" i="1"/>
  <c r="S289" i="1"/>
  <c r="S77" i="1"/>
  <c r="S266" i="1"/>
  <c r="S216" i="1"/>
  <c r="S97" i="1"/>
  <c r="S248" i="1"/>
  <c r="S192" i="1"/>
  <c r="S43" i="1"/>
  <c r="S284" i="1"/>
  <c r="S164" i="1"/>
  <c r="S219" i="1"/>
  <c r="S217" i="1"/>
  <c r="S184" i="1"/>
  <c r="S299" i="1"/>
  <c r="S62" i="1"/>
  <c r="S202" i="1"/>
  <c r="S283" i="1"/>
  <c r="S94" i="1"/>
  <c r="S86" i="1"/>
  <c r="S155" i="1"/>
  <c r="S153" i="1"/>
  <c r="S209" i="1"/>
  <c r="S281" i="1"/>
  <c r="S303" i="1"/>
  <c r="S113" i="1"/>
  <c r="S256" i="1"/>
  <c r="S226" i="1"/>
  <c r="EN112" i="1"/>
  <c r="FY112" i="1" s="1"/>
  <c r="FZ112" i="1" s="1"/>
  <c r="GA112" i="1" s="1"/>
  <c r="EN96" i="1"/>
  <c r="EN257" i="1"/>
  <c r="EP257" i="1" s="1"/>
  <c r="BG96" i="1"/>
  <c r="BH96" i="1" s="1"/>
  <c r="DZ18" i="1"/>
  <c r="EN227" i="1"/>
  <c r="EN18" i="1"/>
  <c r="EN170" i="1"/>
  <c r="EN125" i="1"/>
  <c r="EN108" i="1"/>
  <c r="EO123" i="1"/>
  <c r="EP123" i="1"/>
  <c r="FY123" i="1"/>
  <c r="FZ123" i="1" s="1"/>
  <c r="GA123" i="1" s="1"/>
  <c r="GB123" i="1"/>
  <c r="EN234" i="1"/>
  <c r="CK234" i="1"/>
  <c r="CL234" i="1" s="1"/>
  <c r="EN53" i="1"/>
  <c r="EN184" i="1"/>
  <c r="EN301" i="1"/>
  <c r="EO18" i="1"/>
  <c r="CU184" i="1"/>
  <c r="CV184" i="1" s="1"/>
  <c r="EN305" i="1"/>
  <c r="EN231" i="1"/>
  <c r="EN185" i="1"/>
  <c r="EN209" i="1"/>
  <c r="EN183" i="1"/>
  <c r="EN15" i="1"/>
  <c r="DZ110" i="1"/>
  <c r="EN271" i="1"/>
  <c r="EN93" i="1"/>
  <c r="DZ46" i="1"/>
  <c r="EN214" i="1"/>
  <c r="EN84" i="1"/>
  <c r="EN178" i="1"/>
  <c r="EN102" i="1"/>
  <c r="EN304" i="1"/>
  <c r="EN88" i="1"/>
  <c r="EN6" i="1"/>
  <c r="EN48" i="1"/>
  <c r="EN44" i="1"/>
  <c r="EN3" i="1"/>
  <c r="BG214" i="1"/>
  <c r="BH214" i="1" s="1"/>
  <c r="EN251" i="1"/>
  <c r="CA251" i="1"/>
  <c r="CB251" i="1" s="1"/>
  <c r="EN272" i="1"/>
  <c r="EN50" i="1"/>
  <c r="EN299" i="1"/>
  <c r="EN279" i="1"/>
  <c r="EN193" i="1"/>
  <c r="EN156" i="1"/>
  <c r="EN116" i="1"/>
  <c r="EN14" i="1"/>
  <c r="EO263" i="1"/>
  <c r="AB272" i="1"/>
  <c r="AC272" i="1" s="1"/>
  <c r="EO305" i="1"/>
  <c r="GB263" i="1"/>
  <c r="FY263" i="1"/>
  <c r="FZ263" i="1" s="1"/>
  <c r="GA263" i="1" s="1"/>
  <c r="EP263" i="1"/>
  <c r="DZ305" i="1"/>
  <c r="DF263" i="1"/>
  <c r="EN8" i="1"/>
  <c r="CU183" i="1"/>
  <c r="CV183" i="1" s="1"/>
  <c r="EN166" i="1"/>
  <c r="EN246" i="1"/>
  <c r="EN82" i="1"/>
  <c r="EN248" i="1"/>
  <c r="EN129" i="1"/>
  <c r="EN169" i="1"/>
  <c r="EN24" i="1"/>
  <c r="EN117" i="1"/>
  <c r="EN225" i="1"/>
  <c r="EN80" i="1"/>
  <c r="EN175" i="1"/>
  <c r="EN64" i="1"/>
  <c r="EN216" i="1"/>
  <c r="EN38" i="1"/>
  <c r="EN226" i="1"/>
  <c r="EN77" i="1"/>
  <c r="EN191" i="1"/>
  <c r="EN71" i="1"/>
  <c r="EN222" i="1"/>
  <c r="EN259" i="1"/>
  <c r="EN32" i="1"/>
  <c r="EN63" i="1"/>
  <c r="EN243" i="1"/>
  <c r="R84" i="1"/>
  <c r="S84" i="1" s="1"/>
  <c r="R64" i="1"/>
  <c r="S64" i="1" s="1"/>
  <c r="AV259" i="1"/>
  <c r="AW259" i="1" s="1"/>
  <c r="EN177" i="1"/>
  <c r="EN162" i="1"/>
  <c r="EN254" i="1"/>
  <c r="EN159" i="1"/>
  <c r="DZ24" i="1"/>
  <c r="DY127" i="1"/>
  <c r="DZ127" i="1" s="1"/>
  <c r="AB143" i="1"/>
  <c r="AC143" i="1" s="1"/>
  <c r="EN172" i="1"/>
  <c r="EN146" i="1"/>
  <c r="AC172" i="1"/>
  <c r="EN143" i="1"/>
  <c r="AB146" i="1"/>
  <c r="AC146" i="1" s="1"/>
  <c r="DO84" i="1"/>
  <c r="DP84" i="1" s="1"/>
  <c r="DO223" i="1"/>
  <c r="DP223" i="1" s="1"/>
  <c r="EO134" i="1"/>
  <c r="DZ134" i="1"/>
  <c r="EP134" i="1"/>
  <c r="FY134" i="1"/>
  <c r="FZ134" i="1" s="1"/>
  <c r="GA134" i="1" s="1"/>
  <c r="GB134" i="1"/>
  <c r="EN106" i="1"/>
  <c r="EN145" i="1"/>
  <c r="EN98" i="1"/>
  <c r="EN119" i="1"/>
  <c r="EN103" i="1"/>
  <c r="EN16" i="1"/>
  <c r="EN200" i="1"/>
  <c r="CK177" i="1"/>
  <c r="CL177" i="1" s="1"/>
  <c r="EN114" i="1"/>
  <c r="EN241" i="1"/>
  <c r="EN70" i="1"/>
  <c r="BG216" i="1"/>
  <c r="BH216" i="1" s="1"/>
  <c r="EN201" i="1"/>
  <c r="EN47" i="1"/>
  <c r="DO299" i="1"/>
  <c r="DP299" i="1" s="1"/>
  <c r="BG162" i="1"/>
  <c r="BH162" i="1" s="1"/>
  <c r="EN264" i="1"/>
  <c r="EN198" i="1"/>
  <c r="EN111" i="1"/>
  <c r="EN283" i="1"/>
  <c r="EN153" i="1"/>
  <c r="EN247" i="1"/>
  <c r="EN199" i="1"/>
  <c r="EN288" i="1"/>
  <c r="EN238" i="1"/>
  <c r="EN152" i="1"/>
  <c r="EN9" i="1"/>
  <c r="EN282" i="1"/>
  <c r="EN188" i="1"/>
  <c r="EN187" i="1"/>
  <c r="EN228" i="1"/>
  <c r="EN29" i="1"/>
  <c r="EN118" i="1"/>
  <c r="CK111" i="1"/>
  <c r="CL111" i="1" s="1"/>
  <c r="EN62" i="1"/>
  <c r="CK290" i="1"/>
  <c r="CL290" i="1" s="1"/>
  <c r="CK288" i="1"/>
  <c r="CL288" i="1" s="1"/>
  <c r="CU199" i="1"/>
  <c r="CV199" i="1" s="1"/>
  <c r="CU247" i="1"/>
  <c r="CV247" i="1" s="1"/>
  <c r="EN167" i="1"/>
  <c r="EN95" i="1"/>
  <c r="EN37" i="1"/>
  <c r="EN291" i="1"/>
  <c r="EN127" i="1"/>
  <c r="EN274" i="1"/>
  <c r="CU125" i="1"/>
  <c r="CV125" i="1" s="1"/>
  <c r="EN174" i="1"/>
  <c r="EN303" i="1"/>
  <c r="CU198" i="1"/>
  <c r="CV198" i="1" s="1"/>
  <c r="EN126" i="1"/>
  <c r="EN176" i="1"/>
  <c r="CU264" i="1"/>
  <c r="CV264" i="1" s="1"/>
  <c r="EN296" i="1"/>
  <c r="AV187" i="1"/>
  <c r="AW187" i="1" s="1"/>
  <c r="EN97" i="1"/>
  <c r="EN7" i="1"/>
  <c r="EN250" i="1"/>
  <c r="EN224" i="1"/>
  <c r="BG228" i="1"/>
  <c r="BH228" i="1" s="1"/>
  <c r="EN163" i="1"/>
  <c r="EN218" i="1"/>
  <c r="EN302" i="1"/>
  <c r="EN36" i="1"/>
  <c r="EN30" i="1"/>
  <c r="EN104" i="1"/>
  <c r="EN138" i="1"/>
  <c r="EN286" i="1"/>
  <c r="EN151" i="1"/>
  <c r="EN195" i="1"/>
  <c r="EN12" i="1"/>
  <c r="DO286" i="1"/>
  <c r="DP286" i="1" s="1"/>
  <c r="EN295" i="1"/>
  <c r="EN76" i="1"/>
  <c r="EN160" i="1"/>
  <c r="BG176" i="1"/>
  <c r="BH176" i="1" s="1"/>
  <c r="EN255" i="1"/>
  <c r="EN107" i="1"/>
  <c r="EN217" i="1"/>
  <c r="BG302" i="1"/>
  <c r="BH302" i="1" s="1"/>
  <c r="EN128" i="1"/>
  <c r="EN256" i="1"/>
  <c r="EN154" i="1"/>
  <c r="EN133" i="1"/>
  <c r="EN275" i="1"/>
  <c r="EN157" i="1"/>
  <c r="EN40" i="1"/>
  <c r="EN21" i="1"/>
  <c r="EN135" i="1"/>
  <c r="DY243" i="1"/>
  <c r="DZ243" i="1" s="1"/>
  <c r="EN85" i="1"/>
  <c r="EN42" i="1"/>
  <c r="EN212" i="1"/>
  <c r="EN25" i="1"/>
  <c r="EN150" i="1"/>
  <c r="DO201" i="1"/>
  <c r="DP201" i="1" s="1"/>
  <c r="DY157" i="1"/>
  <c r="DZ157" i="1" s="1"/>
  <c r="EN142" i="1"/>
  <c r="DO217" i="1"/>
  <c r="DP217" i="1" s="1"/>
  <c r="EN281" i="1"/>
  <c r="EN52" i="1"/>
  <c r="EN11" i="1"/>
  <c r="DO107" i="1"/>
  <c r="DP107" i="1" s="1"/>
  <c r="DZ78" i="1"/>
  <c r="EN68" i="1"/>
  <c r="EN94" i="1"/>
  <c r="EN293" i="1"/>
  <c r="EN273" i="1"/>
  <c r="EN294" i="1"/>
  <c r="EN220" i="1"/>
  <c r="BQ294" i="1"/>
  <c r="BR294" i="1" s="1"/>
  <c r="EN148" i="1"/>
  <c r="DE251" i="1"/>
  <c r="DF251" i="1" s="1"/>
  <c r="BQ293" i="1"/>
  <c r="BR293" i="1" s="1"/>
  <c r="DE296" i="1"/>
  <c r="DF296" i="1" s="1"/>
  <c r="EN285" i="1"/>
  <c r="EN10" i="1"/>
  <c r="EN115" i="1"/>
  <c r="EN51" i="1"/>
  <c r="EN58" i="1"/>
  <c r="EN278" i="1"/>
  <c r="EN194" i="1"/>
  <c r="EN211" i="1"/>
  <c r="EN186" i="1"/>
  <c r="AL12" i="1"/>
  <c r="AM12" i="1" s="1"/>
  <c r="EN208" i="1"/>
  <c r="EN56" i="1"/>
  <c r="EN89" i="1"/>
  <c r="EN73" i="1"/>
  <c r="EN168" i="1"/>
  <c r="EN137" i="1"/>
  <c r="EN289" i="1"/>
  <c r="EN215" i="1"/>
  <c r="BG273" i="1"/>
  <c r="BH273" i="1" s="1"/>
  <c r="EN240" i="1"/>
  <c r="EN60" i="1"/>
  <c r="BG186" i="1"/>
  <c r="BH186" i="1" s="1"/>
  <c r="AV154" i="1"/>
  <c r="AW154" i="1" s="1"/>
  <c r="EN249" i="1"/>
  <c r="DO274" i="1"/>
  <c r="DP274" i="1" s="1"/>
  <c r="EN67" i="1"/>
  <c r="EN190" i="1"/>
  <c r="EN101" i="1"/>
  <c r="DY281" i="1"/>
  <c r="DZ281" i="1" s="1"/>
  <c r="EN41" i="1"/>
  <c r="EN230" i="1"/>
  <c r="EN75" i="1"/>
  <c r="EN265" i="1"/>
  <c r="EN131" i="1"/>
  <c r="EN287" i="1"/>
  <c r="EN100" i="1"/>
  <c r="EN292" i="1"/>
  <c r="EN205" i="1"/>
  <c r="EN90" i="1"/>
  <c r="EN280" i="1"/>
  <c r="DZ269" i="1"/>
  <c r="DY265" i="1"/>
  <c r="DZ265" i="1" s="1"/>
  <c r="DY115" i="1"/>
  <c r="EO115" i="1" s="1"/>
  <c r="DE75" i="1"/>
  <c r="DF75" i="1" s="1"/>
  <c r="EN252" i="1"/>
  <c r="EN78" i="1"/>
  <c r="DZ28" i="1"/>
  <c r="EN27" i="1"/>
  <c r="DE249" i="1"/>
  <c r="DF249" i="1" s="1"/>
  <c r="DY73" i="1"/>
  <c r="EO73" i="1" s="1"/>
  <c r="EN17" i="1"/>
  <c r="DY285" i="1"/>
  <c r="EO285" i="1" s="1"/>
  <c r="DE230" i="1"/>
  <c r="DF230" i="1" s="1"/>
  <c r="DY256" i="1"/>
  <c r="DZ256" i="1" s="1"/>
  <c r="DY195" i="1"/>
  <c r="DZ195" i="1" s="1"/>
  <c r="EN260" i="1"/>
  <c r="EN74" i="1"/>
  <c r="BQ260" i="1"/>
  <c r="BR260" i="1" s="1"/>
  <c r="EN300" i="1"/>
  <c r="EN20" i="1"/>
  <c r="EN141" i="1"/>
  <c r="EN39" i="1"/>
  <c r="EN239" i="1"/>
  <c r="EN221" i="1"/>
  <c r="EN269" i="1"/>
  <c r="EN164" i="1"/>
  <c r="EN19" i="1"/>
  <c r="EN113" i="1"/>
  <c r="CA41" i="1"/>
  <c r="CB41" i="1" s="1"/>
  <c r="EN109" i="1"/>
  <c r="EN34" i="1"/>
  <c r="CB14" i="1"/>
  <c r="CB47" i="1"/>
  <c r="EN28" i="1"/>
  <c r="EN173" i="1"/>
  <c r="EN233" i="1"/>
  <c r="CU239" i="1"/>
  <c r="CV239" i="1" s="1"/>
  <c r="EN207" i="1"/>
  <c r="EN192" i="1"/>
  <c r="EN284" i="1"/>
  <c r="CU133" i="1"/>
  <c r="CV133" i="1" s="1"/>
  <c r="EN136" i="1"/>
  <c r="CV100" i="1"/>
  <c r="EN120" i="1"/>
  <c r="EN46" i="1"/>
  <c r="AL3" i="1"/>
  <c r="AM3" i="1" s="1"/>
  <c r="EN268" i="1"/>
  <c r="EN229" i="1"/>
  <c r="EN33" i="1"/>
  <c r="EN121" i="1"/>
  <c r="AW179" i="1"/>
  <c r="EN179" i="1"/>
  <c r="EN57" i="1"/>
  <c r="AV113" i="1"/>
  <c r="AW113" i="1" s="1"/>
  <c r="EN91" i="1"/>
  <c r="EN144" i="1"/>
  <c r="EN110" i="1"/>
  <c r="AW49" i="1"/>
  <c r="EN132" i="1"/>
  <c r="EN81" i="1"/>
  <c r="DP94" i="1"/>
  <c r="EN130" i="1"/>
  <c r="EN5" i="1"/>
  <c r="EN182" i="1"/>
  <c r="EN69" i="1"/>
  <c r="DZ244" i="1"/>
  <c r="EN262" i="1"/>
  <c r="EN232" i="1"/>
  <c r="EN210" i="1"/>
  <c r="DE89" i="1"/>
  <c r="DF89" i="1" s="1"/>
  <c r="DY130" i="1"/>
  <c r="DZ130" i="1" s="1"/>
  <c r="DY211" i="1"/>
  <c r="DZ211" i="1" s="1"/>
  <c r="EN261" i="1"/>
  <c r="EN236" i="1"/>
  <c r="EN165" i="1"/>
  <c r="DE233" i="1"/>
  <c r="DF233" i="1" s="1"/>
  <c r="DY301" i="1"/>
  <c r="DZ301" i="1" s="1"/>
  <c r="EN180" i="1"/>
  <c r="EN140" i="1"/>
  <c r="EN237" i="1"/>
  <c r="EN149" i="1"/>
  <c r="EN139" i="1"/>
  <c r="EN65" i="1"/>
  <c r="EN122" i="1"/>
  <c r="EN244" i="1"/>
  <c r="EN59" i="1"/>
  <c r="EN277" i="1"/>
  <c r="BQ140" i="1"/>
  <c r="BR140" i="1" s="1"/>
  <c r="EN161" i="1"/>
  <c r="EN158" i="1"/>
  <c r="EN86" i="1"/>
  <c r="EN276" i="1"/>
  <c r="EN181" i="1"/>
  <c r="BQ244" i="1"/>
  <c r="BR244" i="1" s="1"/>
  <c r="EN43" i="1"/>
  <c r="DE158" i="1"/>
  <c r="DF158" i="1" s="1"/>
  <c r="EN83" i="1"/>
  <c r="EN92" i="1"/>
  <c r="EN202" i="1"/>
  <c r="BQ287" i="1"/>
  <c r="BR287" i="1" s="1"/>
  <c r="EN99" i="1"/>
  <c r="EN197" i="1"/>
  <c r="EN87" i="1"/>
  <c r="EN242" i="1"/>
  <c r="EN298" i="1"/>
  <c r="EN79" i="1"/>
  <c r="CL79" i="1"/>
  <c r="CK65" i="1"/>
  <c r="CL65" i="1" s="1"/>
  <c r="CK210" i="1"/>
  <c r="CL210" i="1" s="1"/>
  <c r="EN105" i="1"/>
  <c r="EN258" i="1"/>
  <c r="CA81" i="1"/>
  <c r="CB81" i="1" s="1"/>
  <c r="EN266" i="1"/>
  <c r="CL55" i="1"/>
  <c r="EN22" i="1"/>
  <c r="EN155" i="1"/>
  <c r="CK87" i="1"/>
  <c r="CL87" i="1" s="1"/>
  <c r="CL23" i="1"/>
  <c r="EN297" i="1"/>
  <c r="EN26" i="1"/>
  <c r="EN267" i="1"/>
  <c r="EN219" i="1"/>
  <c r="EN54" i="1"/>
  <c r="EN31" i="1"/>
  <c r="CK258" i="1"/>
  <c r="CL258" i="1" s="1"/>
  <c r="EN55" i="1"/>
  <c r="EN147" i="1"/>
  <c r="EN23" i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N124" i="1"/>
  <c r="AL5" i="1"/>
  <c r="AM5" i="1" s="1"/>
  <c r="EO250" i="1"/>
  <c r="EO267" i="1"/>
  <c r="EN253" i="1"/>
  <c r="EN245" i="1"/>
  <c r="AV149" i="1"/>
  <c r="AW149" i="1" s="1"/>
  <c r="AV16" i="1"/>
  <c r="AW16" i="1" s="1"/>
  <c r="EN235" i="1"/>
  <c r="AV99" i="1"/>
  <c r="AW99" i="1" s="1"/>
  <c r="AV284" i="1"/>
  <c r="AW284" i="1" s="1"/>
  <c r="AV170" i="1"/>
  <c r="AW170" i="1" s="1"/>
  <c r="EN72" i="1"/>
  <c r="EN171" i="1"/>
  <c r="EN213" i="1"/>
  <c r="EN189" i="1"/>
  <c r="EN35" i="1"/>
  <c r="EN270" i="1"/>
  <c r="AV105" i="1"/>
  <c r="AW105" i="1" s="1"/>
  <c r="AV219" i="1"/>
  <c r="AW219" i="1" s="1"/>
  <c r="EN203" i="1"/>
  <c r="AW203" i="1"/>
  <c r="EN49" i="1"/>
  <c r="DP210" i="1"/>
  <c r="DY13" i="1"/>
  <c r="DZ13" i="1" s="1"/>
  <c r="EN13" i="1"/>
  <c r="DF250" i="1"/>
  <c r="EO71" i="1"/>
  <c r="EO129" i="1"/>
  <c r="AB212" i="1"/>
  <c r="AC212" i="1" s="1"/>
  <c r="GB112" i="1"/>
  <c r="DY101" i="1"/>
  <c r="DZ101" i="1" s="1"/>
  <c r="FY223" i="1"/>
  <c r="FZ223" i="1" s="1"/>
  <c r="GA223" i="1" s="1"/>
  <c r="GB223" i="1"/>
  <c r="GB290" i="1"/>
  <c r="FY290" i="1"/>
  <c r="FZ290" i="1" s="1"/>
  <c r="GA290" i="1" s="1"/>
  <c r="BQ2" i="1"/>
  <c r="BR2" i="1" s="1"/>
  <c r="AM69" i="1"/>
  <c r="AC87" i="1"/>
  <c r="AM136" i="1"/>
  <c r="EO136" i="1"/>
  <c r="EO208" i="1"/>
  <c r="DZ208" i="1"/>
  <c r="EO109" i="1"/>
  <c r="CV15" i="1"/>
  <c r="EO46" i="1"/>
  <c r="DF5" i="1"/>
  <c r="EO192" i="1"/>
  <c r="DP192" i="1"/>
  <c r="DP21" i="1"/>
  <c r="EO150" i="1"/>
  <c r="EO156" i="1"/>
  <c r="DZ156" i="1"/>
  <c r="CV64" i="1"/>
  <c r="EO224" i="1"/>
  <c r="EO202" i="1"/>
  <c r="EO257" i="1"/>
  <c r="DF14" i="1"/>
  <c r="DF283" i="1"/>
  <c r="EO283" i="1"/>
  <c r="EO248" i="1"/>
  <c r="EO155" i="1"/>
  <c r="DZ257" i="1"/>
  <c r="EO144" i="1"/>
  <c r="DZ144" i="1"/>
  <c r="EO112" i="1"/>
  <c r="EO218" i="1"/>
  <c r="EO120" i="1"/>
  <c r="DE2" i="1"/>
  <c r="DF2" i="1" s="1"/>
  <c r="AB206" i="1"/>
  <c r="AC206" i="1" s="1"/>
  <c r="EN206" i="1"/>
  <c r="AB196" i="1"/>
  <c r="AC196" i="1" s="1"/>
  <c r="EN196" i="1"/>
  <c r="AM204" i="1"/>
  <c r="EN204" i="1"/>
  <c r="EO78" i="1"/>
  <c r="EO85" i="1"/>
  <c r="AV2" i="1"/>
  <c r="AW2" i="1" s="1"/>
  <c r="AM61" i="1"/>
  <c r="EN61" i="1"/>
  <c r="AB66" i="1"/>
  <c r="AC66" i="1" s="1"/>
  <c r="EN66" i="1"/>
  <c r="AL45" i="1"/>
  <c r="AM45" i="1" s="1"/>
  <c r="EN45" i="1"/>
  <c r="DF78" i="1"/>
  <c r="EO104" i="1"/>
  <c r="BR53" i="1"/>
  <c r="CL242" i="1"/>
  <c r="EO242" i="1"/>
  <c r="DF70" i="1"/>
  <c r="EO70" i="1"/>
  <c r="EO232" i="1"/>
  <c r="DF234" i="1"/>
  <c r="EO234" i="1"/>
  <c r="EO90" i="1"/>
  <c r="DF218" i="1"/>
  <c r="EO153" i="1"/>
  <c r="EO185" i="1"/>
  <c r="CK2" i="1"/>
  <c r="CL2" i="1" s="1"/>
  <c r="AM160" i="1"/>
  <c r="EO160" i="1"/>
  <c r="EO93" i="1"/>
  <c r="CV95" i="1"/>
  <c r="EO95" i="1"/>
  <c r="EO178" i="1"/>
  <c r="DF178" i="1"/>
  <c r="EO103" i="1"/>
  <c r="EO152" i="1"/>
  <c r="EO173" i="1"/>
  <c r="DZ173" i="1"/>
  <c r="EO168" i="1"/>
  <c r="EO275" i="1"/>
  <c r="CV31" i="1"/>
  <c r="EO118" i="1"/>
  <c r="DZ118" i="1"/>
  <c r="DZ299" i="1"/>
  <c r="EO88" i="1"/>
  <c r="EO161" i="1"/>
  <c r="EO68" i="1"/>
  <c r="DF56" i="1"/>
  <c r="EO145" i="1"/>
  <c r="EO290" i="1"/>
  <c r="DZ11" i="1"/>
  <c r="DZ219" i="1"/>
  <c r="DZ214" i="1"/>
  <c r="DZ107" i="1"/>
  <c r="EO220" i="1"/>
  <c r="EO96" i="1"/>
  <c r="EO225" i="1"/>
  <c r="DF111" i="1"/>
  <c r="EO80" i="1"/>
  <c r="EO110" i="1"/>
  <c r="AM4" i="1"/>
  <c r="EN4" i="1"/>
  <c r="AC193" i="1"/>
  <c r="EO193" i="1"/>
  <c r="DO2" i="1"/>
  <c r="DP2" i="1" s="1"/>
  <c r="CU2" i="1"/>
  <c r="CV2" i="1" s="1"/>
  <c r="EO94" i="1"/>
  <c r="EO119" i="1"/>
  <c r="EO128" i="1"/>
  <c r="DF145" i="1"/>
  <c r="DZ290" i="1"/>
  <c r="DF79" i="1"/>
  <c r="EO79" i="1"/>
  <c r="DF226" i="1"/>
  <c r="DZ225" i="1"/>
  <c r="DF24" i="1"/>
  <c r="EO137" i="1"/>
  <c r="EO279" i="1"/>
  <c r="EO116" i="1"/>
  <c r="EO92" i="1"/>
  <c r="EO131" i="1"/>
  <c r="EO240" i="1"/>
  <c r="EO163" i="1"/>
  <c r="EO271" i="1"/>
  <c r="EO174" i="1"/>
  <c r="EO300" i="1"/>
  <c r="EO172" i="1"/>
  <c r="EO166" i="1"/>
  <c r="EO169" i="1"/>
  <c r="DZ187" i="1"/>
  <c r="DZ279" i="1"/>
  <c r="EO298" i="1"/>
  <c r="DF45" i="1"/>
  <c r="EO72" i="1"/>
  <c r="EO216" i="1"/>
  <c r="EO179" i="1"/>
  <c r="DZ92" i="1"/>
  <c r="EO253" i="1"/>
  <c r="EO98" i="1"/>
  <c r="DZ240" i="1"/>
  <c r="EO236" i="1"/>
  <c r="DZ288" i="1"/>
  <c r="EO49" i="1"/>
  <c r="EO189" i="1"/>
  <c r="DZ174" i="1"/>
  <c r="DZ300" i="1"/>
  <c r="EO261" i="1"/>
  <c r="DZ215" i="1"/>
  <c r="DZ166" i="1"/>
  <c r="DZ292" i="1"/>
  <c r="AW201" i="1"/>
  <c r="DF52" i="1"/>
  <c r="DZ116" i="1"/>
  <c r="EO188" i="1"/>
  <c r="DZ298" i="1"/>
  <c r="CB249" i="1"/>
  <c r="EO303" i="1"/>
  <c r="EO33" i="1"/>
  <c r="EO203" i="1"/>
  <c r="EO221" i="1"/>
  <c r="DZ183" i="1"/>
  <c r="EO159" i="1"/>
  <c r="DZ49" i="1"/>
  <c r="EO180" i="1"/>
  <c r="EO67" i="1"/>
  <c r="EO231" i="1"/>
  <c r="DZ271" i="1"/>
  <c r="EO82" i="1"/>
  <c r="EO151" i="1"/>
  <c r="EO126" i="1"/>
  <c r="DF186" i="1"/>
  <c r="EO77" i="1"/>
  <c r="EO237" i="1"/>
  <c r="EO282" i="1"/>
  <c r="DF267" i="1"/>
  <c r="DZ184" i="1"/>
  <c r="EO121" i="1"/>
  <c r="EO246" i="1"/>
  <c r="DZ303" i="1"/>
  <c r="DZ272" i="1"/>
  <c r="EO222" i="1"/>
  <c r="DZ203" i="1"/>
  <c r="EO74" i="1"/>
  <c r="EP112" i="1"/>
  <c r="DZ133" i="1"/>
  <c r="EO213" i="1"/>
  <c r="DZ159" i="1"/>
  <c r="DZ239" i="1"/>
  <c r="DZ125" i="1"/>
  <c r="DZ105" i="1"/>
  <c r="DZ231" i="1"/>
  <c r="EP223" i="1"/>
  <c r="DZ151" i="1"/>
  <c r="EO164" i="1"/>
  <c r="DZ126" i="1"/>
  <c r="EO209" i="1"/>
  <c r="EO86" i="1"/>
  <c r="EO291" i="1"/>
  <c r="DZ22" i="1"/>
  <c r="EO106" i="1"/>
  <c r="EO227" i="1"/>
  <c r="DZ81" i="1"/>
  <c r="EO276" i="1"/>
  <c r="EO34" i="1"/>
  <c r="EO195" i="1"/>
  <c r="EO175" i="1"/>
  <c r="EO148" i="1"/>
  <c r="EO167" i="1"/>
  <c r="EO266" i="1"/>
  <c r="EO100" i="1"/>
  <c r="DF38" i="1"/>
  <c r="EO76" i="1"/>
  <c r="BR161" i="1"/>
  <c r="DF202" i="1"/>
  <c r="EO122" i="1"/>
  <c r="EO268" i="1"/>
  <c r="EO241" i="1"/>
  <c r="EO207" i="1"/>
  <c r="EO83" i="1"/>
  <c r="EO165" i="1"/>
  <c r="EO191" i="1"/>
  <c r="EO132" i="1"/>
  <c r="EO296" i="1"/>
  <c r="EO297" i="1"/>
  <c r="EO114" i="1"/>
  <c r="EO108" i="1"/>
  <c r="EO124" i="1"/>
  <c r="EO280" i="1"/>
  <c r="EO254" i="1"/>
  <c r="EO197" i="1"/>
  <c r="EO142" i="1"/>
  <c r="DF80" i="1"/>
  <c r="EO102" i="1"/>
  <c r="EO57" i="1"/>
  <c r="EO141" i="1"/>
  <c r="DZ12" i="1"/>
  <c r="DZ268" i="1"/>
  <c r="EO229" i="1"/>
  <c r="DZ241" i="1"/>
  <c r="DZ207" i="1"/>
  <c r="DZ131" i="1"/>
  <c r="DZ191" i="1"/>
  <c r="EO278" i="1"/>
  <c r="DZ297" i="1"/>
  <c r="EO245" i="1"/>
  <c r="EO269" i="1"/>
  <c r="DZ9" i="1"/>
  <c r="EO238" i="1"/>
  <c r="EO97" i="1"/>
  <c r="DZ172" i="1"/>
  <c r="DZ280" i="1"/>
  <c r="EO289" i="1"/>
  <c r="DZ27" i="1"/>
  <c r="EP290" i="1"/>
  <c r="EO25" i="1"/>
  <c r="EO295" i="1"/>
  <c r="DZ76" i="1"/>
  <c r="DZ182" i="1"/>
  <c r="DZ75" i="1"/>
  <c r="EO252" i="1"/>
  <c r="DZ58" i="1"/>
  <c r="EO8" i="1"/>
  <c r="DZ158" i="1"/>
  <c r="EO235" i="1"/>
  <c r="EO277" i="1"/>
  <c r="DZ264" i="1"/>
  <c r="EO171" i="1"/>
  <c r="DZ278" i="1"/>
  <c r="DZ98" i="1"/>
  <c r="DZ247" i="1"/>
  <c r="DZ16" i="1"/>
  <c r="DZ236" i="1"/>
  <c r="DZ296" i="1"/>
  <c r="DZ181" i="1"/>
  <c r="DZ108" i="1"/>
  <c r="EO139" i="1"/>
  <c r="DZ189" i="1"/>
  <c r="EO304" i="1"/>
  <c r="EO190" i="1"/>
  <c r="DZ163" i="1"/>
  <c r="DZ97" i="1"/>
  <c r="DZ261" i="1"/>
  <c r="DZ230" i="1"/>
  <c r="DZ254" i="1"/>
  <c r="DZ259" i="1"/>
  <c r="EO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O31" i="1" s="1"/>
  <c r="AL30" i="1"/>
  <c r="AM30" i="1" s="1"/>
  <c r="AL42" i="1"/>
  <c r="AM42" i="1" s="1"/>
  <c r="AL48" i="1"/>
  <c r="AM48" i="1" s="1"/>
  <c r="AL52" i="1"/>
  <c r="EO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O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N2" i="1"/>
  <c r="AC2" i="1"/>
  <c r="DZ2" i="1"/>
  <c r="FY96" i="1" l="1"/>
  <c r="FZ96" i="1" s="1"/>
  <c r="GA96" i="1" s="1"/>
  <c r="GC96" i="1" s="1"/>
  <c r="GN96" i="1" s="1"/>
  <c r="GO96" i="1" s="1"/>
  <c r="EP96" i="1"/>
  <c r="ER290" i="1"/>
  <c r="FG290" i="1" s="1"/>
  <c r="FP290" i="1" s="1"/>
  <c r="FR290" i="1" s="1"/>
  <c r="ER134" i="1"/>
  <c r="GB257" i="1"/>
  <c r="GB96" i="1"/>
  <c r="FY257" i="1"/>
  <c r="FZ257" i="1" s="1"/>
  <c r="GA257" i="1" s="1"/>
  <c r="GC257" i="1" s="1"/>
  <c r="ER263" i="1"/>
  <c r="FG263" i="1" s="1"/>
  <c r="FP263" i="1" s="1"/>
  <c r="FR263" i="1" s="1"/>
  <c r="FY202" i="1"/>
  <c r="FZ202" i="1" s="1"/>
  <c r="GA202" i="1" s="1"/>
  <c r="FY262" i="1"/>
  <c r="FZ262" i="1" s="1"/>
  <c r="GA262" i="1" s="1"/>
  <c r="FY19" i="1"/>
  <c r="FZ19" i="1" s="1"/>
  <c r="GA19" i="1" s="1"/>
  <c r="FY208" i="1"/>
  <c r="FZ208" i="1" s="1"/>
  <c r="GA208" i="1" s="1"/>
  <c r="GB11" i="1"/>
  <c r="EP107" i="1"/>
  <c r="GB274" i="1"/>
  <c r="GB71" i="1"/>
  <c r="FY44" i="1"/>
  <c r="FZ44" i="1" s="1"/>
  <c r="GA44" i="1" s="1"/>
  <c r="FY79" i="1"/>
  <c r="FZ79" i="1" s="1"/>
  <c r="GA79" i="1" s="1"/>
  <c r="FY236" i="1"/>
  <c r="FZ236" i="1" s="1"/>
  <c r="GA236" i="1" s="1"/>
  <c r="EP136" i="1"/>
  <c r="ER136" i="1"/>
  <c r="FG136" i="1" s="1"/>
  <c r="FP136" i="1" s="1"/>
  <c r="FQ136" i="1" s="1"/>
  <c r="GB215" i="1"/>
  <c r="EP275" i="1"/>
  <c r="ER275" i="1" s="1"/>
  <c r="FG275" i="1" s="1"/>
  <c r="FP275" i="1" s="1"/>
  <c r="FR275" i="1" s="1"/>
  <c r="EP127" i="1"/>
  <c r="FY299" i="1"/>
  <c r="FZ299" i="1" s="1"/>
  <c r="GA299" i="1" s="1"/>
  <c r="EP18" i="1"/>
  <c r="ER18" i="1" s="1"/>
  <c r="FG18" i="1" s="1"/>
  <c r="FP18" i="1" s="1"/>
  <c r="FQ18" i="1" s="1"/>
  <c r="EP267" i="1"/>
  <c r="ER267" i="1" s="1"/>
  <c r="FG267" i="1" s="1"/>
  <c r="FP267" i="1" s="1"/>
  <c r="FR267" i="1" s="1"/>
  <c r="EP161" i="1"/>
  <c r="ER161" i="1" s="1"/>
  <c r="FG161" i="1" s="1"/>
  <c r="FP161" i="1" s="1"/>
  <c r="FR161" i="1" s="1"/>
  <c r="FY33" i="1"/>
  <c r="FZ33" i="1" s="1"/>
  <c r="GA33" i="1" s="1"/>
  <c r="GB265" i="1"/>
  <c r="FY186" i="1"/>
  <c r="FZ186" i="1" s="1"/>
  <c r="GA186" i="1" s="1"/>
  <c r="GB133" i="1"/>
  <c r="GB62" i="1"/>
  <c r="FY70" i="1"/>
  <c r="FZ70" i="1" s="1"/>
  <c r="GA70" i="1" s="1"/>
  <c r="GB50" i="1"/>
  <c r="FY227" i="1"/>
  <c r="FZ227" i="1" s="1"/>
  <c r="GA227" i="1" s="1"/>
  <c r="FY124" i="1"/>
  <c r="FZ124" i="1" s="1"/>
  <c r="GA124" i="1" s="1"/>
  <c r="FY242" i="1"/>
  <c r="FZ242" i="1" s="1"/>
  <c r="GA242" i="1" s="1"/>
  <c r="GB229" i="1"/>
  <c r="FY260" i="1"/>
  <c r="FZ260" i="1" s="1"/>
  <c r="GA260" i="1" s="1"/>
  <c r="EP75" i="1"/>
  <c r="GB293" i="1"/>
  <c r="FY138" i="1"/>
  <c r="FZ138" i="1" s="1"/>
  <c r="GA138" i="1" s="1"/>
  <c r="FY152" i="1"/>
  <c r="FZ152" i="1" s="1"/>
  <c r="GA152" i="1" s="1"/>
  <c r="FY243" i="1"/>
  <c r="FZ243" i="1" s="1"/>
  <c r="GA243" i="1" s="1"/>
  <c r="GB272" i="1"/>
  <c r="EP189" i="1"/>
  <c r="ER189" i="1" s="1"/>
  <c r="FG189" i="1" s="1"/>
  <c r="FP189" i="1" s="1"/>
  <c r="FR189" i="1" s="1"/>
  <c r="FY147" i="1"/>
  <c r="FZ147" i="1" s="1"/>
  <c r="GA147" i="1" s="1"/>
  <c r="EP297" i="1"/>
  <c r="ER297" i="1" s="1"/>
  <c r="FG297" i="1" s="1"/>
  <c r="FP297" i="1" s="1"/>
  <c r="FQ297" i="1" s="1"/>
  <c r="EP258" i="1"/>
  <c r="FY87" i="1"/>
  <c r="FZ87" i="1" s="1"/>
  <c r="GA87" i="1" s="1"/>
  <c r="GB43" i="1"/>
  <c r="FY277" i="1"/>
  <c r="FZ277" i="1" s="1"/>
  <c r="GA277" i="1" s="1"/>
  <c r="FY140" i="1"/>
  <c r="FZ140" i="1" s="1"/>
  <c r="GA140" i="1" s="1"/>
  <c r="FY5" i="1"/>
  <c r="FZ5" i="1" s="1"/>
  <c r="GA5" i="1" s="1"/>
  <c r="EP91" i="1"/>
  <c r="EP268" i="1"/>
  <c r="ER268" i="1" s="1"/>
  <c r="FG268" i="1" s="1"/>
  <c r="FP268" i="1" s="1"/>
  <c r="FR268" i="1" s="1"/>
  <c r="GB192" i="1"/>
  <c r="GB34" i="1"/>
  <c r="GB239" i="1"/>
  <c r="FY90" i="1"/>
  <c r="FZ90" i="1" s="1"/>
  <c r="GA90" i="1" s="1"/>
  <c r="GB230" i="1"/>
  <c r="EP168" i="1"/>
  <c r="ER168" i="1" s="1"/>
  <c r="FG168" i="1" s="1"/>
  <c r="FP168" i="1" s="1"/>
  <c r="FQ168" i="1" s="1"/>
  <c r="GB194" i="1"/>
  <c r="EP94" i="1"/>
  <c r="ER94" i="1" s="1"/>
  <c r="FG94" i="1" s="1"/>
  <c r="FP94" i="1" s="1"/>
  <c r="FR94" i="1" s="1"/>
  <c r="GB142" i="1"/>
  <c r="GB256" i="1"/>
  <c r="FY76" i="1"/>
  <c r="FZ76" i="1" s="1"/>
  <c r="GA76" i="1" s="1"/>
  <c r="FY104" i="1"/>
  <c r="FZ104" i="1" s="1"/>
  <c r="GA104" i="1" s="1"/>
  <c r="GB250" i="1"/>
  <c r="EP95" i="1"/>
  <c r="ER95" i="1" s="1"/>
  <c r="FG95" i="1" s="1"/>
  <c r="FP95" i="1" s="1"/>
  <c r="FR95" i="1" s="1"/>
  <c r="FY118" i="1"/>
  <c r="FZ118" i="1" s="1"/>
  <c r="GA118" i="1" s="1"/>
  <c r="EP238" i="1"/>
  <c r="ER238" i="1" s="1"/>
  <c r="FG238" i="1" s="1"/>
  <c r="FP238" i="1" s="1"/>
  <c r="EP264" i="1"/>
  <c r="GB114" i="1"/>
  <c r="EP106" i="1"/>
  <c r="ER106" i="1" s="1"/>
  <c r="FG106" i="1" s="1"/>
  <c r="FP106" i="1" s="1"/>
  <c r="FR106" i="1" s="1"/>
  <c r="GB159" i="1"/>
  <c r="FY63" i="1"/>
  <c r="FZ63" i="1" s="1"/>
  <c r="GA63" i="1" s="1"/>
  <c r="FY38" i="1"/>
  <c r="FZ38" i="1" s="1"/>
  <c r="GA38" i="1" s="1"/>
  <c r="FY169" i="1"/>
  <c r="FZ169" i="1" s="1"/>
  <c r="GA169" i="1" s="1"/>
  <c r="EP14" i="1"/>
  <c r="GB304" i="1"/>
  <c r="FY22" i="1"/>
  <c r="FZ22" i="1" s="1"/>
  <c r="GA22" i="1" s="1"/>
  <c r="GB165" i="1"/>
  <c r="EP17" i="1"/>
  <c r="EP220" i="1"/>
  <c r="ER220" i="1"/>
  <c r="FG220" i="1" s="1"/>
  <c r="FP220" i="1" s="1"/>
  <c r="GB195" i="1"/>
  <c r="FY188" i="1"/>
  <c r="FZ188" i="1" s="1"/>
  <c r="GA188" i="1" s="1"/>
  <c r="FY172" i="1"/>
  <c r="FZ172" i="1" s="1"/>
  <c r="GA172" i="1" s="1"/>
  <c r="FY246" i="1"/>
  <c r="FZ246" i="1" s="1"/>
  <c r="GA246" i="1" s="1"/>
  <c r="GB214" i="1"/>
  <c r="GB92" i="1"/>
  <c r="FY164" i="1"/>
  <c r="FZ164" i="1" s="1"/>
  <c r="GA164" i="1" s="1"/>
  <c r="EP131" i="1"/>
  <c r="ER131" i="1" s="1"/>
  <c r="FG131" i="1" s="1"/>
  <c r="FP131" i="1" s="1"/>
  <c r="FR131" i="1" s="1"/>
  <c r="FY294" i="1"/>
  <c r="FZ294" i="1" s="1"/>
  <c r="GA294" i="1" s="1"/>
  <c r="GB255" i="1"/>
  <c r="FY282" i="1"/>
  <c r="FZ282" i="1" s="1"/>
  <c r="GA282" i="1" s="1"/>
  <c r="GB191" i="1"/>
  <c r="EP231" i="1"/>
  <c r="ER231" i="1" s="1"/>
  <c r="FG231" i="1" s="1"/>
  <c r="FP231" i="1" s="1"/>
  <c r="FR231" i="1" s="1"/>
  <c r="GB270" i="1"/>
  <c r="FY298" i="1"/>
  <c r="FZ298" i="1" s="1"/>
  <c r="GA298" i="1" s="1"/>
  <c r="EP69" i="1"/>
  <c r="EP289" i="1"/>
  <c r="ER289" i="1" s="1"/>
  <c r="FG289" i="1" s="1"/>
  <c r="FP289" i="1" s="1"/>
  <c r="GB281" i="1"/>
  <c r="FY42" i="1"/>
  <c r="FZ42" i="1" s="1"/>
  <c r="GA42" i="1" s="1"/>
  <c r="GB291" i="1"/>
  <c r="GB98" i="1"/>
  <c r="FY6" i="1"/>
  <c r="FZ6" i="1" s="1"/>
  <c r="GA6" i="1" s="1"/>
  <c r="GB235" i="1"/>
  <c r="GB23" i="1"/>
  <c r="EP284" i="1"/>
  <c r="FY27" i="1"/>
  <c r="FZ27" i="1" s="1"/>
  <c r="GA27" i="1" s="1"/>
  <c r="EP137" i="1"/>
  <c r="ER137" i="1" s="1"/>
  <c r="FG137" i="1" s="1"/>
  <c r="FP137" i="1" s="1"/>
  <c r="FY160" i="1"/>
  <c r="FZ160" i="1" s="1"/>
  <c r="GA160" i="1" s="1"/>
  <c r="EP37" i="1"/>
  <c r="GB145" i="1"/>
  <c r="GB24" i="1"/>
  <c r="FY88" i="1"/>
  <c r="FZ88" i="1" s="1"/>
  <c r="GA88" i="1" s="1"/>
  <c r="EP49" i="1"/>
  <c r="ER49" i="1" s="1"/>
  <c r="FG49" i="1" s="1"/>
  <c r="FP49" i="1" s="1"/>
  <c r="FQ49" i="1" s="1"/>
  <c r="FY213" i="1"/>
  <c r="FZ213" i="1" s="1"/>
  <c r="GA213" i="1" s="1"/>
  <c r="EP55" i="1"/>
  <c r="EP105" i="1"/>
  <c r="GB197" i="1"/>
  <c r="FY59" i="1"/>
  <c r="FZ59" i="1" s="1"/>
  <c r="GA59" i="1" s="1"/>
  <c r="EP180" i="1"/>
  <c r="ER180" i="1" s="1"/>
  <c r="FG180" i="1" s="1"/>
  <c r="FP180" i="1" s="1"/>
  <c r="FR180" i="1" s="1"/>
  <c r="FY130" i="1"/>
  <c r="FZ130" i="1" s="1"/>
  <c r="GA130" i="1" s="1"/>
  <c r="GB207" i="1"/>
  <c r="FY109" i="1"/>
  <c r="FZ109" i="1" s="1"/>
  <c r="GA109" i="1" s="1"/>
  <c r="FY39" i="1"/>
  <c r="FZ39" i="1" s="1"/>
  <c r="GA39" i="1" s="1"/>
  <c r="GB78" i="1"/>
  <c r="GB205" i="1"/>
  <c r="EP41" i="1"/>
  <c r="FY73" i="1"/>
  <c r="FZ73" i="1" s="1"/>
  <c r="GA73" i="1" s="1"/>
  <c r="FY278" i="1"/>
  <c r="FZ278" i="1" s="1"/>
  <c r="GA278" i="1" s="1"/>
  <c r="GB68" i="1"/>
  <c r="FY135" i="1"/>
  <c r="FZ135" i="1" s="1"/>
  <c r="GA135" i="1" s="1"/>
  <c r="GB128" i="1"/>
  <c r="FY295" i="1"/>
  <c r="FZ295" i="1" s="1"/>
  <c r="GA295" i="1" s="1"/>
  <c r="FY30" i="1"/>
  <c r="FZ30" i="1" s="1"/>
  <c r="GA30" i="1" s="1"/>
  <c r="EP7" i="1"/>
  <c r="GB303" i="1"/>
  <c r="GB167" i="1"/>
  <c r="FY29" i="1"/>
  <c r="FZ29" i="1" s="1"/>
  <c r="GA29" i="1" s="1"/>
  <c r="GB288" i="1"/>
  <c r="EP143" i="1"/>
  <c r="FY254" i="1"/>
  <c r="FZ254" i="1" s="1"/>
  <c r="GA254" i="1" s="1"/>
  <c r="FY32" i="1"/>
  <c r="FZ32" i="1" s="1"/>
  <c r="GA32" i="1" s="1"/>
  <c r="FY216" i="1"/>
  <c r="FZ216" i="1" s="1"/>
  <c r="GA216" i="1" s="1"/>
  <c r="FY129" i="1"/>
  <c r="FZ129" i="1" s="1"/>
  <c r="GA129" i="1" s="1"/>
  <c r="GB116" i="1"/>
  <c r="GB251" i="1"/>
  <c r="GB102" i="1"/>
  <c r="GB15" i="1"/>
  <c r="FY301" i="1"/>
  <c r="FZ301" i="1" s="1"/>
  <c r="GA301" i="1" s="1"/>
  <c r="ER257" i="1"/>
  <c r="FG257" i="1" s="1"/>
  <c r="FP257" i="1" s="1"/>
  <c r="FY54" i="1"/>
  <c r="FZ54" i="1" s="1"/>
  <c r="GA54" i="1" s="1"/>
  <c r="EP65" i="1"/>
  <c r="GB173" i="1"/>
  <c r="FY287" i="1"/>
  <c r="FZ287" i="1" s="1"/>
  <c r="GA287" i="1" s="1"/>
  <c r="GB115" i="1"/>
  <c r="FY157" i="1"/>
  <c r="FZ157" i="1" s="1"/>
  <c r="GA157" i="1" s="1"/>
  <c r="FY296" i="1"/>
  <c r="FZ296" i="1" s="1"/>
  <c r="GA296" i="1" s="1"/>
  <c r="GB153" i="1"/>
  <c r="GB103" i="1"/>
  <c r="EP80" i="1"/>
  <c r="ER80" i="1" s="1"/>
  <c r="FG80" i="1" s="1"/>
  <c r="FP80" i="1" s="1"/>
  <c r="FR80" i="1" s="1"/>
  <c r="GB185" i="1"/>
  <c r="GB158" i="1"/>
  <c r="GB28" i="1"/>
  <c r="GB67" i="1"/>
  <c r="EP52" i="1"/>
  <c r="ER52" i="1" s="1"/>
  <c r="FG52" i="1" s="1"/>
  <c r="FP52" i="1" s="1"/>
  <c r="FR52" i="1" s="1"/>
  <c r="FY163" i="1"/>
  <c r="FZ163" i="1" s="1"/>
  <c r="GA163" i="1" s="1"/>
  <c r="FY283" i="1"/>
  <c r="FZ283" i="1" s="1"/>
  <c r="GA283" i="1" s="1"/>
  <c r="FY225" i="1"/>
  <c r="FZ225" i="1" s="1"/>
  <c r="GA225" i="1" s="1"/>
  <c r="EP48" i="1"/>
  <c r="FY266" i="1"/>
  <c r="FZ266" i="1" s="1"/>
  <c r="GA266" i="1" s="1"/>
  <c r="FY149" i="1"/>
  <c r="FZ149" i="1" s="1"/>
  <c r="GA149" i="1" s="1"/>
  <c r="EP110" i="1"/>
  <c r="ER110" i="1" s="1"/>
  <c r="FG110" i="1" s="1"/>
  <c r="FP110" i="1" s="1"/>
  <c r="FR110" i="1" s="1"/>
  <c r="EP269" i="1"/>
  <c r="ER269" i="1" s="1"/>
  <c r="FG269" i="1" s="1"/>
  <c r="FP269" i="1" s="1"/>
  <c r="FQ269" i="1" s="1"/>
  <c r="FY285" i="1"/>
  <c r="FZ285" i="1" s="1"/>
  <c r="GA285" i="1" s="1"/>
  <c r="GB286" i="1"/>
  <c r="FY9" i="1"/>
  <c r="FZ9" i="1" s="1"/>
  <c r="GA9" i="1" s="1"/>
  <c r="GB77" i="1"/>
  <c r="GB93" i="1"/>
  <c r="GB35" i="1"/>
  <c r="FY237" i="1"/>
  <c r="FZ237" i="1" s="1"/>
  <c r="GA237" i="1" s="1"/>
  <c r="EP144" i="1"/>
  <c r="ER144" i="1" s="1"/>
  <c r="FG144" i="1" s="1"/>
  <c r="FP144" i="1" s="1"/>
  <c r="FR144" i="1" s="1"/>
  <c r="GB280" i="1"/>
  <c r="FY211" i="1"/>
  <c r="FZ211" i="1" s="1"/>
  <c r="GA211" i="1" s="1"/>
  <c r="GB154" i="1"/>
  <c r="EP126" i="1"/>
  <c r="ER126" i="1" s="1"/>
  <c r="FG126" i="1" s="1"/>
  <c r="FP126" i="1" s="1"/>
  <c r="FR126" i="1" s="1"/>
  <c r="GB241" i="1"/>
  <c r="FY226" i="1"/>
  <c r="FZ226" i="1" s="1"/>
  <c r="GA226" i="1" s="1"/>
  <c r="FY271" i="1"/>
  <c r="FZ271" i="1" s="1"/>
  <c r="GA271" i="1" s="1"/>
  <c r="FY171" i="1"/>
  <c r="FZ171" i="1" s="1"/>
  <c r="GA171" i="1" s="1"/>
  <c r="FY245" i="1"/>
  <c r="FZ245" i="1" s="1"/>
  <c r="GA245" i="1" s="1"/>
  <c r="GB99" i="1"/>
  <c r="EP181" i="1"/>
  <c r="EP244" i="1"/>
  <c r="GB210" i="1"/>
  <c r="FY57" i="1"/>
  <c r="FZ57" i="1" s="1"/>
  <c r="GA57" i="1" s="1"/>
  <c r="FY46" i="1"/>
  <c r="FZ46" i="1" s="1"/>
  <c r="GA46" i="1" s="1"/>
  <c r="EP141" i="1"/>
  <c r="ER141" i="1" s="1"/>
  <c r="FG141" i="1" s="1"/>
  <c r="FP141" i="1" s="1"/>
  <c r="GB252" i="1"/>
  <c r="FY292" i="1"/>
  <c r="FZ292" i="1" s="1"/>
  <c r="GA292" i="1" s="1"/>
  <c r="GB60" i="1"/>
  <c r="FY89" i="1"/>
  <c r="FZ89" i="1" s="1"/>
  <c r="GA89" i="1" s="1"/>
  <c r="GB58" i="1"/>
  <c r="GB148" i="1"/>
  <c r="GB21" i="1"/>
  <c r="FY36" i="1"/>
  <c r="FZ36" i="1" s="1"/>
  <c r="GA36" i="1" s="1"/>
  <c r="GB97" i="1"/>
  <c r="GB174" i="1"/>
  <c r="FY228" i="1"/>
  <c r="FZ228" i="1" s="1"/>
  <c r="GA228" i="1" s="1"/>
  <c r="EP199" i="1"/>
  <c r="FY200" i="1"/>
  <c r="FZ200" i="1" s="1"/>
  <c r="GA200" i="1" s="1"/>
  <c r="EP162" i="1"/>
  <c r="EP259" i="1"/>
  <c r="GB64" i="1"/>
  <c r="GB248" i="1"/>
  <c r="FY156" i="1"/>
  <c r="FZ156" i="1" s="1"/>
  <c r="GA156" i="1" s="1"/>
  <c r="EP178" i="1"/>
  <c r="ER178" i="1" s="1"/>
  <c r="FG178" i="1" s="1"/>
  <c r="FP178" i="1" s="1"/>
  <c r="GB183" i="1"/>
  <c r="FY184" i="1"/>
  <c r="FZ184" i="1" s="1"/>
  <c r="GA184" i="1" s="1"/>
  <c r="GB108" i="1"/>
  <c r="ER96" i="1"/>
  <c r="FG96" i="1" s="1"/>
  <c r="FP96" i="1" s="1"/>
  <c r="FQ96" i="1" s="1"/>
  <c r="ER123" i="1"/>
  <c r="FG123" i="1" s="1"/>
  <c r="FP123" i="1" s="1"/>
  <c r="FQ123" i="1" s="1"/>
  <c r="FY86" i="1"/>
  <c r="FZ86" i="1" s="1"/>
  <c r="GA86" i="1" s="1"/>
  <c r="GB132" i="1"/>
  <c r="GB300" i="1"/>
  <c r="FY190" i="1"/>
  <c r="FZ190" i="1" s="1"/>
  <c r="GA190" i="1" s="1"/>
  <c r="EP25" i="1"/>
  <c r="ER25" i="1"/>
  <c r="FG25" i="1" s="1"/>
  <c r="FP25" i="1" s="1"/>
  <c r="FR25" i="1" s="1"/>
  <c r="GB218" i="1"/>
  <c r="FY201" i="1"/>
  <c r="FZ201" i="1" s="1"/>
  <c r="GA201" i="1" s="1"/>
  <c r="GB279" i="1"/>
  <c r="GB170" i="1"/>
  <c r="GB219" i="1"/>
  <c r="FY139" i="1"/>
  <c r="FZ139" i="1" s="1"/>
  <c r="GA139" i="1" s="1"/>
  <c r="EP121" i="1"/>
  <c r="ER121" i="1"/>
  <c r="FG121" i="1" s="1"/>
  <c r="FP121" i="1" s="1"/>
  <c r="FQ121" i="1" s="1"/>
  <c r="EP10" i="1"/>
  <c r="GB212" i="1"/>
  <c r="GB151" i="1"/>
  <c r="EP119" i="1"/>
  <c r="ER119" i="1" s="1"/>
  <c r="FG119" i="1" s="1"/>
  <c r="FP119" i="1" s="1"/>
  <c r="FR119" i="1" s="1"/>
  <c r="FY166" i="1"/>
  <c r="FZ166" i="1" s="1"/>
  <c r="GA166" i="1" s="1"/>
  <c r="EP234" i="1"/>
  <c r="ER234" i="1" s="1"/>
  <c r="FG234" i="1" s="1"/>
  <c r="FP234" i="1" s="1"/>
  <c r="FR234" i="1" s="1"/>
  <c r="FY83" i="1"/>
  <c r="FZ83" i="1" s="1"/>
  <c r="GA83" i="1" s="1"/>
  <c r="FY261" i="1"/>
  <c r="FZ261" i="1" s="1"/>
  <c r="GA261" i="1" s="1"/>
  <c r="FY74" i="1"/>
  <c r="FZ74" i="1" s="1"/>
  <c r="GA74" i="1" s="1"/>
  <c r="FY273" i="1"/>
  <c r="FZ273" i="1" s="1"/>
  <c r="GA273" i="1" s="1"/>
  <c r="FY176" i="1"/>
  <c r="FZ176" i="1" s="1"/>
  <c r="GA176" i="1" s="1"/>
  <c r="FY111" i="1"/>
  <c r="FZ111" i="1" s="1"/>
  <c r="GA111" i="1" s="1"/>
  <c r="EP117" i="1"/>
  <c r="EP305" i="1"/>
  <c r="ER305" i="1" s="1"/>
  <c r="FG305" i="1" s="1"/>
  <c r="FP305" i="1" s="1"/>
  <c r="FR305" i="1" s="1"/>
  <c r="FY26" i="1"/>
  <c r="FZ26" i="1" s="1"/>
  <c r="GA26" i="1" s="1"/>
  <c r="EP182" i="1"/>
  <c r="FY221" i="1"/>
  <c r="FZ221" i="1" s="1"/>
  <c r="GA221" i="1" s="1"/>
  <c r="EP249" i="1"/>
  <c r="GB85" i="1"/>
  <c r="FY224" i="1"/>
  <c r="FZ224" i="1" s="1"/>
  <c r="GA224" i="1" s="1"/>
  <c r="FY198" i="1"/>
  <c r="FZ198" i="1" s="1"/>
  <c r="GA198" i="1" s="1"/>
  <c r="FY8" i="1"/>
  <c r="FZ8" i="1" s="1"/>
  <c r="GA8" i="1" s="1"/>
  <c r="FY203" i="1"/>
  <c r="FZ203" i="1" s="1"/>
  <c r="GA203" i="1" s="1"/>
  <c r="GB72" i="1"/>
  <c r="FY253" i="1"/>
  <c r="FZ253" i="1" s="1"/>
  <c r="GA253" i="1" s="1"/>
  <c r="GB31" i="1"/>
  <c r="GB155" i="1"/>
  <c r="GB276" i="1"/>
  <c r="GB122" i="1"/>
  <c r="GB232" i="1"/>
  <c r="EP81" i="1"/>
  <c r="FY179" i="1"/>
  <c r="FZ179" i="1" s="1"/>
  <c r="GA179" i="1" s="1"/>
  <c r="GB120" i="1"/>
  <c r="EP233" i="1"/>
  <c r="FY113" i="1"/>
  <c r="FZ113" i="1" s="1"/>
  <c r="GA113" i="1" s="1"/>
  <c r="FY20" i="1"/>
  <c r="FZ20" i="1" s="1"/>
  <c r="GA20" i="1" s="1"/>
  <c r="EP100" i="1"/>
  <c r="ER100" i="1" s="1"/>
  <c r="FG100" i="1" s="1"/>
  <c r="FP100" i="1" s="1"/>
  <c r="GB101" i="1"/>
  <c r="GB240" i="1"/>
  <c r="FY56" i="1"/>
  <c r="FZ56" i="1" s="1"/>
  <c r="GA56" i="1" s="1"/>
  <c r="FY51" i="1"/>
  <c r="FZ51" i="1" s="1"/>
  <c r="GA51" i="1" s="1"/>
  <c r="FY150" i="1"/>
  <c r="FZ150" i="1" s="1"/>
  <c r="GA150" i="1" s="1"/>
  <c r="GB40" i="1"/>
  <c r="FY217" i="1"/>
  <c r="FZ217" i="1" s="1"/>
  <c r="GA217" i="1" s="1"/>
  <c r="GB12" i="1"/>
  <c r="GB302" i="1"/>
  <c r="GB187" i="1"/>
  <c r="GB247" i="1"/>
  <c r="GB47" i="1"/>
  <c r="GB16" i="1"/>
  <c r="GB146" i="1"/>
  <c r="GB177" i="1"/>
  <c r="FY222" i="1"/>
  <c r="FZ222" i="1" s="1"/>
  <c r="GA222" i="1" s="1"/>
  <c r="EP175" i="1"/>
  <c r="ER175" i="1" s="1"/>
  <c r="FG175" i="1" s="1"/>
  <c r="FP175" i="1" s="1"/>
  <c r="FR175" i="1" s="1"/>
  <c r="GB82" i="1"/>
  <c r="GB193" i="1"/>
  <c r="FY3" i="1"/>
  <c r="FZ3" i="1" s="1"/>
  <c r="GA3" i="1" s="1"/>
  <c r="GB84" i="1"/>
  <c r="EP209" i="1"/>
  <c r="ER209" i="1" s="1"/>
  <c r="FG209" i="1" s="1"/>
  <c r="FP209" i="1" s="1"/>
  <c r="FR209" i="1" s="1"/>
  <c r="EP53" i="1"/>
  <c r="GB125" i="1"/>
  <c r="ER112" i="1"/>
  <c r="FG112" i="1" s="1"/>
  <c r="FP112" i="1" s="1"/>
  <c r="FQ112" i="1" s="1"/>
  <c r="GB227" i="1"/>
  <c r="EP227" i="1"/>
  <c r="ER227" i="1" s="1"/>
  <c r="FG227" i="1" s="1"/>
  <c r="FP227" i="1" s="1"/>
  <c r="FY170" i="1"/>
  <c r="FZ170" i="1" s="1"/>
  <c r="GA170" i="1" s="1"/>
  <c r="GC170" i="1" s="1"/>
  <c r="GR170" i="1" s="1"/>
  <c r="EO181" i="1"/>
  <c r="EO199" i="1"/>
  <c r="GB18" i="1"/>
  <c r="FY18" i="1"/>
  <c r="FZ18" i="1" s="1"/>
  <c r="GA18" i="1" s="1"/>
  <c r="EO184" i="1"/>
  <c r="EO125" i="1"/>
  <c r="EP170" i="1"/>
  <c r="EO214" i="1"/>
  <c r="EP125" i="1"/>
  <c r="FY125" i="1"/>
  <c r="FZ125" i="1" s="1"/>
  <c r="GA125" i="1" s="1"/>
  <c r="FY108" i="1"/>
  <c r="FZ108" i="1" s="1"/>
  <c r="GA108" i="1" s="1"/>
  <c r="EP184" i="1"/>
  <c r="GB184" i="1"/>
  <c r="GC184" i="1" s="1"/>
  <c r="EP185" i="1"/>
  <c r="ER185" i="1" s="1"/>
  <c r="EP108" i="1"/>
  <c r="GB234" i="1"/>
  <c r="FY234" i="1"/>
  <c r="FZ234" i="1" s="1"/>
  <c r="GA234" i="1" s="1"/>
  <c r="EP301" i="1"/>
  <c r="FY185" i="1"/>
  <c r="FZ185" i="1" s="1"/>
  <c r="GA185" i="1" s="1"/>
  <c r="GB301" i="1"/>
  <c r="GB209" i="1"/>
  <c r="DZ285" i="1"/>
  <c r="GB53" i="1"/>
  <c r="FY209" i="1"/>
  <c r="FZ209" i="1" s="1"/>
  <c r="GA209" i="1" s="1"/>
  <c r="FY53" i="1"/>
  <c r="FZ53" i="1" s="1"/>
  <c r="GA53" i="1" s="1"/>
  <c r="GC123" i="1"/>
  <c r="GL123" i="1" s="1"/>
  <c r="GM123" i="1" s="1"/>
  <c r="EP183" i="1"/>
  <c r="GB178" i="1"/>
  <c r="FY178" i="1"/>
  <c r="FZ178" i="1" s="1"/>
  <c r="GA178" i="1" s="1"/>
  <c r="FY231" i="1"/>
  <c r="FZ231" i="1" s="1"/>
  <c r="GA231" i="1" s="1"/>
  <c r="GB231" i="1"/>
  <c r="GB305" i="1"/>
  <c r="EO251" i="1"/>
  <c r="FY305" i="1"/>
  <c r="FZ305" i="1" s="1"/>
  <c r="GA305" i="1" s="1"/>
  <c r="DZ115" i="1"/>
  <c r="EO259" i="1"/>
  <c r="FY15" i="1"/>
  <c r="FZ15" i="1" s="1"/>
  <c r="GA15" i="1" s="1"/>
  <c r="GC15" i="1" s="1"/>
  <c r="EO273" i="1"/>
  <c r="EP15" i="1"/>
  <c r="FY183" i="1"/>
  <c r="FZ183" i="1" s="1"/>
  <c r="GA183" i="1" s="1"/>
  <c r="EO302" i="1"/>
  <c r="EP271" i="1"/>
  <c r="ER271" i="1" s="1"/>
  <c r="EP216" i="1"/>
  <c r="EP93" i="1"/>
  <c r="GB271" i="1"/>
  <c r="FY93" i="1"/>
  <c r="FZ93" i="1" s="1"/>
  <c r="GA93" i="1" s="1"/>
  <c r="GC93" i="1" s="1"/>
  <c r="GT93" i="1" s="1"/>
  <c r="GU93" i="1" s="1"/>
  <c r="GV93" i="1" s="1"/>
  <c r="EO107" i="1"/>
  <c r="EO262" i="1"/>
  <c r="EO258" i="1"/>
  <c r="EO111" i="1"/>
  <c r="EO81" i="1"/>
  <c r="EP6" i="1"/>
  <c r="GB6" i="1"/>
  <c r="EO177" i="1"/>
  <c r="GB254" i="1"/>
  <c r="EP214" i="1"/>
  <c r="FY84" i="1"/>
  <c r="FZ84" i="1" s="1"/>
  <c r="GA84" i="1" s="1"/>
  <c r="FY214" i="1"/>
  <c r="FZ214" i="1" s="1"/>
  <c r="GA214" i="1" s="1"/>
  <c r="EP84" i="1"/>
  <c r="FY251" i="1"/>
  <c r="FZ251" i="1" s="1"/>
  <c r="GA251" i="1" s="1"/>
  <c r="EP251" i="1"/>
  <c r="EP102" i="1"/>
  <c r="EP304" i="1"/>
  <c r="FY304" i="1"/>
  <c r="FZ304" i="1" s="1"/>
  <c r="GA304" i="1" s="1"/>
  <c r="GC304" i="1" s="1"/>
  <c r="FY102" i="1"/>
  <c r="FZ102" i="1" s="1"/>
  <c r="GA102" i="1" s="1"/>
  <c r="EO230" i="1"/>
  <c r="EP88" i="1"/>
  <c r="ER88" i="1" s="1"/>
  <c r="EP200" i="1"/>
  <c r="ER200" i="1" s="1"/>
  <c r="EO286" i="1"/>
  <c r="EO281" i="1"/>
  <c r="EP272" i="1"/>
  <c r="GB88" i="1"/>
  <c r="FY272" i="1"/>
  <c r="FZ272" i="1" s="1"/>
  <c r="GA272" i="1" s="1"/>
  <c r="EO201" i="1"/>
  <c r="EO299" i="1"/>
  <c r="EP299" i="1"/>
  <c r="FY143" i="1"/>
  <c r="FZ143" i="1" s="1"/>
  <c r="GA143" i="1" s="1"/>
  <c r="FY48" i="1"/>
  <c r="FZ48" i="1" s="1"/>
  <c r="GA48" i="1" s="1"/>
  <c r="FY279" i="1"/>
  <c r="FZ279" i="1" s="1"/>
  <c r="GA279" i="1" s="1"/>
  <c r="GB48" i="1"/>
  <c r="GB299" i="1"/>
  <c r="GB44" i="1"/>
  <c r="EP44" i="1"/>
  <c r="EO183" i="1"/>
  <c r="EP3" i="1"/>
  <c r="GB3" i="1"/>
  <c r="FY193" i="1"/>
  <c r="FZ193" i="1" s="1"/>
  <c r="GA193" i="1" s="1"/>
  <c r="EP279" i="1"/>
  <c r="ER279" i="1" s="1"/>
  <c r="EO187" i="1"/>
  <c r="GB32" i="1"/>
  <c r="EP32" i="1"/>
  <c r="EP50" i="1"/>
  <c r="GB216" i="1"/>
  <c r="FY50" i="1"/>
  <c r="FZ50" i="1" s="1"/>
  <c r="GA50" i="1" s="1"/>
  <c r="EO162" i="1"/>
  <c r="GB129" i="1"/>
  <c r="EP129" i="1"/>
  <c r="ER129" i="1" s="1"/>
  <c r="GB143" i="1"/>
  <c r="EP193" i="1"/>
  <c r="ER193" i="1" s="1"/>
  <c r="EO176" i="1"/>
  <c r="EO13" i="1"/>
  <c r="EP191" i="1"/>
  <c r="ER191" i="1" s="1"/>
  <c r="GB166" i="1"/>
  <c r="GB156" i="1"/>
  <c r="EP166" i="1"/>
  <c r="ER166" i="1" s="1"/>
  <c r="FY255" i="1"/>
  <c r="FZ255" i="1" s="1"/>
  <c r="GA255" i="1" s="1"/>
  <c r="FY191" i="1"/>
  <c r="FZ191" i="1" s="1"/>
  <c r="GA191" i="1" s="1"/>
  <c r="FY71" i="1"/>
  <c r="FZ71" i="1" s="1"/>
  <c r="GA71" i="1" s="1"/>
  <c r="EO260" i="1"/>
  <c r="FY116" i="1"/>
  <c r="FZ116" i="1" s="1"/>
  <c r="GA116" i="1" s="1"/>
  <c r="GB172" i="1"/>
  <c r="GB225" i="1"/>
  <c r="EP246" i="1"/>
  <c r="ER246" i="1" s="1"/>
  <c r="EP71" i="1"/>
  <c r="GB246" i="1"/>
  <c r="GB201" i="1"/>
  <c r="EP172" i="1"/>
  <c r="EP254" i="1"/>
  <c r="ER254" i="1" s="1"/>
  <c r="EP156" i="1"/>
  <c r="EP116" i="1"/>
  <c r="ER116" i="1" s="1"/>
  <c r="GB80" i="1"/>
  <c r="EO272" i="1"/>
  <c r="FY80" i="1"/>
  <c r="FZ80" i="1" s="1"/>
  <c r="GA80" i="1" s="1"/>
  <c r="EP225" i="1"/>
  <c r="FY14" i="1"/>
  <c r="FZ14" i="1" s="1"/>
  <c r="GA14" i="1" s="1"/>
  <c r="FY64" i="1"/>
  <c r="FZ64" i="1" s="1"/>
  <c r="GA64" i="1" s="1"/>
  <c r="GB14" i="1"/>
  <c r="FY162" i="1"/>
  <c r="FZ162" i="1" s="1"/>
  <c r="GA162" i="1" s="1"/>
  <c r="EP8" i="1"/>
  <c r="ER8" i="1" s="1"/>
  <c r="GB8" i="1"/>
  <c r="EO217" i="1"/>
  <c r="GC263" i="1"/>
  <c r="GF263" i="1" s="1"/>
  <c r="GG263" i="1" s="1"/>
  <c r="EO274" i="1"/>
  <c r="EO223" i="1"/>
  <c r="EO127" i="1"/>
  <c r="EO75" i="1"/>
  <c r="FY16" i="1"/>
  <c r="FZ16" i="1" s="1"/>
  <c r="GA16" i="1" s="1"/>
  <c r="EO233" i="1"/>
  <c r="FY82" i="1"/>
  <c r="FZ82" i="1" s="1"/>
  <c r="GA82" i="1" s="1"/>
  <c r="FY146" i="1"/>
  <c r="FZ146" i="1" s="1"/>
  <c r="GA146" i="1" s="1"/>
  <c r="GB222" i="1"/>
  <c r="EO294" i="1"/>
  <c r="EP222" i="1"/>
  <c r="ER222" i="1" s="1"/>
  <c r="EO287" i="1"/>
  <c r="EP82" i="1"/>
  <c r="ER82" i="1" s="1"/>
  <c r="GB162" i="1"/>
  <c r="EP248" i="1"/>
  <c r="GB259" i="1"/>
  <c r="EP64" i="1"/>
  <c r="FY58" i="1"/>
  <c r="FZ58" i="1" s="1"/>
  <c r="GA58" i="1" s="1"/>
  <c r="FY175" i="1"/>
  <c r="FZ175" i="1" s="1"/>
  <c r="GA175" i="1" s="1"/>
  <c r="FY259" i="1"/>
  <c r="FZ259" i="1" s="1"/>
  <c r="GA259" i="1" s="1"/>
  <c r="EP177" i="1"/>
  <c r="GB175" i="1"/>
  <c r="FY248" i="1"/>
  <c r="FZ248" i="1" s="1"/>
  <c r="GA248" i="1" s="1"/>
  <c r="EP228" i="1"/>
  <c r="EP38" i="1"/>
  <c r="GB169" i="1"/>
  <c r="EP169" i="1"/>
  <c r="GB63" i="1"/>
  <c r="EP63" i="1"/>
  <c r="FY117" i="1"/>
  <c r="FZ117" i="1" s="1"/>
  <c r="GA117" i="1" s="1"/>
  <c r="EP77" i="1"/>
  <c r="ER77" i="1" s="1"/>
  <c r="FY98" i="1"/>
  <c r="FZ98" i="1" s="1"/>
  <c r="GA98" i="1" s="1"/>
  <c r="FY77" i="1"/>
  <c r="FZ77" i="1" s="1"/>
  <c r="GA77" i="1" s="1"/>
  <c r="EP24" i="1"/>
  <c r="GB117" i="1"/>
  <c r="EP226" i="1"/>
  <c r="GB9" i="1"/>
  <c r="EP111" i="1"/>
  <c r="EP98" i="1"/>
  <c r="EO84" i="1"/>
  <c r="GB243" i="1"/>
  <c r="GB226" i="1"/>
  <c r="FY24" i="1"/>
  <c r="FZ24" i="1" s="1"/>
  <c r="GA24" i="1" s="1"/>
  <c r="GB70" i="1"/>
  <c r="EP70" i="1"/>
  <c r="ER70" i="1" s="1"/>
  <c r="EP159" i="1"/>
  <c r="GB38" i="1"/>
  <c r="FY159" i="1"/>
  <c r="FZ159" i="1" s="1"/>
  <c r="GA159" i="1" s="1"/>
  <c r="EP243" i="1"/>
  <c r="GB127" i="1"/>
  <c r="FY119" i="1"/>
  <c r="FZ119" i="1" s="1"/>
  <c r="GA119" i="1" s="1"/>
  <c r="GB119" i="1"/>
  <c r="EP283" i="1"/>
  <c r="ER283" i="1" s="1"/>
  <c r="GB283" i="1"/>
  <c r="FY275" i="1"/>
  <c r="FZ275" i="1" s="1"/>
  <c r="GA275" i="1" s="1"/>
  <c r="GB282" i="1"/>
  <c r="EP146" i="1"/>
  <c r="EP16" i="1"/>
  <c r="FY177" i="1"/>
  <c r="FZ177" i="1" s="1"/>
  <c r="GA177" i="1" s="1"/>
  <c r="FY247" i="1"/>
  <c r="FZ247" i="1" s="1"/>
  <c r="GA247" i="1" s="1"/>
  <c r="EP47" i="1"/>
  <c r="EO146" i="1"/>
  <c r="GB199" i="1"/>
  <c r="FY199" i="1"/>
  <c r="FZ199" i="1" s="1"/>
  <c r="GA199" i="1" s="1"/>
  <c r="GB200" i="1"/>
  <c r="EO41" i="1"/>
  <c r="GB228" i="1"/>
  <c r="EO89" i="1"/>
  <c r="FY167" i="1"/>
  <c r="FZ167" i="1" s="1"/>
  <c r="GA167" i="1" s="1"/>
  <c r="FY100" i="1"/>
  <c r="FZ100" i="1" s="1"/>
  <c r="GA100" i="1" s="1"/>
  <c r="EO243" i="1"/>
  <c r="EO130" i="1"/>
  <c r="EO293" i="1"/>
  <c r="EP167" i="1"/>
  <c r="ER167" i="1" s="1"/>
  <c r="FG167" i="1" s="1"/>
  <c r="FP167" i="1" s="1"/>
  <c r="FR167" i="1" s="1"/>
  <c r="EP153" i="1"/>
  <c r="ER153" i="1" s="1"/>
  <c r="GB188" i="1"/>
  <c r="FY103" i="1"/>
  <c r="FZ103" i="1" s="1"/>
  <c r="GA103" i="1" s="1"/>
  <c r="EP103" i="1"/>
  <c r="ER103" i="1" s="1"/>
  <c r="EP274" i="1"/>
  <c r="FY153" i="1"/>
  <c r="FZ153" i="1" s="1"/>
  <c r="GA153" i="1" s="1"/>
  <c r="FY274" i="1"/>
  <c r="FZ274" i="1" s="1"/>
  <c r="GA274" i="1" s="1"/>
  <c r="EP188" i="1"/>
  <c r="EP201" i="1"/>
  <c r="EO206" i="1"/>
  <c r="EP114" i="1"/>
  <c r="ER114" i="1" s="1"/>
  <c r="FG134" i="1"/>
  <c r="FP134" i="1" s="1"/>
  <c r="FR134" i="1" s="1"/>
  <c r="FY114" i="1"/>
  <c r="FZ114" i="1" s="1"/>
  <c r="GA114" i="1" s="1"/>
  <c r="EP145" i="1"/>
  <c r="EP241" i="1"/>
  <c r="GB106" i="1"/>
  <c r="FY241" i="1"/>
  <c r="FZ241" i="1" s="1"/>
  <c r="GA241" i="1" s="1"/>
  <c r="FY106" i="1"/>
  <c r="FZ106" i="1" s="1"/>
  <c r="GA106" i="1" s="1"/>
  <c r="FY145" i="1"/>
  <c r="FZ145" i="1" s="1"/>
  <c r="GA145" i="1" s="1"/>
  <c r="EP128" i="1"/>
  <c r="ER128" i="1" s="1"/>
  <c r="FY303" i="1"/>
  <c r="FZ303" i="1" s="1"/>
  <c r="GA303" i="1" s="1"/>
  <c r="GC134" i="1"/>
  <c r="EP296" i="1"/>
  <c r="FY47" i="1"/>
  <c r="FZ47" i="1" s="1"/>
  <c r="GA47" i="1" s="1"/>
  <c r="FY40" i="1"/>
  <c r="FZ40" i="1" s="1"/>
  <c r="GA40" i="1" s="1"/>
  <c r="EP247" i="1"/>
  <c r="EO65" i="1"/>
  <c r="EP187" i="1"/>
  <c r="EO288" i="1"/>
  <c r="FY187" i="1"/>
  <c r="FZ187" i="1" s="1"/>
  <c r="GA187" i="1" s="1"/>
  <c r="EP29" i="1"/>
  <c r="FY238" i="1"/>
  <c r="FZ238" i="1" s="1"/>
  <c r="GA238" i="1" s="1"/>
  <c r="GB224" i="1"/>
  <c r="GB29" i="1"/>
  <c r="GB278" i="1"/>
  <c r="GB295" i="1"/>
  <c r="FY154" i="1"/>
  <c r="FZ154" i="1" s="1"/>
  <c r="GA154" i="1" s="1"/>
  <c r="FY128" i="1"/>
  <c r="FZ128" i="1" s="1"/>
  <c r="GA128" i="1" s="1"/>
  <c r="FY7" i="1"/>
  <c r="FZ7" i="1" s="1"/>
  <c r="GA7" i="1" s="1"/>
  <c r="FY37" i="1"/>
  <c r="FZ37" i="1" s="1"/>
  <c r="GA37" i="1" s="1"/>
  <c r="FY264" i="1"/>
  <c r="FZ264" i="1" s="1"/>
  <c r="GA264" i="1" s="1"/>
  <c r="EP288" i="1"/>
  <c r="EP303" i="1"/>
  <c r="ER303" i="1" s="1"/>
  <c r="FY288" i="1"/>
  <c r="FZ288" i="1" s="1"/>
  <c r="GA288" i="1" s="1"/>
  <c r="GB7" i="1"/>
  <c r="GB135" i="1"/>
  <c r="GB264" i="1"/>
  <c r="EP160" i="1"/>
  <c r="GB126" i="1"/>
  <c r="GB238" i="1"/>
  <c r="EP118" i="1"/>
  <c r="EO284" i="1"/>
  <c r="FY126" i="1"/>
  <c r="FZ126" i="1" s="1"/>
  <c r="GA126" i="1" s="1"/>
  <c r="GB95" i="1"/>
  <c r="FY95" i="1"/>
  <c r="FZ95" i="1" s="1"/>
  <c r="GA95" i="1" s="1"/>
  <c r="EO149" i="1"/>
  <c r="GB198" i="1"/>
  <c r="EP293" i="1"/>
  <c r="GB37" i="1"/>
  <c r="EP198" i="1"/>
  <c r="EO154" i="1"/>
  <c r="EP152" i="1"/>
  <c r="GB152" i="1"/>
  <c r="GB118" i="1"/>
  <c r="GB160" i="1"/>
  <c r="EP224" i="1"/>
  <c r="ER224" i="1" s="1"/>
  <c r="EP62" i="1"/>
  <c r="FY286" i="1"/>
  <c r="FZ286" i="1" s="1"/>
  <c r="GA286" i="1" s="1"/>
  <c r="GB111" i="1"/>
  <c r="FY133" i="1"/>
  <c r="FZ133" i="1" s="1"/>
  <c r="GA133" i="1" s="1"/>
  <c r="GB273" i="1"/>
  <c r="EP9" i="1"/>
  <c r="EP286" i="1"/>
  <c r="EO228" i="1"/>
  <c r="EP42" i="1"/>
  <c r="EP281" i="1"/>
  <c r="FY127" i="1"/>
  <c r="FZ127" i="1" s="1"/>
  <c r="GA127" i="1" s="1"/>
  <c r="EP282" i="1"/>
  <c r="EP255" i="1"/>
  <c r="FY151" i="1"/>
  <c r="FZ151" i="1" s="1"/>
  <c r="GA151" i="1" s="1"/>
  <c r="EP151" i="1"/>
  <c r="ER151" i="1" s="1"/>
  <c r="FY281" i="1"/>
  <c r="FZ281" i="1" s="1"/>
  <c r="GA281" i="1" s="1"/>
  <c r="GB275" i="1"/>
  <c r="EO101" i="1"/>
  <c r="EP12" i="1"/>
  <c r="FY302" i="1"/>
  <c r="FZ302" i="1" s="1"/>
  <c r="GA302" i="1" s="1"/>
  <c r="FY21" i="1"/>
  <c r="FZ21" i="1" s="1"/>
  <c r="GA21" i="1" s="1"/>
  <c r="EP40" i="1"/>
  <c r="FY97" i="1"/>
  <c r="FZ97" i="1" s="1"/>
  <c r="GA97" i="1" s="1"/>
  <c r="EP101" i="1"/>
  <c r="GB51" i="1"/>
  <c r="GB46" i="1"/>
  <c r="FY12" i="1"/>
  <c r="FZ12" i="1" s="1"/>
  <c r="GA12" i="1" s="1"/>
  <c r="EP273" i="1"/>
  <c r="EP97" i="1"/>
  <c r="EP36" i="1"/>
  <c r="GB141" i="1"/>
  <c r="GB186" i="1"/>
  <c r="GB176" i="1"/>
  <c r="FY252" i="1"/>
  <c r="FZ252" i="1" s="1"/>
  <c r="GA252" i="1" s="1"/>
  <c r="FY62" i="1"/>
  <c r="FZ62" i="1" s="1"/>
  <c r="GA62" i="1" s="1"/>
  <c r="GC62" i="1" s="1"/>
  <c r="GB36" i="1"/>
  <c r="FY291" i="1"/>
  <c r="FZ291" i="1" s="1"/>
  <c r="GA291" i="1" s="1"/>
  <c r="GB285" i="1"/>
  <c r="EO247" i="1"/>
  <c r="EP174" i="1"/>
  <c r="ER174" i="1" s="1"/>
  <c r="EP186" i="1"/>
  <c r="EP285" i="1"/>
  <c r="EP291" i="1"/>
  <c r="ER291" i="1" s="1"/>
  <c r="EP148" i="1"/>
  <c r="EP176" i="1"/>
  <c r="EP133" i="1"/>
  <c r="EP21" i="1"/>
  <c r="EP58" i="1"/>
  <c r="FY174" i="1"/>
  <c r="FZ174" i="1" s="1"/>
  <c r="GA174" i="1" s="1"/>
  <c r="GB42" i="1"/>
  <c r="FY148" i="1"/>
  <c r="FZ148" i="1" s="1"/>
  <c r="GA148" i="1" s="1"/>
  <c r="EO182" i="1"/>
  <c r="EO239" i="1"/>
  <c r="EO87" i="1"/>
  <c r="GB296" i="1"/>
  <c r="EO198" i="1"/>
  <c r="EO143" i="1"/>
  <c r="EO264" i="1"/>
  <c r="ER264" i="1" s="1"/>
  <c r="EO12" i="1"/>
  <c r="ER12" i="1" s="1"/>
  <c r="EP135" i="1"/>
  <c r="EP163" i="1"/>
  <c r="EO3" i="1"/>
  <c r="GB30" i="1"/>
  <c r="FY10" i="1"/>
  <c r="FZ10" i="1" s="1"/>
  <c r="GA10" i="1" s="1"/>
  <c r="GB163" i="1"/>
  <c r="EP300" i="1"/>
  <c r="EP30" i="1"/>
  <c r="EP295" i="1"/>
  <c r="ER295" i="1" s="1"/>
  <c r="FY68" i="1"/>
  <c r="FZ68" i="1" s="1"/>
  <c r="GA68" i="1" s="1"/>
  <c r="FY212" i="1"/>
  <c r="FZ212" i="1" s="1"/>
  <c r="GA212" i="1" s="1"/>
  <c r="GC212" i="1" s="1"/>
  <c r="GT212" i="1" s="1"/>
  <c r="GU212" i="1" s="1"/>
  <c r="GV212" i="1" s="1"/>
  <c r="EP78" i="1"/>
  <c r="ER78" i="1" s="1"/>
  <c r="EP250" i="1"/>
  <c r="ER250" i="1" s="1"/>
  <c r="EP194" i="1"/>
  <c r="GB104" i="1"/>
  <c r="FY107" i="1"/>
  <c r="FZ107" i="1" s="1"/>
  <c r="GA107" i="1" s="1"/>
  <c r="FY25" i="1"/>
  <c r="FZ25" i="1" s="1"/>
  <c r="GA25" i="1" s="1"/>
  <c r="FY195" i="1"/>
  <c r="FZ195" i="1" s="1"/>
  <c r="GA195" i="1" s="1"/>
  <c r="GC195" i="1" s="1"/>
  <c r="GR195" i="1" s="1"/>
  <c r="EP208" i="1"/>
  <c r="FY218" i="1"/>
  <c r="FZ218" i="1" s="1"/>
  <c r="GA218" i="1" s="1"/>
  <c r="FY300" i="1"/>
  <c r="FZ300" i="1" s="1"/>
  <c r="GA300" i="1" s="1"/>
  <c r="GC300" i="1" s="1"/>
  <c r="EP218" i="1"/>
  <c r="ER218" i="1" s="1"/>
  <c r="GB94" i="1"/>
  <c r="FY250" i="1"/>
  <c r="FZ250" i="1" s="1"/>
  <c r="GA250" i="1" s="1"/>
  <c r="FY115" i="1"/>
  <c r="FZ115" i="1" s="1"/>
  <c r="GA115" i="1" s="1"/>
  <c r="GC115" i="1" s="1"/>
  <c r="GQ115" i="1" s="1"/>
  <c r="EP104" i="1"/>
  <c r="EP239" i="1"/>
  <c r="EP115" i="1"/>
  <c r="ER115" i="1" s="1"/>
  <c r="FY194" i="1"/>
  <c r="FZ194" i="1" s="1"/>
  <c r="GA194" i="1" s="1"/>
  <c r="GB190" i="1"/>
  <c r="GB220" i="1"/>
  <c r="EP90" i="1"/>
  <c r="EP142" i="1"/>
  <c r="EP195" i="1"/>
  <c r="ER195" i="1" s="1"/>
  <c r="EO16" i="1"/>
  <c r="EP217" i="1"/>
  <c r="EP302" i="1"/>
  <c r="EO170" i="1"/>
  <c r="EP138" i="1"/>
  <c r="ER138" i="1" s="1"/>
  <c r="EP154" i="1"/>
  <c r="EP51" i="1"/>
  <c r="EP150" i="1"/>
  <c r="GB150" i="1"/>
  <c r="GB217" i="1"/>
  <c r="GB138" i="1"/>
  <c r="GC138" i="1" s="1"/>
  <c r="GD138" i="1" s="1"/>
  <c r="FY293" i="1"/>
  <c r="FZ293" i="1" s="1"/>
  <c r="GA293" i="1" s="1"/>
  <c r="EP85" i="1"/>
  <c r="ER85" i="1" s="1"/>
  <c r="FY85" i="1"/>
  <c r="FZ85" i="1" s="1"/>
  <c r="GA85" i="1" s="1"/>
  <c r="EP230" i="1"/>
  <c r="EP192" i="1"/>
  <c r="EP190" i="1"/>
  <c r="ER190" i="1" s="1"/>
  <c r="FY165" i="1"/>
  <c r="FZ165" i="1" s="1"/>
  <c r="GA165" i="1" s="1"/>
  <c r="FY65" i="1"/>
  <c r="FZ65" i="1" s="1"/>
  <c r="GA65" i="1" s="1"/>
  <c r="GB91" i="1"/>
  <c r="GB168" i="1"/>
  <c r="GB107" i="1"/>
  <c r="GB25" i="1"/>
  <c r="FY94" i="1"/>
  <c r="FZ94" i="1" s="1"/>
  <c r="GA94" i="1" s="1"/>
  <c r="FY220" i="1"/>
  <c r="FZ220" i="1" s="1"/>
  <c r="GA220" i="1" s="1"/>
  <c r="FY17" i="1"/>
  <c r="FZ17" i="1" s="1"/>
  <c r="GA17" i="1" s="1"/>
  <c r="FY142" i="1"/>
  <c r="FZ142" i="1" s="1"/>
  <c r="GA142" i="1" s="1"/>
  <c r="EP76" i="1"/>
  <c r="EP287" i="1"/>
  <c r="FY92" i="1"/>
  <c r="FZ92" i="1" s="1"/>
  <c r="GA92" i="1" s="1"/>
  <c r="GC92" i="1" s="1"/>
  <c r="GJ92" i="1" s="1"/>
  <c r="GK92" i="1" s="1"/>
  <c r="GB287" i="1"/>
  <c r="FY168" i="1"/>
  <c r="FZ168" i="1" s="1"/>
  <c r="GA168" i="1" s="1"/>
  <c r="GB157" i="1"/>
  <c r="FY256" i="1"/>
  <c r="FZ256" i="1" s="1"/>
  <c r="GA256" i="1" s="1"/>
  <c r="GB76" i="1"/>
  <c r="GB17" i="1"/>
  <c r="FY239" i="1"/>
  <c r="FZ239" i="1" s="1"/>
  <c r="GA239" i="1" s="1"/>
  <c r="GB208" i="1"/>
  <c r="GC208" i="1" s="1"/>
  <c r="GJ208" i="1" s="1"/>
  <c r="GK208" i="1" s="1"/>
  <c r="FY11" i="1"/>
  <c r="FZ11" i="1" s="1"/>
  <c r="GA11" i="1" s="1"/>
  <c r="GC11" i="1" s="1"/>
  <c r="GF11" i="1" s="1"/>
  <c r="GG11" i="1" s="1"/>
  <c r="GB19" i="1"/>
  <c r="GC19" i="1" s="1"/>
  <c r="GT19" i="1" s="1"/>
  <c r="GU19" i="1" s="1"/>
  <c r="GV19" i="1" s="1"/>
  <c r="EP157" i="1"/>
  <c r="EP256" i="1"/>
  <c r="EP140" i="1"/>
  <c r="EP19" i="1"/>
  <c r="EP11" i="1"/>
  <c r="FY173" i="1"/>
  <c r="FZ173" i="1" s="1"/>
  <c r="GA173" i="1" s="1"/>
  <c r="GC173" i="1" s="1"/>
  <c r="EP294" i="1"/>
  <c r="EP68" i="1"/>
  <c r="GB10" i="1"/>
  <c r="FY52" i="1"/>
  <c r="FZ52" i="1" s="1"/>
  <c r="GA52" i="1" s="1"/>
  <c r="EP73" i="1"/>
  <c r="ER73" i="1" s="1"/>
  <c r="EO157" i="1"/>
  <c r="EO265" i="1"/>
  <c r="EP215" i="1"/>
  <c r="EP205" i="1"/>
  <c r="GB73" i="1"/>
  <c r="GC73" i="1" s="1"/>
  <c r="GJ73" i="1" s="1"/>
  <c r="GK73" i="1" s="1"/>
  <c r="GB294" i="1"/>
  <c r="GC294" i="1" s="1"/>
  <c r="GF294" i="1" s="1"/>
  <c r="GG294" i="1" s="1"/>
  <c r="GB52" i="1"/>
  <c r="DZ73" i="1"/>
  <c r="EP278" i="1"/>
  <c r="ER278" i="1" s="1"/>
  <c r="EO256" i="1"/>
  <c r="ER256" i="1" s="1"/>
  <c r="EP212" i="1"/>
  <c r="GB211" i="1"/>
  <c r="GB100" i="1"/>
  <c r="FY101" i="1"/>
  <c r="FZ101" i="1" s="1"/>
  <c r="GA101" i="1" s="1"/>
  <c r="EP211" i="1"/>
  <c r="EP240" i="1"/>
  <c r="ER240" i="1" s="1"/>
  <c r="EP56" i="1"/>
  <c r="EP20" i="1"/>
  <c r="FY240" i="1"/>
  <c r="FZ240" i="1" s="1"/>
  <c r="GA240" i="1" s="1"/>
  <c r="GB56" i="1"/>
  <c r="GB113" i="1"/>
  <c r="GC113" i="1" s="1"/>
  <c r="GQ113" i="1" s="1"/>
  <c r="GB20" i="1"/>
  <c r="GC20" i="1" s="1"/>
  <c r="EP113" i="1"/>
  <c r="FY137" i="1"/>
  <c r="FZ137" i="1" s="1"/>
  <c r="GA137" i="1" s="1"/>
  <c r="EP292" i="1"/>
  <c r="FY141" i="1"/>
  <c r="FZ141" i="1" s="1"/>
  <c r="GA141" i="1" s="1"/>
  <c r="FY60" i="1"/>
  <c r="FZ60" i="1" s="1"/>
  <c r="GA60" i="1" s="1"/>
  <c r="EP46" i="1"/>
  <c r="EP89" i="1"/>
  <c r="ER89" i="1" s="1"/>
  <c r="EP60" i="1"/>
  <c r="GB89" i="1"/>
  <c r="GB292" i="1"/>
  <c r="EP57" i="1"/>
  <c r="ER57" i="1" s="1"/>
  <c r="EP252" i="1"/>
  <c r="EO210" i="1"/>
  <c r="GB269" i="1"/>
  <c r="GB137" i="1"/>
  <c r="GB289" i="1"/>
  <c r="FY289" i="1"/>
  <c r="FZ289" i="1" s="1"/>
  <c r="GA289" i="1" s="1"/>
  <c r="EP67" i="1"/>
  <c r="GB249" i="1"/>
  <c r="FY249" i="1"/>
  <c r="FZ249" i="1" s="1"/>
  <c r="GA249" i="1" s="1"/>
  <c r="GB90" i="1"/>
  <c r="FY131" i="1"/>
  <c r="FZ131" i="1" s="1"/>
  <c r="GA131" i="1" s="1"/>
  <c r="FY230" i="1"/>
  <c r="FZ230" i="1" s="1"/>
  <c r="GA230" i="1" s="1"/>
  <c r="EP265" i="1"/>
  <c r="FY67" i="1"/>
  <c r="FZ67" i="1" s="1"/>
  <c r="GA67" i="1" s="1"/>
  <c r="FY265" i="1"/>
  <c r="FZ265" i="1" s="1"/>
  <c r="GA265" i="1" s="1"/>
  <c r="FY192" i="1"/>
  <c r="FZ192" i="1" s="1"/>
  <c r="GA192" i="1" s="1"/>
  <c r="GB131" i="1"/>
  <c r="FY28" i="1"/>
  <c r="FZ28" i="1" s="1"/>
  <c r="GA28" i="1" s="1"/>
  <c r="EP164" i="1"/>
  <c r="EO105" i="1"/>
  <c r="FY197" i="1"/>
  <c r="FZ197" i="1" s="1"/>
  <c r="GA197" i="1" s="1"/>
  <c r="FY215" i="1"/>
  <c r="FZ215" i="1" s="1"/>
  <c r="GA215" i="1" s="1"/>
  <c r="GB164" i="1"/>
  <c r="GB260" i="1"/>
  <c r="EO219" i="1"/>
  <c r="EP203" i="1"/>
  <c r="ER203" i="1" s="1"/>
  <c r="GB268" i="1"/>
  <c r="GB41" i="1"/>
  <c r="FY41" i="1"/>
  <c r="FZ41" i="1" s="1"/>
  <c r="GA41" i="1" s="1"/>
  <c r="EO113" i="1"/>
  <c r="EO186" i="1"/>
  <c r="FY205" i="1"/>
  <c r="FZ205" i="1" s="1"/>
  <c r="GA205" i="1" s="1"/>
  <c r="GB39" i="1"/>
  <c r="EP39" i="1"/>
  <c r="FY78" i="1"/>
  <c r="FZ78" i="1" s="1"/>
  <c r="GA78" i="1" s="1"/>
  <c r="EP27" i="1"/>
  <c r="FY280" i="1"/>
  <c r="FZ280" i="1" s="1"/>
  <c r="GA280" i="1" s="1"/>
  <c r="GB27" i="1"/>
  <c r="GB75" i="1"/>
  <c r="EP280" i="1"/>
  <c r="FY75" i="1"/>
  <c r="FZ75" i="1" s="1"/>
  <c r="GA75" i="1" s="1"/>
  <c r="EP260" i="1"/>
  <c r="FY229" i="1"/>
  <c r="FZ229" i="1" s="1"/>
  <c r="GA229" i="1" s="1"/>
  <c r="GC229" i="1" s="1"/>
  <c r="EP229" i="1"/>
  <c r="EO211" i="1"/>
  <c r="GB261" i="1"/>
  <c r="FY269" i="1"/>
  <c r="FZ269" i="1" s="1"/>
  <c r="GA269" i="1" s="1"/>
  <c r="EO158" i="1"/>
  <c r="FY110" i="1"/>
  <c r="FZ110" i="1" s="1"/>
  <c r="GA110" i="1" s="1"/>
  <c r="EP74" i="1"/>
  <c r="EO249" i="1"/>
  <c r="GB74" i="1"/>
  <c r="GB87" i="1"/>
  <c r="FY144" i="1"/>
  <c r="FZ144" i="1" s="1"/>
  <c r="GA144" i="1" s="1"/>
  <c r="EP87" i="1"/>
  <c r="GB144" i="1"/>
  <c r="FY284" i="1"/>
  <c r="FZ284" i="1" s="1"/>
  <c r="GA284" i="1" s="1"/>
  <c r="FY182" i="1"/>
  <c r="FZ182" i="1" s="1"/>
  <c r="GA182" i="1" s="1"/>
  <c r="GB284" i="1"/>
  <c r="EP221" i="1"/>
  <c r="EP43" i="1"/>
  <c r="GB221" i="1"/>
  <c r="GB182" i="1"/>
  <c r="EP237" i="1"/>
  <c r="ER237" i="1" s="1"/>
  <c r="FY43" i="1"/>
  <c r="FZ43" i="1" s="1"/>
  <c r="GA43" i="1" s="1"/>
  <c r="GB237" i="1"/>
  <c r="EO140" i="1"/>
  <c r="FY268" i="1"/>
  <c r="FZ268" i="1" s="1"/>
  <c r="GA268" i="1" s="1"/>
  <c r="GB277" i="1"/>
  <c r="GB109" i="1"/>
  <c r="GC109" i="1" s="1"/>
  <c r="GL109" i="1" s="1"/>
  <c r="GM109" i="1" s="1"/>
  <c r="EO244" i="1"/>
  <c r="EP197" i="1"/>
  <c r="EP109" i="1"/>
  <c r="EP277" i="1"/>
  <c r="EP130" i="1"/>
  <c r="GB140" i="1"/>
  <c r="GC140" i="1" s="1"/>
  <c r="EP5" i="1"/>
  <c r="EP34" i="1"/>
  <c r="ER34" i="1" s="1"/>
  <c r="FY207" i="1"/>
  <c r="FZ207" i="1" s="1"/>
  <c r="GA207" i="1" s="1"/>
  <c r="GB5" i="1"/>
  <c r="FY34" i="1"/>
  <c r="FZ34" i="1" s="1"/>
  <c r="GA34" i="1" s="1"/>
  <c r="FY91" i="1"/>
  <c r="FZ91" i="1" s="1"/>
  <c r="GA91" i="1" s="1"/>
  <c r="EP207" i="1"/>
  <c r="FY99" i="1"/>
  <c r="FZ99" i="1" s="1"/>
  <c r="GA99" i="1" s="1"/>
  <c r="GB130" i="1"/>
  <c r="EP92" i="1"/>
  <c r="ER92" i="1" s="1"/>
  <c r="GB136" i="1"/>
  <c r="GB65" i="1"/>
  <c r="EP124" i="1"/>
  <c r="EP165" i="1"/>
  <c r="EP298" i="1"/>
  <c r="EP28" i="1"/>
  <c r="EP86" i="1"/>
  <c r="ER86" i="1" s="1"/>
  <c r="FY267" i="1"/>
  <c r="FZ267" i="1" s="1"/>
  <c r="GA267" i="1" s="1"/>
  <c r="FY136" i="1"/>
  <c r="FZ136" i="1" s="1"/>
  <c r="GA136" i="1" s="1"/>
  <c r="FY132" i="1"/>
  <c r="FZ132" i="1" s="1"/>
  <c r="GA132" i="1" s="1"/>
  <c r="EP158" i="1"/>
  <c r="EP266" i="1"/>
  <c r="EP173" i="1"/>
  <c r="ER173" i="1" s="1"/>
  <c r="GB298" i="1"/>
  <c r="GB267" i="1"/>
  <c r="FY158" i="1"/>
  <c r="FZ158" i="1" s="1"/>
  <c r="GA158" i="1" s="1"/>
  <c r="EP179" i="1"/>
  <c r="ER179" i="1" s="1"/>
  <c r="EP262" i="1"/>
  <c r="EP132" i="1"/>
  <c r="EP213" i="1"/>
  <c r="EP120" i="1"/>
  <c r="FY233" i="1"/>
  <c r="FZ233" i="1" s="1"/>
  <c r="GA233" i="1" s="1"/>
  <c r="EP219" i="1"/>
  <c r="GB233" i="1"/>
  <c r="GB81" i="1"/>
  <c r="FY120" i="1"/>
  <c r="FZ120" i="1" s="1"/>
  <c r="GA120" i="1" s="1"/>
  <c r="GB262" i="1"/>
  <c r="FY81" i="1"/>
  <c r="FZ81" i="1" s="1"/>
  <c r="GA81" i="1" s="1"/>
  <c r="FY219" i="1"/>
  <c r="FZ219" i="1" s="1"/>
  <c r="GA219" i="1" s="1"/>
  <c r="GB179" i="1"/>
  <c r="EP79" i="1"/>
  <c r="ER79" i="1" s="1"/>
  <c r="EO133" i="1"/>
  <c r="GB110" i="1"/>
  <c r="EP72" i="1"/>
  <c r="ER72" i="1" s="1"/>
  <c r="EP261" i="1"/>
  <c r="FY161" i="1"/>
  <c r="FZ161" i="1" s="1"/>
  <c r="GA161" i="1" s="1"/>
  <c r="GB161" i="1"/>
  <c r="FY69" i="1"/>
  <c r="FZ69" i="1" s="1"/>
  <c r="GA69" i="1" s="1"/>
  <c r="GB33" i="1"/>
  <c r="EP33" i="1"/>
  <c r="EP149" i="1"/>
  <c r="GB149" i="1"/>
  <c r="GB69" i="1"/>
  <c r="EP253" i="1"/>
  <c r="GB139" i="1"/>
  <c r="GB245" i="1"/>
  <c r="EP245" i="1"/>
  <c r="EP236" i="1"/>
  <c r="ER236" i="1" s="1"/>
  <c r="GB121" i="1"/>
  <c r="FY121" i="1"/>
  <c r="FZ121" i="1" s="1"/>
  <c r="GA121" i="1" s="1"/>
  <c r="GB83" i="1"/>
  <c r="EP83" i="1"/>
  <c r="EP139" i="1"/>
  <c r="EP23" i="1"/>
  <c r="GB236" i="1"/>
  <c r="EO69" i="1"/>
  <c r="EP122" i="1"/>
  <c r="GB202" i="1"/>
  <c r="EO5" i="1"/>
  <c r="EP202" i="1"/>
  <c r="FY122" i="1"/>
  <c r="FZ122" i="1" s="1"/>
  <c r="GA122" i="1" s="1"/>
  <c r="GB266" i="1"/>
  <c r="GB171" i="1"/>
  <c r="EP171" i="1"/>
  <c r="ER171" i="1" s="1"/>
  <c r="GB57" i="1"/>
  <c r="GB86" i="1"/>
  <c r="GB124" i="1"/>
  <c r="GB203" i="1"/>
  <c r="GB79" i="1"/>
  <c r="EP59" i="1"/>
  <c r="EP210" i="1"/>
  <c r="GB180" i="1"/>
  <c r="FY180" i="1"/>
  <c r="FZ180" i="1" s="1"/>
  <c r="GA180" i="1" s="1"/>
  <c r="GB59" i="1"/>
  <c r="EP155" i="1"/>
  <c r="EP31" i="1"/>
  <c r="FY155" i="1"/>
  <c r="FZ155" i="1" s="1"/>
  <c r="GA155" i="1" s="1"/>
  <c r="GB49" i="1"/>
  <c r="FY49" i="1"/>
  <c r="FZ49" i="1" s="1"/>
  <c r="GA49" i="1" s="1"/>
  <c r="FY210" i="1"/>
  <c r="FZ210" i="1" s="1"/>
  <c r="GA210" i="1" s="1"/>
  <c r="FY31" i="1"/>
  <c r="FZ31" i="1" s="1"/>
  <c r="GA31" i="1" s="1"/>
  <c r="EP99" i="1"/>
  <c r="GB181" i="1"/>
  <c r="FY181" i="1"/>
  <c r="FZ181" i="1" s="1"/>
  <c r="GA181" i="1" s="1"/>
  <c r="EP232" i="1"/>
  <c r="ER232" i="1" s="1"/>
  <c r="FY232" i="1"/>
  <c r="FZ232" i="1" s="1"/>
  <c r="GA232" i="1" s="1"/>
  <c r="EP54" i="1"/>
  <c r="EP22" i="1"/>
  <c r="GB244" i="1"/>
  <c r="FY244" i="1"/>
  <c r="FZ244" i="1" s="1"/>
  <c r="GA244" i="1" s="1"/>
  <c r="FY276" i="1"/>
  <c r="FZ276" i="1" s="1"/>
  <c r="GA276" i="1" s="1"/>
  <c r="GB22" i="1"/>
  <c r="EP276" i="1"/>
  <c r="ER276" i="1" s="1"/>
  <c r="GB54" i="1"/>
  <c r="EO301" i="1"/>
  <c r="EO66" i="1"/>
  <c r="EP242" i="1"/>
  <c r="GB242" i="1"/>
  <c r="FY72" i="1"/>
  <c r="FZ72" i="1" s="1"/>
  <c r="GA72" i="1" s="1"/>
  <c r="EP26" i="1"/>
  <c r="GB253" i="1"/>
  <c r="GB26" i="1"/>
  <c r="FY23" i="1"/>
  <c r="FZ23" i="1" s="1"/>
  <c r="GA23" i="1" s="1"/>
  <c r="EP147" i="1"/>
  <c r="FY297" i="1"/>
  <c r="FZ297" i="1" s="1"/>
  <c r="GA297" i="1" s="1"/>
  <c r="GB147" i="1"/>
  <c r="FY105" i="1"/>
  <c r="FZ105" i="1" s="1"/>
  <c r="GA105" i="1" s="1"/>
  <c r="GB105" i="1"/>
  <c r="GB297" i="1"/>
  <c r="EO196" i="1"/>
  <c r="EP35" i="1"/>
  <c r="GB258" i="1"/>
  <c r="FY55" i="1"/>
  <c r="FZ55" i="1" s="1"/>
  <c r="GA55" i="1" s="1"/>
  <c r="FY35" i="1"/>
  <c r="FZ35" i="1" s="1"/>
  <c r="GA35" i="1" s="1"/>
  <c r="FY258" i="1"/>
  <c r="FZ258" i="1" s="1"/>
  <c r="GA258" i="1" s="1"/>
  <c r="GB55" i="1"/>
  <c r="EO135" i="1"/>
  <c r="EP270" i="1"/>
  <c r="FY270" i="1"/>
  <c r="FZ270" i="1" s="1"/>
  <c r="GA270" i="1" s="1"/>
  <c r="AM22" i="1"/>
  <c r="FY189" i="1"/>
  <c r="FZ189" i="1" s="1"/>
  <c r="GA189" i="1" s="1"/>
  <c r="EO42" i="1"/>
  <c r="GB189" i="1"/>
  <c r="GB213" i="1"/>
  <c r="EO91" i="1"/>
  <c r="EO45" i="1"/>
  <c r="EP235" i="1"/>
  <c r="FY235" i="1"/>
  <c r="FZ235" i="1" s="1"/>
  <c r="GA235" i="1" s="1"/>
  <c r="EO99" i="1"/>
  <c r="GB13" i="1"/>
  <c r="FY13" i="1"/>
  <c r="FZ13" i="1" s="1"/>
  <c r="GA13" i="1" s="1"/>
  <c r="EP13" i="1"/>
  <c r="EO212" i="1"/>
  <c r="GC223" i="1"/>
  <c r="GL223" i="1" s="1"/>
  <c r="GM223" i="1" s="1"/>
  <c r="FY4" i="1"/>
  <c r="FZ4" i="1" s="1"/>
  <c r="GA4" i="1" s="1"/>
  <c r="GB4" i="1"/>
  <c r="FY204" i="1"/>
  <c r="FZ204" i="1" s="1"/>
  <c r="GA204" i="1" s="1"/>
  <c r="GB204" i="1"/>
  <c r="FY206" i="1"/>
  <c r="FZ206" i="1" s="1"/>
  <c r="GA206" i="1" s="1"/>
  <c r="GB206" i="1"/>
  <c r="FY45" i="1"/>
  <c r="FZ45" i="1" s="1"/>
  <c r="GA45" i="1" s="1"/>
  <c r="GB45" i="1"/>
  <c r="FY61" i="1"/>
  <c r="FZ61" i="1" s="1"/>
  <c r="GA61" i="1" s="1"/>
  <c r="GB61" i="1"/>
  <c r="GC112" i="1"/>
  <c r="FY66" i="1"/>
  <c r="FZ66" i="1" s="1"/>
  <c r="GA66" i="1" s="1"/>
  <c r="GB66" i="1"/>
  <c r="FY196" i="1"/>
  <c r="FZ196" i="1" s="1"/>
  <c r="GA196" i="1" s="1"/>
  <c r="GB196" i="1"/>
  <c r="GC290" i="1"/>
  <c r="EO117" i="1"/>
  <c r="EO26" i="1"/>
  <c r="EO58" i="1"/>
  <c r="EO38" i="1"/>
  <c r="EP45" i="1"/>
  <c r="AM60" i="1"/>
  <c r="EO60" i="1"/>
  <c r="EO54" i="1"/>
  <c r="EO43" i="1"/>
  <c r="EO205" i="1"/>
  <c r="EO24" i="1"/>
  <c r="EO59" i="1"/>
  <c r="EO17" i="1"/>
  <c r="EO27" i="1"/>
  <c r="EP4" i="1"/>
  <c r="EP66" i="1"/>
  <c r="EP196" i="1"/>
  <c r="EP206" i="1"/>
  <c r="EO14" i="1"/>
  <c r="AM29" i="1"/>
  <c r="EO29" i="1"/>
  <c r="AM55" i="1"/>
  <c r="EO55" i="1"/>
  <c r="EO19" i="1"/>
  <c r="EO35" i="1"/>
  <c r="EO292" i="1"/>
  <c r="EO56" i="1"/>
  <c r="EO62" i="1"/>
  <c r="AM52" i="1"/>
  <c r="AM37" i="1"/>
  <c r="EO37" i="1"/>
  <c r="AM6" i="1"/>
  <c r="EO6" i="1"/>
  <c r="EO23" i="1"/>
  <c r="EO36" i="1"/>
  <c r="EO11" i="1"/>
  <c r="EO64" i="1"/>
  <c r="EO47" i="1"/>
  <c r="EO32" i="1"/>
  <c r="EO7" i="1"/>
  <c r="EO226" i="1"/>
  <c r="ER226" i="1" s="1"/>
  <c r="EO53" i="1"/>
  <c r="AM63" i="1"/>
  <c r="EO63" i="1"/>
  <c r="AM31" i="1"/>
  <c r="EO10" i="1"/>
  <c r="EO30" i="1"/>
  <c r="EO9" i="1"/>
  <c r="EP61" i="1"/>
  <c r="EP204" i="1"/>
  <c r="EO21" i="1"/>
  <c r="EO15" i="1"/>
  <c r="AM28" i="1"/>
  <c r="EO28" i="1"/>
  <c r="AM44" i="1"/>
  <c r="EO44" i="1"/>
  <c r="AM40" i="1"/>
  <c r="EO40" i="1"/>
  <c r="ER40" i="1" s="1"/>
  <c r="AM39" i="1"/>
  <c r="EO39" i="1"/>
  <c r="EO50" i="1"/>
  <c r="EO51" i="1"/>
  <c r="EO215" i="1"/>
  <c r="EO48" i="1"/>
  <c r="EO20" i="1"/>
  <c r="FY2" i="1"/>
  <c r="FZ2" i="1" s="1"/>
  <c r="GA2" i="1" s="1"/>
  <c r="GB2" i="1"/>
  <c r="EP2" i="1"/>
  <c r="EO2" i="1"/>
  <c r="ER2" i="1" s="1"/>
  <c r="GC6" i="1" l="1"/>
  <c r="GC211" i="1"/>
  <c r="GC152" i="1"/>
  <c r="ER183" i="1"/>
  <c r="GC216" i="1"/>
  <c r="GC50" i="1"/>
  <c r="GC135" i="1"/>
  <c r="GC114" i="1"/>
  <c r="GC273" i="1"/>
  <c r="GC60" i="1"/>
  <c r="GC292" i="1"/>
  <c r="ER59" i="1"/>
  <c r="FG59" i="1" s="1"/>
  <c r="FP59" i="1" s="1"/>
  <c r="FR59" i="1" s="1"/>
  <c r="ER23" i="1"/>
  <c r="FG23" i="1" s="1"/>
  <c r="FP23" i="1" s="1"/>
  <c r="FR23" i="1" s="1"/>
  <c r="ER36" i="1"/>
  <c r="GC116" i="1"/>
  <c r="GC172" i="1"/>
  <c r="GC64" i="1"/>
  <c r="ER75" i="1"/>
  <c r="GC82" i="1"/>
  <c r="GC146" i="1"/>
  <c r="GC248" i="1"/>
  <c r="GC9" i="1"/>
  <c r="ER84" i="1"/>
  <c r="GC243" i="1"/>
  <c r="GC159" i="1"/>
  <c r="GC282" i="1"/>
  <c r="GC200" i="1"/>
  <c r="GC153" i="1"/>
  <c r="GC303" i="1"/>
  <c r="GC154" i="1"/>
  <c r="GC128" i="1"/>
  <c r="ER170" i="1"/>
  <c r="FG170" i="1" s="1"/>
  <c r="FP170" i="1" s="1"/>
  <c r="GC302" i="1"/>
  <c r="GC21" i="1"/>
  <c r="GC12" i="1"/>
  <c r="GC291" i="1"/>
  <c r="GC174" i="1"/>
  <c r="ER143" i="1"/>
  <c r="FG143" i="1" s="1"/>
  <c r="FP143" i="1" s="1"/>
  <c r="FR143" i="1" s="1"/>
  <c r="ER302" i="1"/>
  <c r="FG302" i="1" s="1"/>
  <c r="FP302" i="1" s="1"/>
  <c r="FR302" i="1" s="1"/>
  <c r="GC85" i="1"/>
  <c r="ER230" i="1"/>
  <c r="GC230" i="1"/>
  <c r="GC67" i="1"/>
  <c r="GC265" i="1"/>
  <c r="GC28" i="1"/>
  <c r="ER105" i="1"/>
  <c r="FG105" i="1" s="1"/>
  <c r="FP105" i="1" s="1"/>
  <c r="ER113" i="1"/>
  <c r="FG113" i="1" s="1"/>
  <c r="FP113" i="1" s="1"/>
  <c r="FR113" i="1" s="1"/>
  <c r="GC39" i="1"/>
  <c r="GC280" i="1"/>
  <c r="GC74" i="1"/>
  <c r="GC219" i="1"/>
  <c r="ER133" i="1"/>
  <c r="FG133" i="1" s="1"/>
  <c r="FP133" i="1" s="1"/>
  <c r="FQ133" i="1" s="1"/>
  <c r="GC33" i="1"/>
  <c r="GC149" i="1"/>
  <c r="ER5" i="1"/>
  <c r="FG5" i="1" s="1"/>
  <c r="FP5" i="1" s="1"/>
  <c r="FQ5" i="1" s="1"/>
  <c r="GC57" i="1"/>
  <c r="GC86" i="1"/>
  <c r="GC124" i="1"/>
  <c r="GC203" i="1"/>
  <c r="GC210" i="1"/>
  <c r="GC31" i="1"/>
  <c r="GC276" i="1"/>
  <c r="ER301" i="1"/>
  <c r="FG301" i="1" s="1"/>
  <c r="FP301" i="1" s="1"/>
  <c r="FQ301" i="1" s="1"/>
  <c r="GC242" i="1"/>
  <c r="GC253" i="1"/>
  <c r="ER24" i="1"/>
  <c r="FG24" i="1" s="1"/>
  <c r="FP24" i="1" s="1"/>
  <c r="FR24" i="1" s="1"/>
  <c r="ER17" i="1"/>
  <c r="FG17" i="1" s="1"/>
  <c r="FP17" i="1" s="1"/>
  <c r="ER206" i="1"/>
  <c r="FG206" i="1" s="1"/>
  <c r="FP206" i="1" s="1"/>
  <c r="FQ206" i="1" s="1"/>
  <c r="ER55" i="1"/>
  <c r="FG55" i="1" s="1"/>
  <c r="FP55" i="1" s="1"/>
  <c r="ER19" i="1"/>
  <c r="FG19" i="1" s="1"/>
  <c r="FP19" i="1" s="1"/>
  <c r="FQ19" i="1" s="1"/>
  <c r="ER32" i="1"/>
  <c r="FG32" i="1" s="1"/>
  <c r="FP32" i="1" s="1"/>
  <c r="FR32" i="1" s="1"/>
  <c r="GC35" i="1"/>
  <c r="ER42" i="1"/>
  <c r="FG42" i="1" s="1"/>
  <c r="FP42" i="1" s="1"/>
  <c r="FR42" i="1" s="1"/>
  <c r="GC213" i="1"/>
  <c r="ER292" i="1"/>
  <c r="FG292" i="1" s="1"/>
  <c r="FP292" i="1" s="1"/>
  <c r="FR292" i="1" s="1"/>
  <c r="ER47" i="1"/>
  <c r="ER21" i="1"/>
  <c r="FG21" i="1" s="1"/>
  <c r="FP21" i="1" s="1"/>
  <c r="FQ21" i="1" s="1"/>
  <c r="ER44" i="1"/>
  <c r="ER48" i="1"/>
  <c r="FG48" i="1" s="1"/>
  <c r="FP48" i="1" s="1"/>
  <c r="FQ48" i="1" s="1"/>
  <c r="GC51" i="1"/>
  <c r="GC104" i="1"/>
  <c r="GC150" i="1"/>
  <c r="GC255" i="1"/>
  <c r="ER199" i="1"/>
  <c r="FG199" i="1" s="1"/>
  <c r="FP199" i="1" s="1"/>
  <c r="GC192" i="1"/>
  <c r="GC293" i="1"/>
  <c r="ER258" i="1"/>
  <c r="FG258" i="1" s="1"/>
  <c r="FP258" i="1" s="1"/>
  <c r="FR258" i="1" s="1"/>
  <c r="ER244" i="1"/>
  <c r="FG244" i="1" s="1"/>
  <c r="FP244" i="1" s="1"/>
  <c r="ER186" i="1"/>
  <c r="FG186" i="1" s="1"/>
  <c r="FP186" i="1" s="1"/>
  <c r="FR186" i="1" s="1"/>
  <c r="GC188" i="1"/>
  <c r="GH188" i="1" s="1"/>
  <c r="GI188" i="1" s="1"/>
  <c r="ER211" i="1"/>
  <c r="FG211" i="1" s="1"/>
  <c r="FP211" i="1" s="1"/>
  <c r="FR211" i="1" s="1"/>
  <c r="ER50" i="1"/>
  <c r="FG50" i="1" s="1"/>
  <c r="FP50" i="1" s="1"/>
  <c r="FQ50" i="1" s="1"/>
  <c r="ER35" i="1"/>
  <c r="FG35" i="1" s="1"/>
  <c r="FP35" i="1" s="1"/>
  <c r="FR35" i="1" s="1"/>
  <c r="GC232" i="1"/>
  <c r="GC68" i="1"/>
  <c r="ER146" i="1"/>
  <c r="FG146" i="1" s="1"/>
  <c r="FP146" i="1" s="1"/>
  <c r="FR146" i="1" s="1"/>
  <c r="GC77" i="1"/>
  <c r="GC222" i="1"/>
  <c r="GD222" i="1" s="1"/>
  <c r="GE222" i="1" s="1"/>
  <c r="ER260" i="1"/>
  <c r="FG260" i="1" s="1"/>
  <c r="FP260" i="1" s="1"/>
  <c r="FQ260" i="1" s="1"/>
  <c r="ER184" i="1"/>
  <c r="FG184" i="1" s="1"/>
  <c r="FP184" i="1" s="1"/>
  <c r="ER58" i="1"/>
  <c r="FG58" i="1" s="1"/>
  <c r="FP58" i="1" s="1"/>
  <c r="FR58" i="1" s="1"/>
  <c r="ER99" i="1"/>
  <c r="FG99" i="1" s="1"/>
  <c r="FP99" i="1" s="1"/>
  <c r="FQ99" i="1" s="1"/>
  <c r="GC147" i="1"/>
  <c r="GC72" i="1"/>
  <c r="GC83" i="1"/>
  <c r="GC240" i="1"/>
  <c r="GC250" i="1"/>
  <c r="GF250" i="1" s="1"/>
  <c r="GG250" i="1" s="1"/>
  <c r="GC148" i="1"/>
  <c r="GR148" i="1" s="1"/>
  <c r="ER81" i="1"/>
  <c r="FG81" i="1" s="1"/>
  <c r="FP81" i="1" s="1"/>
  <c r="GC108" i="1"/>
  <c r="GC133" i="1"/>
  <c r="ER205" i="1"/>
  <c r="FG205" i="1" s="1"/>
  <c r="FP205" i="1" s="1"/>
  <c r="FQ205" i="1" s="1"/>
  <c r="GC235" i="1"/>
  <c r="GC59" i="1"/>
  <c r="GC202" i="1"/>
  <c r="ER20" i="1"/>
  <c r="FG20" i="1" s="1"/>
  <c r="FP20" i="1" s="1"/>
  <c r="FR20" i="1" s="1"/>
  <c r="ER6" i="1"/>
  <c r="FG6" i="1" s="1"/>
  <c r="FP6" i="1" s="1"/>
  <c r="FR6" i="1" s="1"/>
  <c r="ER158" i="1"/>
  <c r="FG158" i="1" s="1"/>
  <c r="FP158" i="1" s="1"/>
  <c r="FQ158" i="1" s="1"/>
  <c r="GC145" i="1"/>
  <c r="GC103" i="1"/>
  <c r="ER181" i="1"/>
  <c r="FG181" i="1" s="1"/>
  <c r="FP181" i="1" s="1"/>
  <c r="FR181" i="1" s="1"/>
  <c r="ER182" i="1"/>
  <c r="FG182" i="1" s="1"/>
  <c r="FP182" i="1" s="1"/>
  <c r="FQ182" i="1" s="1"/>
  <c r="GC186" i="1"/>
  <c r="ER45" i="1"/>
  <c r="FG45" i="1" s="1"/>
  <c r="FP45" i="1" s="1"/>
  <c r="FR45" i="1" s="1"/>
  <c r="ER37" i="1"/>
  <c r="FG37" i="1" s="1"/>
  <c r="FP37" i="1" s="1"/>
  <c r="FR37" i="1" s="1"/>
  <c r="ER259" i="1"/>
  <c r="FG259" i="1" s="1"/>
  <c r="FP259" i="1" s="1"/>
  <c r="ER26" i="1"/>
  <c r="FG26" i="1" s="1"/>
  <c r="FP26" i="1" s="1"/>
  <c r="FR26" i="1" s="1"/>
  <c r="ER66" i="1"/>
  <c r="FG66" i="1" s="1"/>
  <c r="FP66" i="1" s="1"/>
  <c r="FQ66" i="1" s="1"/>
  <c r="ER69" i="1"/>
  <c r="FG69" i="1" s="1"/>
  <c r="FP69" i="1" s="1"/>
  <c r="FR69" i="1" s="1"/>
  <c r="ER10" i="1"/>
  <c r="FG10" i="1" s="1"/>
  <c r="FP10" i="1" s="1"/>
  <c r="GC3" i="1"/>
  <c r="GD3" i="1" s="1"/>
  <c r="GE3" i="1" s="1"/>
  <c r="GC271" i="1"/>
  <c r="GC299" i="1"/>
  <c r="GC254" i="1"/>
  <c r="ER196" i="1"/>
  <c r="FG196" i="1" s="1"/>
  <c r="FP196" i="1" s="1"/>
  <c r="FR196" i="1" s="1"/>
  <c r="ER187" i="1"/>
  <c r="FG187" i="1" s="1"/>
  <c r="FP187" i="1" s="1"/>
  <c r="FQ187" i="1" s="1"/>
  <c r="GC84" i="1"/>
  <c r="ER287" i="1"/>
  <c r="FG287" i="1" s="1"/>
  <c r="FP287" i="1" s="1"/>
  <c r="FQ287" i="1" s="1"/>
  <c r="ER247" i="1"/>
  <c r="FG247" i="1" s="1"/>
  <c r="FP247" i="1" s="1"/>
  <c r="FR247" i="1" s="1"/>
  <c r="ER281" i="1"/>
  <c r="FG281" i="1" s="1"/>
  <c r="FP281" i="1" s="1"/>
  <c r="FR281" i="1" s="1"/>
  <c r="ER177" i="1"/>
  <c r="FG177" i="1" s="1"/>
  <c r="FP177" i="1" s="1"/>
  <c r="FQ177" i="1" s="1"/>
  <c r="ER273" i="1"/>
  <c r="FG273" i="1" s="1"/>
  <c r="FP273" i="1" s="1"/>
  <c r="ER293" i="1"/>
  <c r="FG293" i="1" s="1"/>
  <c r="FP293" i="1" s="1"/>
  <c r="FR293" i="1" s="1"/>
  <c r="ER64" i="1"/>
  <c r="FG64" i="1" s="1"/>
  <c r="FP64" i="1" s="1"/>
  <c r="FR64" i="1" s="1"/>
  <c r="ER274" i="1"/>
  <c r="FG274" i="1" s="1"/>
  <c r="FP274" i="1" s="1"/>
  <c r="FR274" i="1" s="1"/>
  <c r="ER13" i="1"/>
  <c r="FG13" i="1" s="1"/>
  <c r="FP13" i="1" s="1"/>
  <c r="FQ13" i="1" s="1"/>
  <c r="ER286" i="1"/>
  <c r="FG286" i="1" s="1"/>
  <c r="FP286" i="1" s="1"/>
  <c r="FR286" i="1" s="1"/>
  <c r="ER140" i="1"/>
  <c r="FG140" i="1" s="1"/>
  <c r="FP140" i="1" s="1"/>
  <c r="FR140" i="1" s="1"/>
  <c r="ER228" i="1"/>
  <c r="FG228" i="1" s="1"/>
  <c r="FP228" i="1" s="1"/>
  <c r="FQ228" i="1" s="1"/>
  <c r="ER210" i="1"/>
  <c r="FG210" i="1" s="1"/>
  <c r="FP210" i="1" s="1"/>
  <c r="FR210" i="1" s="1"/>
  <c r="ER288" i="1"/>
  <c r="FG288" i="1" s="1"/>
  <c r="FP288" i="1" s="1"/>
  <c r="FQ288" i="1" s="1"/>
  <c r="ER217" i="1"/>
  <c r="FG217" i="1" s="1"/>
  <c r="FP217" i="1" s="1"/>
  <c r="FR217" i="1" s="1"/>
  <c r="ER54" i="1"/>
  <c r="FG54" i="1" s="1"/>
  <c r="FP54" i="1" s="1"/>
  <c r="FR54" i="1" s="1"/>
  <c r="ER219" i="1"/>
  <c r="FG219" i="1" s="1"/>
  <c r="FP219" i="1" s="1"/>
  <c r="FQ219" i="1" s="1"/>
  <c r="ER101" i="1"/>
  <c r="FG101" i="1" s="1"/>
  <c r="FP101" i="1" s="1"/>
  <c r="FR101" i="1" s="1"/>
  <c r="ER201" i="1"/>
  <c r="FG201" i="1" s="1"/>
  <c r="FP201" i="1" s="1"/>
  <c r="FR201" i="1" s="1"/>
  <c r="ER111" i="1"/>
  <c r="FG111" i="1" s="1"/>
  <c r="FP111" i="1" s="1"/>
  <c r="FR111" i="1" s="1"/>
  <c r="GC187" i="1"/>
  <c r="GC237" i="1"/>
  <c r="GC90" i="1"/>
  <c r="GC288" i="1"/>
  <c r="GC283" i="1"/>
  <c r="ER299" i="1"/>
  <c r="FG299" i="1" s="1"/>
  <c r="FP299" i="1" s="1"/>
  <c r="FR299" i="1" s="1"/>
  <c r="GC56" i="1"/>
  <c r="GJ56" i="1" s="1"/>
  <c r="GK56" i="1" s="1"/>
  <c r="GC111" i="1"/>
  <c r="GF111" i="1" s="1"/>
  <c r="GG111" i="1" s="1"/>
  <c r="ER284" i="1"/>
  <c r="FG284" i="1" s="1"/>
  <c r="FP284" i="1" s="1"/>
  <c r="GC38" i="1"/>
  <c r="GC42" i="1"/>
  <c r="ER65" i="1"/>
  <c r="FG65" i="1" s="1"/>
  <c r="FP65" i="1" s="1"/>
  <c r="GC164" i="1"/>
  <c r="GH164" i="1" s="1"/>
  <c r="GI164" i="1" s="1"/>
  <c r="GC142" i="1"/>
  <c r="GQ142" i="1" s="1"/>
  <c r="ER198" i="1"/>
  <c r="FG198" i="1" s="1"/>
  <c r="FP198" i="1" s="1"/>
  <c r="FR198" i="1" s="1"/>
  <c r="GC281" i="1"/>
  <c r="GC70" i="1"/>
  <c r="GC63" i="1"/>
  <c r="GC272" i="1"/>
  <c r="ER251" i="1"/>
  <c r="FG251" i="1" s="1"/>
  <c r="FP251" i="1" s="1"/>
  <c r="FR251" i="1" s="1"/>
  <c r="GC125" i="1"/>
  <c r="GQ125" i="1" s="1"/>
  <c r="GC262" i="1"/>
  <c r="GT262" i="1" s="1"/>
  <c r="GU262" i="1" s="1"/>
  <c r="GV262" i="1" s="1"/>
  <c r="GC201" i="1"/>
  <c r="GJ201" i="1" s="1"/>
  <c r="GK201" i="1" s="1"/>
  <c r="GC120" i="1"/>
  <c r="GC176" i="1"/>
  <c r="GC44" i="1"/>
  <c r="ER63" i="1"/>
  <c r="FG63" i="1" s="1"/>
  <c r="FP63" i="1" s="1"/>
  <c r="FR63" i="1" s="1"/>
  <c r="ER11" i="1"/>
  <c r="FG11" i="1" s="1"/>
  <c r="FP11" i="1" s="1"/>
  <c r="FQ11" i="1" s="1"/>
  <c r="ER62" i="1"/>
  <c r="FG62" i="1" s="1"/>
  <c r="FP62" i="1" s="1"/>
  <c r="FR62" i="1" s="1"/>
  <c r="ER38" i="1"/>
  <c r="FG38" i="1" s="1"/>
  <c r="FP38" i="1" s="1"/>
  <c r="FR38" i="1" s="1"/>
  <c r="GC26" i="1"/>
  <c r="GJ26" i="1" s="1"/>
  <c r="GK26" i="1" s="1"/>
  <c r="GC54" i="1"/>
  <c r="GC245" i="1"/>
  <c r="GC27" i="1"/>
  <c r="GC215" i="1"/>
  <c r="GC165" i="1"/>
  <c r="GC218" i="1"/>
  <c r="GQ218" i="1" s="1"/>
  <c r="GC97" i="1"/>
  <c r="GJ97" i="1" s="1"/>
  <c r="GK97" i="1" s="1"/>
  <c r="GC24" i="1"/>
  <c r="GD24" i="1" s="1"/>
  <c r="GE24" i="1" s="1"/>
  <c r="GC225" i="1"/>
  <c r="GC156" i="1"/>
  <c r="GC129" i="1"/>
  <c r="GC88" i="1"/>
  <c r="ER262" i="1"/>
  <c r="GC183" i="1"/>
  <c r="GD183" i="1" s="1"/>
  <c r="GE183" i="1" s="1"/>
  <c r="ER125" i="1"/>
  <c r="GC227" i="1"/>
  <c r="GJ227" i="1" s="1"/>
  <c r="GK227" i="1" s="1"/>
  <c r="ER130" i="1"/>
  <c r="GC98" i="1"/>
  <c r="GC270" i="1"/>
  <c r="GC132" i="1"/>
  <c r="GC252" i="1"/>
  <c r="GC16" i="1"/>
  <c r="GT16" i="1" s="1"/>
  <c r="GU16" i="1" s="1"/>
  <c r="GV16" i="1" s="1"/>
  <c r="ER56" i="1"/>
  <c r="FG56" i="1" s="1"/>
  <c r="FP56" i="1" s="1"/>
  <c r="FR56" i="1" s="1"/>
  <c r="GC155" i="1"/>
  <c r="GC79" i="1"/>
  <c r="GC122" i="1"/>
  <c r="GC139" i="1"/>
  <c r="GC179" i="1"/>
  <c r="GC298" i="1"/>
  <c r="GC99" i="1"/>
  <c r="GT99" i="1" s="1"/>
  <c r="GU99" i="1" s="1"/>
  <c r="GV99" i="1" s="1"/>
  <c r="GC277" i="1"/>
  <c r="GL277" i="1" s="1"/>
  <c r="GM277" i="1" s="1"/>
  <c r="GC87" i="1"/>
  <c r="GD87" i="1" s="1"/>
  <c r="GE87" i="1" s="1"/>
  <c r="GC197" i="1"/>
  <c r="ER60" i="1"/>
  <c r="FG60" i="1" s="1"/>
  <c r="FP60" i="1" s="1"/>
  <c r="FR60" i="1" s="1"/>
  <c r="GC101" i="1"/>
  <c r="GF101" i="1" s="1"/>
  <c r="GG101" i="1" s="1"/>
  <c r="GC157" i="1"/>
  <c r="ER3" i="1"/>
  <c r="ER87" i="1"/>
  <c r="FG87" i="1" s="1"/>
  <c r="FP87" i="1" s="1"/>
  <c r="FR87" i="1" s="1"/>
  <c r="GC285" i="1"/>
  <c r="GH285" i="1" s="1"/>
  <c r="GI285" i="1" s="1"/>
  <c r="GC151" i="1"/>
  <c r="ER9" i="1"/>
  <c r="FG9" i="1" s="1"/>
  <c r="FP9" i="1" s="1"/>
  <c r="FR9" i="1" s="1"/>
  <c r="GC118" i="1"/>
  <c r="ER149" i="1"/>
  <c r="FG149" i="1" s="1"/>
  <c r="FP149" i="1" s="1"/>
  <c r="FR149" i="1" s="1"/>
  <c r="GC47" i="1"/>
  <c r="GC226" i="1"/>
  <c r="GC169" i="1"/>
  <c r="GD169" i="1" s="1"/>
  <c r="GE169" i="1" s="1"/>
  <c r="GC58" i="1"/>
  <c r="GT58" i="1" s="1"/>
  <c r="GU58" i="1" s="1"/>
  <c r="GV58" i="1" s="1"/>
  <c r="ER294" i="1"/>
  <c r="FG294" i="1" s="1"/>
  <c r="FP294" i="1" s="1"/>
  <c r="FQ294" i="1" s="1"/>
  <c r="GC166" i="1"/>
  <c r="GC193" i="1"/>
  <c r="GC279" i="1"/>
  <c r="GD279" i="1" s="1"/>
  <c r="GE279" i="1" s="1"/>
  <c r="ER214" i="1"/>
  <c r="ER208" i="1"/>
  <c r="FG208" i="1" s="1"/>
  <c r="FP208" i="1" s="1"/>
  <c r="ER192" i="1"/>
  <c r="FG192" i="1" s="1"/>
  <c r="FP192" i="1" s="1"/>
  <c r="ER139" i="1"/>
  <c r="FG139" i="1" s="1"/>
  <c r="FP139" i="1" s="1"/>
  <c r="ER16" i="1"/>
  <c r="FG16" i="1" s="1"/>
  <c r="FP16" i="1" s="1"/>
  <c r="ER188" i="1"/>
  <c r="FG188" i="1" s="1"/>
  <c r="FP188" i="1" s="1"/>
  <c r="FR188" i="1" s="1"/>
  <c r="ER156" i="1"/>
  <c r="FG156" i="1" s="1"/>
  <c r="FP156" i="1" s="1"/>
  <c r="ER304" i="1"/>
  <c r="FG304" i="1" s="1"/>
  <c r="FP304" i="1" s="1"/>
  <c r="ER204" i="1"/>
  <c r="FG204" i="1" s="1"/>
  <c r="FP204" i="1" s="1"/>
  <c r="FR204" i="1" s="1"/>
  <c r="ER120" i="1"/>
  <c r="FG120" i="1" s="1"/>
  <c r="FP120" i="1" s="1"/>
  <c r="ER298" i="1"/>
  <c r="FG298" i="1" s="1"/>
  <c r="FP298" i="1" s="1"/>
  <c r="ER221" i="1"/>
  <c r="FG221" i="1" s="1"/>
  <c r="FP221" i="1" s="1"/>
  <c r="ER97" i="1"/>
  <c r="FG97" i="1" s="1"/>
  <c r="FP97" i="1" s="1"/>
  <c r="ER61" i="1"/>
  <c r="FG61" i="1" s="1"/>
  <c r="FP61" i="1" s="1"/>
  <c r="ER235" i="1"/>
  <c r="FG235" i="1" s="1"/>
  <c r="FP235" i="1" s="1"/>
  <c r="ER164" i="1"/>
  <c r="FG164" i="1" s="1"/>
  <c r="FP164" i="1" s="1"/>
  <c r="GC287" i="1"/>
  <c r="GT287" i="1" s="1"/>
  <c r="GU287" i="1" s="1"/>
  <c r="GV287" i="1" s="1"/>
  <c r="ER145" i="1"/>
  <c r="FG145" i="1" s="1"/>
  <c r="FP145" i="1" s="1"/>
  <c r="ER127" i="1"/>
  <c r="FG127" i="1" s="1"/>
  <c r="FP127" i="1" s="1"/>
  <c r="GC34" i="1"/>
  <c r="ER90" i="1"/>
  <c r="FG90" i="1" s="1"/>
  <c r="FP90" i="1" s="1"/>
  <c r="ER162" i="1"/>
  <c r="FG162" i="1" s="1"/>
  <c r="FP162" i="1" s="1"/>
  <c r="ER202" i="1"/>
  <c r="FG202" i="1" s="1"/>
  <c r="FP202" i="1" s="1"/>
  <c r="ER150" i="1"/>
  <c r="FG150" i="1" s="1"/>
  <c r="FP150" i="1" s="1"/>
  <c r="ER31" i="1"/>
  <c r="FG31" i="1" s="1"/>
  <c r="FP31" i="1" s="1"/>
  <c r="ER83" i="1"/>
  <c r="FG83" i="1" s="1"/>
  <c r="FP83" i="1" s="1"/>
  <c r="ER104" i="1"/>
  <c r="FG104" i="1" s="1"/>
  <c r="FP104" i="1" s="1"/>
  <c r="ER255" i="1"/>
  <c r="FG255" i="1" s="1"/>
  <c r="FP255" i="1" s="1"/>
  <c r="ER241" i="1"/>
  <c r="FG241" i="1" s="1"/>
  <c r="FP241" i="1" s="1"/>
  <c r="ER223" i="1"/>
  <c r="FG223" i="1" s="1"/>
  <c r="FP223" i="1" s="1"/>
  <c r="FG191" i="1"/>
  <c r="FP191" i="1" s="1"/>
  <c r="ER43" i="1"/>
  <c r="FG43" i="1" s="1"/>
  <c r="FP43" i="1" s="1"/>
  <c r="FR43" i="1" s="1"/>
  <c r="ER266" i="1"/>
  <c r="FG266" i="1" s="1"/>
  <c r="FP266" i="1" s="1"/>
  <c r="GC78" i="1"/>
  <c r="GJ78" i="1" s="1"/>
  <c r="GK78" i="1" s="1"/>
  <c r="ER124" i="1"/>
  <c r="FG124" i="1" s="1"/>
  <c r="FP124" i="1" s="1"/>
  <c r="ER277" i="1"/>
  <c r="FG277" i="1" s="1"/>
  <c r="FP277" i="1" s="1"/>
  <c r="FG203" i="1"/>
  <c r="FP203" i="1" s="1"/>
  <c r="ER248" i="1"/>
  <c r="FG248" i="1" s="1"/>
  <c r="FP248" i="1" s="1"/>
  <c r="ER225" i="1"/>
  <c r="FG225" i="1" s="1"/>
  <c r="FP225" i="1" s="1"/>
  <c r="ER265" i="1"/>
  <c r="FG265" i="1" s="1"/>
  <c r="FP265" i="1" s="1"/>
  <c r="FQ265" i="1" s="1"/>
  <c r="ER51" i="1"/>
  <c r="FG51" i="1" s="1"/>
  <c r="FP51" i="1" s="1"/>
  <c r="FQ51" i="1" s="1"/>
  <c r="ER28" i="1"/>
  <c r="FG28" i="1" s="1"/>
  <c r="FP28" i="1" s="1"/>
  <c r="FR28" i="1" s="1"/>
  <c r="ER27" i="1"/>
  <c r="FG27" i="1" s="1"/>
  <c r="FP27" i="1" s="1"/>
  <c r="FQ27" i="1" s="1"/>
  <c r="ER91" i="1"/>
  <c r="FG91" i="1" s="1"/>
  <c r="FP91" i="1" s="1"/>
  <c r="ER135" i="1"/>
  <c r="FG135" i="1" s="1"/>
  <c r="FP135" i="1" s="1"/>
  <c r="FQ135" i="1" s="1"/>
  <c r="ER157" i="1"/>
  <c r="FG157" i="1" s="1"/>
  <c r="FP157" i="1" s="1"/>
  <c r="FQ157" i="1" s="1"/>
  <c r="ER272" i="1"/>
  <c r="FG272" i="1" s="1"/>
  <c r="FP272" i="1" s="1"/>
  <c r="FR272" i="1" s="1"/>
  <c r="ER53" i="1"/>
  <c r="FG53" i="1" s="1"/>
  <c r="FP53" i="1" s="1"/>
  <c r="ER74" i="1"/>
  <c r="FG74" i="1" s="1"/>
  <c r="FP74" i="1" s="1"/>
  <c r="FQ74" i="1" s="1"/>
  <c r="FG190" i="1"/>
  <c r="FP190" i="1" s="1"/>
  <c r="ER41" i="1"/>
  <c r="FG41" i="1" s="1"/>
  <c r="FP41" i="1" s="1"/>
  <c r="FG173" i="1"/>
  <c r="FP173" i="1" s="1"/>
  <c r="FR173" i="1" s="1"/>
  <c r="ER68" i="1"/>
  <c r="FG68" i="1" s="1"/>
  <c r="FP68" i="1" s="1"/>
  <c r="FQ68" i="1" s="1"/>
  <c r="ER102" i="1"/>
  <c r="FG102" i="1" s="1"/>
  <c r="FP102" i="1" s="1"/>
  <c r="ER108" i="1"/>
  <c r="FG108" i="1" s="1"/>
  <c r="FP108" i="1" s="1"/>
  <c r="ER253" i="1"/>
  <c r="FG253" i="1" s="1"/>
  <c r="FP253" i="1" s="1"/>
  <c r="ER249" i="1"/>
  <c r="FG249" i="1" s="1"/>
  <c r="FP249" i="1" s="1"/>
  <c r="ER242" i="1"/>
  <c r="FG242" i="1" s="1"/>
  <c r="FP242" i="1" s="1"/>
  <c r="ER132" i="1"/>
  <c r="FG132" i="1" s="1"/>
  <c r="FP132" i="1" s="1"/>
  <c r="FG291" i="1"/>
  <c r="FP291" i="1" s="1"/>
  <c r="FQ291" i="1" s="1"/>
  <c r="ER243" i="1"/>
  <c r="ER176" i="1"/>
  <c r="FG176" i="1" s="1"/>
  <c r="FP176" i="1" s="1"/>
  <c r="FR176" i="1" s="1"/>
  <c r="ER163" i="1"/>
  <c r="FG163" i="1" s="1"/>
  <c r="FP163" i="1" s="1"/>
  <c r="FQ163" i="1" s="1"/>
  <c r="ER296" i="1"/>
  <c r="FG296" i="1" s="1"/>
  <c r="FP296" i="1" s="1"/>
  <c r="ER229" i="1"/>
  <c r="FG229" i="1" s="1"/>
  <c r="FP229" i="1" s="1"/>
  <c r="ER215" i="1"/>
  <c r="FG215" i="1" s="1"/>
  <c r="FP215" i="1" s="1"/>
  <c r="FR215" i="1" s="1"/>
  <c r="ER212" i="1"/>
  <c r="FG212" i="1" s="1"/>
  <c r="FP212" i="1" s="1"/>
  <c r="FR212" i="1" s="1"/>
  <c r="ER147" i="1"/>
  <c r="FG147" i="1" s="1"/>
  <c r="FP147" i="1" s="1"/>
  <c r="FQ147" i="1" s="1"/>
  <c r="GC171" i="1"/>
  <c r="GC236" i="1"/>
  <c r="GH236" i="1" s="1"/>
  <c r="GI236" i="1" s="1"/>
  <c r="ER245" i="1"/>
  <c r="FG245" i="1" s="1"/>
  <c r="FP245" i="1" s="1"/>
  <c r="ER33" i="1"/>
  <c r="FG33" i="1" s="1"/>
  <c r="FP33" i="1" s="1"/>
  <c r="GC158" i="1"/>
  <c r="ER46" i="1"/>
  <c r="FG46" i="1" s="1"/>
  <c r="FP46" i="1" s="1"/>
  <c r="FR46" i="1" s="1"/>
  <c r="ER14" i="1"/>
  <c r="FG14" i="1" s="1"/>
  <c r="FP14" i="1" s="1"/>
  <c r="ER107" i="1"/>
  <c r="FG107" i="1" s="1"/>
  <c r="FP107" i="1" s="1"/>
  <c r="ER160" i="1"/>
  <c r="FG160" i="1" s="1"/>
  <c r="FP160" i="1" s="1"/>
  <c r="FQ160" i="1" s="1"/>
  <c r="ER207" i="1"/>
  <c r="FG207" i="1" s="1"/>
  <c r="FP207" i="1" s="1"/>
  <c r="FQ207" i="1" s="1"/>
  <c r="FG195" i="1"/>
  <c r="FP195" i="1" s="1"/>
  <c r="FR195" i="1" s="1"/>
  <c r="ER239" i="1"/>
  <c r="FG239" i="1" s="1"/>
  <c r="FP239" i="1" s="1"/>
  <c r="FQ239" i="1" s="1"/>
  <c r="GC274" i="1"/>
  <c r="FG254" i="1"/>
  <c r="FP254" i="1" s="1"/>
  <c r="ER213" i="1"/>
  <c r="FG213" i="1" s="1"/>
  <c r="FP213" i="1" s="1"/>
  <c r="FR213" i="1" s="1"/>
  <c r="ER165" i="1"/>
  <c r="FG165" i="1" s="1"/>
  <c r="FP165" i="1" s="1"/>
  <c r="FQ165" i="1" s="1"/>
  <c r="ER142" i="1"/>
  <c r="FG142" i="1" s="1"/>
  <c r="FP142" i="1" s="1"/>
  <c r="FG295" i="1"/>
  <c r="FP295" i="1" s="1"/>
  <c r="FR295" i="1" s="1"/>
  <c r="ER148" i="1"/>
  <c r="FG148" i="1" s="1"/>
  <c r="FP148" i="1" s="1"/>
  <c r="FR148" i="1" s="1"/>
  <c r="GC36" i="1"/>
  <c r="ER282" i="1"/>
  <c r="FG282" i="1" s="1"/>
  <c r="FP282" i="1" s="1"/>
  <c r="ER172" i="1"/>
  <c r="FG172" i="1" s="1"/>
  <c r="FP172" i="1" s="1"/>
  <c r="ER155" i="1"/>
  <c r="FG155" i="1" s="1"/>
  <c r="FP155" i="1" s="1"/>
  <c r="ER154" i="1"/>
  <c r="FG154" i="1" s="1"/>
  <c r="FP154" i="1" s="1"/>
  <c r="FR154" i="1" s="1"/>
  <c r="FG77" i="1"/>
  <c r="FP77" i="1" s="1"/>
  <c r="ER98" i="1"/>
  <c r="FG98" i="1" s="1"/>
  <c r="FP98" i="1" s="1"/>
  <c r="ER152" i="1"/>
  <c r="FG152" i="1" s="1"/>
  <c r="FP152" i="1" s="1"/>
  <c r="ER30" i="1"/>
  <c r="FG30" i="1" s="1"/>
  <c r="FP30" i="1" s="1"/>
  <c r="FQ30" i="1" s="1"/>
  <c r="ER270" i="1"/>
  <c r="FG270" i="1" s="1"/>
  <c r="FP270" i="1" s="1"/>
  <c r="ER29" i="1"/>
  <c r="FG29" i="1" s="1"/>
  <c r="FP29" i="1" s="1"/>
  <c r="FR29" i="1" s="1"/>
  <c r="ER39" i="1"/>
  <c r="FG39" i="1" s="1"/>
  <c r="FP39" i="1" s="1"/>
  <c r="FQ39" i="1" s="1"/>
  <c r="ER15" i="1"/>
  <c r="FG15" i="1" s="1"/>
  <c r="FP15" i="1" s="1"/>
  <c r="FR15" i="1" s="1"/>
  <c r="FG276" i="1"/>
  <c r="FP276" i="1" s="1"/>
  <c r="FR276" i="1" s="1"/>
  <c r="ER117" i="1"/>
  <c r="FG117" i="1" s="1"/>
  <c r="FP117" i="1" s="1"/>
  <c r="FQ117" i="1" s="1"/>
  <c r="ER261" i="1"/>
  <c r="FG261" i="1" s="1"/>
  <c r="FP261" i="1" s="1"/>
  <c r="ER22" i="1"/>
  <c r="FG22" i="1" s="1"/>
  <c r="FP22" i="1" s="1"/>
  <c r="FG185" i="1"/>
  <c r="FP185" i="1" s="1"/>
  <c r="GC23" i="1"/>
  <c r="FG72" i="1"/>
  <c r="FP72" i="1" s="1"/>
  <c r="FR72" i="1" s="1"/>
  <c r="GC5" i="1"/>
  <c r="GC43" i="1"/>
  <c r="GC239" i="1"/>
  <c r="GQ239" i="1" s="1"/>
  <c r="FG85" i="1"/>
  <c r="FP85" i="1" s="1"/>
  <c r="FR85" i="1" s="1"/>
  <c r="FG138" i="1"/>
  <c r="FP138" i="1" s="1"/>
  <c r="FQ138" i="1" s="1"/>
  <c r="FG264" i="1"/>
  <c r="FP264" i="1" s="1"/>
  <c r="GC46" i="1"/>
  <c r="GJ46" i="1" s="1"/>
  <c r="GK46" i="1" s="1"/>
  <c r="GC286" i="1"/>
  <c r="GQ286" i="1" s="1"/>
  <c r="GC295" i="1"/>
  <c r="FG128" i="1"/>
  <c r="FP128" i="1" s="1"/>
  <c r="FG103" i="1"/>
  <c r="FP103" i="1" s="1"/>
  <c r="GC246" i="1"/>
  <c r="GR246" i="1" s="1"/>
  <c r="GC191" i="1"/>
  <c r="FG193" i="1"/>
  <c r="FP193" i="1" s="1"/>
  <c r="FR193" i="1" s="1"/>
  <c r="FG200" i="1"/>
  <c r="FP200" i="1" s="1"/>
  <c r="FR200" i="1" s="1"/>
  <c r="GC251" i="1"/>
  <c r="ER233" i="1"/>
  <c r="FG233" i="1" s="1"/>
  <c r="FP233" i="1" s="1"/>
  <c r="ER300" i="1"/>
  <c r="FG300" i="1" s="1"/>
  <c r="FP300" i="1" s="1"/>
  <c r="ER67" i="1"/>
  <c r="FG67" i="1" s="1"/>
  <c r="FP67" i="1" s="1"/>
  <c r="GC71" i="1"/>
  <c r="FG171" i="1"/>
  <c r="FP171" i="1" s="1"/>
  <c r="FR171" i="1" s="1"/>
  <c r="FG236" i="1"/>
  <c r="FP236" i="1" s="1"/>
  <c r="FR236" i="1" s="1"/>
  <c r="FG179" i="1"/>
  <c r="FP179" i="1" s="1"/>
  <c r="GC207" i="1"/>
  <c r="FG237" i="1"/>
  <c r="FP237" i="1" s="1"/>
  <c r="FR237" i="1" s="1"/>
  <c r="GC205" i="1"/>
  <c r="GF205" i="1" s="1"/>
  <c r="GG205" i="1" s="1"/>
  <c r="GC260" i="1"/>
  <c r="FG57" i="1"/>
  <c r="FP57" i="1" s="1"/>
  <c r="FG278" i="1"/>
  <c r="FP278" i="1" s="1"/>
  <c r="GC190" i="1"/>
  <c r="GN190" i="1" s="1"/>
  <c r="GO190" i="1" s="1"/>
  <c r="FG218" i="1"/>
  <c r="FP218" i="1" s="1"/>
  <c r="FQ218" i="1" s="1"/>
  <c r="GC163" i="1"/>
  <c r="FG303" i="1"/>
  <c r="FP303" i="1" s="1"/>
  <c r="FR303" i="1" s="1"/>
  <c r="GC278" i="1"/>
  <c r="FG114" i="1"/>
  <c r="FP114" i="1" s="1"/>
  <c r="GC167" i="1"/>
  <c r="FG283" i="1"/>
  <c r="FP283" i="1" s="1"/>
  <c r="FG70" i="1"/>
  <c r="FP70" i="1" s="1"/>
  <c r="FG82" i="1"/>
  <c r="FP82" i="1" s="1"/>
  <c r="FQ82" i="1" s="1"/>
  <c r="GC8" i="1"/>
  <c r="GL8" i="1" s="1"/>
  <c r="GM8" i="1" s="1"/>
  <c r="GC32" i="1"/>
  <c r="FG88" i="1"/>
  <c r="FP88" i="1" s="1"/>
  <c r="GC301" i="1"/>
  <c r="GR301" i="1" s="1"/>
  <c r="ER216" i="1"/>
  <c r="FG216" i="1" s="1"/>
  <c r="FP216" i="1" s="1"/>
  <c r="FQ216" i="1" s="1"/>
  <c r="ER7" i="1"/>
  <c r="FG7" i="1" s="1"/>
  <c r="FP7" i="1" s="1"/>
  <c r="ER109" i="1"/>
  <c r="FG109" i="1" s="1"/>
  <c r="FP109" i="1" s="1"/>
  <c r="FQ109" i="1" s="1"/>
  <c r="ER159" i="1"/>
  <c r="FG159" i="1" s="1"/>
  <c r="FP159" i="1" s="1"/>
  <c r="FG166" i="1"/>
  <c r="FP166" i="1" s="1"/>
  <c r="GC185" i="1"/>
  <c r="ER122" i="1"/>
  <c r="FG122" i="1" s="1"/>
  <c r="FP122" i="1" s="1"/>
  <c r="ER252" i="1"/>
  <c r="FG252" i="1" s="1"/>
  <c r="FP252" i="1" s="1"/>
  <c r="FG92" i="1"/>
  <c r="FP92" i="1" s="1"/>
  <c r="FR92" i="1" s="1"/>
  <c r="FG34" i="1"/>
  <c r="FP34" i="1" s="1"/>
  <c r="FQ34" i="1" s="1"/>
  <c r="FG240" i="1"/>
  <c r="FP240" i="1" s="1"/>
  <c r="FR240" i="1" s="1"/>
  <c r="FG73" i="1"/>
  <c r="FP73" i="1" s="1"/>
  <c r="GC76" i="1"/>
  <c r="GC194" i="1"/>
  <c r="GT194" i="1" s="1"/>
  <c r="GU194" i="1" s="1"/>
  <c r="GV194" i="1" s="1"/>
  <c r="FG250" i="1"/>
  <c r="FP250" i="1" s="1"/>
  <c r="FQ250" i="1" s="1"/>
  <c r="FG174" i="1"/>
  <c r="FP174" i="1" s="1"/>
  <c r="FR174" i="1" s="1"/>
  <c r="FG224" i="1"/>
  <c r="FP224" i="1" s="1"/>
  <c r="FQ224" i="1" s="1"/>
  <c r="GC29" i="1"/>
  <c r="GC247" i="1"/>
  <c r="GD247" i="1" s="1"/>
  <c r="GE247" i="1" s="1"/>
  <c r="FG75" i="1"/>
  <c r="FP75" i="1" s="1"/>
  <c r="FG8" i="1"/>
  <c r="FP8" i="1" s="1"/>
  <c r="FG246" i="1"/>
  <c r="FP246" i="1" s="1"/>
  <c r="FR246" i="1" s="1"/>
  <c r="FG129" i="1"/>
  <c r="FP129" i="1" s="1"/>
  <c r="FQ129" i="1" s="1"/>
  <c r="GC214" i="1"/>
  <c r="GT214" i="1" s="1"/>
  <c r="GU214" i="1" s="1"/>
  <c r="GV214" i="1" s="1"/>
  <c r="FG271" i="1"/>
  <c r="FP271" i="1" s="1"/>
  <c r="FQ271" i="1" s="1"/>
  <c r="GC22" i="1"/>
  <c r="FG232" i="1"/>
  <c r="FP232" i="1" s="1"/>
  <c r="GC266" i="1"/>
  <c r="FG79" i="1"/>
  <c r="FP79" i="1" s="1"/>
  <c r="FR79" i="1" s="1"/>
  <c r="FG86" i="1"/>
  <c r="FP86" i="1" s="1"/>
  <c r="FR86" i="1" s="1"/>
  <c r="GC130" i="1"/>
  <c r="GC221" i="1"/>
  <c r="GC261" i="1"/>
  <c r="GC89" i="1"/>
  <c r="GC256" i="1"/>
  <c r="GJ256" i="1" s="1"/>
  <c r="GK256" i="1" s="1"/>
  <c r="GC217" i="1"/>
  <c r="FG115" i="1"/>
  <c r="FP115" i="1" s="1"/>
  <c r="FR115" i="1" s="1"/>
  <c r="FG78" i="1"/>
  <c r="FP78" i="1" s="1"/>
  <c r="FR78" i="1" s="1"/>
  <c r="GC30" i="1"/>
  <c r="GL30" i="1" s="1"/>
  <c r="GM30" i="1" s="1"/>
  <c r="GC296" i="1"/>
  <c r="FG151" i="1"/>
  <c r="FP151" i="1" s="1"/>
  <c r="GC160" i="1"/>
  <c r="GH160" i="1" s="1"/>
  <c r="GI160" i="1" s="1"/>
  <c r="GC198" i="1"/>
  <c r="GC224" i="1"/>
  <c r="GC40" i="1"/>
  <c r="GC241" i="1"/>
  <c r="GR241" i="1" s="1"/>
  <c r="FG153" i="1"/>
  <c r="FP153" i="1" s="1"/>
  <c r="FR153" i="1" s="1"/>
  <c r="GC228" i="1"/>
  <c r="GJ228" i="1" s="1"/>
  <c r="GK228" i="1" s="1"/>
  <c r="GC177" i="1"/>
  <c r="FG222" i="1"/>
  <c r="FP222" i="1" s="1"/>
  <c r="FR222" i="1" s="1"/>
  <c r="FG116" i="1"/>
  <c r="FP116" i="1" s="1"/>
  <c r="FG279" i="1"/>
  <c r="FP279" i="1" s="1"/>
  <c r="GC102" i="1"/>
  <c r="GH102" i="1" s="1"/>
  <c r="GI102" i="1" s="1"/>
  <c r="ER280" i="1"/>
  <c r="FG280" i="1" s="1"/>
  <c r="FP280" i="1" s="1"/>
  <c r="ER93" i="1"/>
  <c r="FG93" i="1" s="1"/>
  <c r="FP93" i="1" s="1"/>
  <c r="ER285" i="1"/>
  <c r="FG285" i="1" s="1"/>
  <c r="FP285" i="1" s="1"/>
  <c r="FR285" i="1" s="1"/>
  <c r="ER197" i="1"/>
  <c r="FG197" i="1" s="1"/>
  <c r="FP197" i="1" s="1"/>
  <c r="ER169" i="1"/>
  <c r="FG169" i="1" s="1"/>
  <c r="FP169" i="1" s="1"/>
  <c r="ER118" i="1"/>
  <c r="FG118" i="1" s="1"/>
  <c r="FP118" i="1" s="1"/>
  <c r="ER76" i="1"/>
  <c r="FG76" i="1" s="1"/>
  <c r="FP76" i="1" s="1"/>
  <c r="ER194" i="1"/>
  <c r="FG194" i="1" s="1"/>
  <c r="FP194" i="1" s="1"/>
  <c r="ER71" i="1"/>
  <c r="FG71" i="1" s="1"/>
  <c r="FP71" i="1" s="1"/>
  <c r="ER4" i="1"/>
  <c r="FG4" i="1" s="1"/>
  <c r="FP4" i="1" s="1"/>
  <c r="GC136" i="1"/>
  <c r="GC18" i="1"/>
  <c r="GJ18" i="1" s="1"/>
  <c r="GK18" i="1" s="1"/>
  <c r="FG214" i="1"/>
  <c r="FP214" i="1" s="1"/>
  <c r="FR214" i="1" s="1"/>
  <c r="FG125" i="1"/>
  <c r="FP125" i="1" s="1"/>
  <c r="FQ125" i="1" s="1"/>
  <c r="FR123" i="1"/>
  <c r="FS123" i="1" s="1"/>
  <c r="FT123" i="1" s="1"/>
  <c r="FU123" i="1" s="1"/>
  <c r="FV123" i="1" s="1"/>
  <c r="FX123" i="1" s="1"/>
  <c r="GC234" i="1"/>
  <c r="GF234" i="1" s="1"/>
  <c r="GG234" i="1" s="1"/>
  <c r="GC209" i="1"/>
  <c r="GT209" i="1" s="1"/>
  <c r="GU209" i="1" s="1"/>
  <c r="GV209" i="1" s="1"/>
  <c r="GC53" i="1"/>
  <c r="GF53" i="1" s="1"/>
  <c r="GG53" i="1" s="1"/>
  <c r="FG183" i="1"/>
  <c r="FP183" i="1" s="1"/>
  <c r="FR183" i="1" s="1"/>
  <c r="GC231" i="1"/>
  <c r="GT231" i="1" s="1"/>
  <c r="GU231" i="1" s="1"/>
  <c r="GV231" i="1" s="1"/>
  <c r="GJ123" i="1"/>
  <c r="GK123" i="1" s="1"/>
  <c r="GD123" i="1"/>
  <c r="GE123" i="1" s="1"/>
  <c r="GH123" i="1"/>
  <c r="GI123" i="1" s="1"/>
  <c r="GF123" i="1"/>
  <c r="GG123" i="1" s="1"/>
  <c r="GC178" i="1"/>
  <c r="GQ178" i="1" s="1"/>
  <c r="GR123" i="1"/>
  <c r="GT123" i="1"/>
  <c r="GU123" i="1" s="1"/>
  <c r="GV123" i="1" s="1"/>
  <c r="FR18" i="1"/>
  <c r="FS18" i="1" s="1"/>
  <c r="FT18" i="1" s="1"/>
  <c r="FU18" i="1" s="1"/>
  <c r="FV18" i="1" s="1"/>
  <c r="FX18" i="1" s="1"/>
  <c r="GQ123" i="1"/>
  <c r="GC305" i="1"/>
  <c r="GF305" i="1" s="1"/>
  <c r="GG305" i="1" s="1"/>
  <c r="FG262" i="1"/>
  <c r="FP262" i="1" s="1"/>
  <c r="FQ262" i="1" s="1"/>
  <c r="FG84" i="1"/>
  <c r="FP84" i="1" s="1"/>
  <c r="FQ84" i="1" s="1"/>
  <c r="FG230" i="1"/>
  <c r="FP230" i="1" s="1"/>
  <c r="FR230" i="1" s="1"/>
  <c r="GC48" i="1"/>
  <c r="GL48" i="1" s="1"/>
  <c r="GM48" i="1" s="1"/>
  <c r="FG130" i="1"/>
  <c r="FP130" i="1" s="1"/>
  <c r="FR130" i="1" s="1"/>
  <c r="GC143" i="1"/>
  <c r="GJ143" i="1" s="1"/>
  <c r="GK143" i="1" s="1"/>
  <c r="FQ305" i="1"/>
  <c r="FS305" i="1" s="1"/>
  <c r="FT305" i="1" s="1"/>
  <c r="FU305" i="1" s="1"/>
  <c r="FV305" i="1" s="1"/>
  <c r="FX305" i="1" s="1"/>
  <c r="FG44" i="1"/>
  <c r="FP44" i="1" s="1"/>
  <c r="FQ44" i="1" s="1"/>
  <c r="FG3" i="1"/>
  <c r="FP3" i="1" s="1"/>
  <c r="FR3" i="1" s="1"/>
  <c r="GC14" i="1"/>
  <c r="GT14" i="1" s="1"/>
  <c r="GU14" i="1" s="1"/>
  <c r="GV14" i="1" s="1"/>
  <c r="GC80" i="1"/>
  <c r="GH80" i="1" s="1"/>
  <c r="GI80" i="1" s="1"/>
  <c r="GC162" i="1"/>
  <c r="GF162" i="1" s="1"/>
  <c r="GG162" i="1" s="1"/>
  <c r="GH263" i="1"/>
  <c r="GI263" i="1" s="1"/>
  <c r="GJ263" i="1"/>
  <c r="GK263" i="1" s="1"/>
  <c r="GQ263" i="1"/>
  <c r="GC127" i="1"/>
  <c r="GD127" i="1" s="1"/>
  <c r="GE127" i="1" s="1"/>
  <c r="GR263" i="1"/>
  <c r="GD263" i="1"/>
  <c r="GE263" i="1" s="1"/>
  <c r="GL263" i="1"/>
  <c r="GM263" i="1" s="1"/>
  <c r="GT263" i="1"/>
  <c r="GU263" i="1" s="1"/>
  <c r="GV263" i="1" s="1"/>
  <c r="GC119" i="1"/>
  <c r="GD119" i="1" s="1"/>
  <c r="GE119" i="1" s="1"/>
  <c r="FG226" i="1"/>
  <c r="FP226" i="1" s="1"/>
  <c r="FR226" i="1" s="1"/>
  <c r="FQ263" i="1"/>
  <c r="FS263" i="1" s="1"/>
  <c r="FT263" i="1" s="1"/>
  <c r="FU263" i="1" s="1"/>
  <c r="FV263" i="1" s="1"/>
  <c r="FX263" i="1" s="1"/>
  <c r="GC175" i="1"/>
  <c r="GT175" i="1" s="1"/>
  <c r="GU175" i="1" s="1"/>
  <c r="GV175" i="1" s="1"/>
  <c r="GC259" i="1"/>
  <c r="GJ259" i="1" s="1"/>
  <c r="GK259" i="1" s="1"/>
  <c r="GC117" i="1"/>
  <c r="GD117" i="1" s="1"/>
  <c r="GE117" i="1" s="1"/>
  <c r="FG243" i="1"/>
  <c r="FP243" i="1" s="1"/>
  <c r="FQ243" i="1" s="1"/>
  <c r="FG47" i="1"/>
  <c r="FP47" i="1" s="1"/>
  <c r="FR47" i="1" s="1"/>
  <c r="GC275" i="1"/>
  <c r="GF275" i="1" s="1"/>
  <c r="GG275" i="1" s="1"/>
  <c r="GC199" i="1"/>
  <c r="GF199" i="1" s="1"/>
  <c r="GG199" i="1" s="1"/>
  <c r="FQ80" i="1"/>
  <c r="FS80" i="1" s="1"/>
  <c r="FT80" i="1" s="1"/>
  <c r="FU80" i="1" s="1"/>
  <c r="FV80" i="1" s="1"/>
  <c r="FX80" i="1" s="1"/>
  <c r="FG89" i="1"/>
  <c r="FP89" i="1" s="1"/>
  <c r="FQ89" i="1" s="1"/>
  <c r="GC100" i="1"/>
  <c r="GH100" i="1" s="1"/>
  <c r="GI100" i="1" s="1"/>
  <c r="FG36" i="1"/>
  <c r="FP36" i="1" s="1"/>
  <c r="FQ36" i="1" s="1"/>
  <c r="FG40" i="1"/>
  <c r="FP40" i="1" s="1"/>
  <c r="FR40" i="1" s="1"/>
  <c r="FQ134" i="1"/>
  <c r="FS134" i="1" s="1"/>
  <c r="FT134" i="1" s="1"/>
  <c r="FU134" i="1" s="1"/>
  <c r="FV134" i="1" s="1"/>
  <c r="FX134" i="1" s="1"/>
  <c r="GC106" i="1"/>
  <c r="GH106" i="1" s="1"/>
  <c r="GI106" i="1" s="1"/>
  <c r="GC264" i="1"/>
  <c r="GQ264" i="1" s="1"/>
  <c r="GC37" i="1"/>
  <c r="GQ37" i="1" s="1"/>
  <c r="GC238" i="1"/>
  <c r="GT238" i="1" s="1"/>
  <c r="GU238" i="1" s="1"/>
  <c r="GV238" i="1" s="1"/>
  <c r="GC126" i="1"/>
  <c r="GF126" i="1" s="1"/>
  <c r="GG126" i="1" s="1"/>
  <c r="GC95" i="1"/>
  <c r="GD95" i="1" s="1"/>
  <c r="GE95" i="1" s="1"/>
  <c r="GC7" i="1"/>
  <c r="GF7" i="1" s="1"/>
  <c r="GG7" i="1" s="1"/>
  <c r="GF134" i="1"/>
  <c r="GG134" i="1" s="1"/>
  <c r="GN134" i="1"/>
  <c r="GO134" i="1" s="1"/>
  <c r="GD134" i="1"/>
  <c r="GE134" i="1" s="1"/>
  <c r="GT134" i="1"/>
  <c r="GU134" i="1" s="1"/>
  <c r="GV134" i="1" s="1"/>
  <c r="GH134" i="1"/>
  <c r="GI134" i="1" s="1"/>
  <c r="GQ134" i="1"/>
  <c r="GJ134" i="1"/>
  <c r="GK134" i="1" s="1"/>
  <c r="GR134" i="1"/>
  <c r="GL134" i="1"/>
  <c r="GM134" i="1" s="1"/>
  <c r="GC25" i="1"/>
  <c r="GD25" i="1" s="1"/>
  <c r="GE25" i="1" s="1"/>
  <c r="FG12" i="1"/>
  <c r="FP12" i="1" s="1"/>
  <c r="FR12" i="1" s="1"/>
  <c r="GC269" i="1"/>
  <c r="GJ269" i="1" s="1"/>
  <c r="GK269" i="1" s="1"/>
  <c r="GC168" i="1"/>
  <c r="GT168" i="1" s="1"/>
  <c r="GU168" i="1" s="1"/>
  <c r="GV168" i="1" s="1"/>
  <c r="GC10" i="1"/>
  <c r="GL10" i="1" s="1"/>
  <c r="GM10" i="1" s="1"/>
  <c r="GC220" i="1"/>
  <c r="GQ220" i="1" s="1"/>
  <c r="GC91" i="1"/>
  <c r="GJ91" i="1" s="1"/>
  <c r="GK91" i="1" s="1"/>
  <c r="GC141" i="1"/>
  <c r="GL141" i="1" s="1"/>
  <c r="GM141" i="1" s="1"/>
  <c r="GC94" i="1"/>
  <c r="GH94" i="1" s="1"/>
  <c r="GI94" i="1" s="1"/>
  <c r="FG256" i="1"/>
  <c r="FP256" i="1" s="1"/>
  <c r="FQ256" i="1" s="1"/>
  <c r="GQ173" i="1"/>
  <c r="GH173" i="1"/>
  <c r="GI173" i="1" s="1"/>
  <c r="GC107" i="1"/>
  <c r="GT107" i="1" s="1"/>
  <c r="GU107" i="1" s="1"/>
  <c r="GV107" i="1" s="1"/>
  <c r="GC65" i="1"/>
  <c r="GL65" i="1" s="1"/>
  <c r="GM65" i="1" s="1"/>
  <c r="GC268" i="1"/>
  <c r="GR268" i="1" s="1"/>
  <c r="GC52" i="1"/>
  <c r="GQ52" i="1" s="1"/>
  <c r="GC17" i="1"/>
  <c r="GD17" i="1" s="1"/>
  <c r="GE17" i="1" s="1"/>
  <c r="GC249" i="1"/>
  <c r="GF249" i="1" s="1"/>
  <c r="GG249" i="1" s="1"/>
  <c r="GC75" i="1"/>
  <c r="GQ75" i="1" s="1"/>
  <c r="GC41" i="1"/>
  <c r="GD41" i="1" s="1"/>
  <c r="GE41" i="1" s="1"/>
  <c r="GC289" i="1"/>
  <c r="GT289" i="1" s="1"/>
  <c r="GU289" i="1" s="1"/>
  <c r="GV289" i="1" s="1"/>
  <c r="GC137" i="1"/>
  <c r="GD137" i="1" s="1"/>
  <c r="GE137" i="1" s="1"/>
  <c r="GD173" i="1"/>
  <c r="GE173" i="1" s="1"/>
  <c r="GC55" i="1"/>
  <c r="GF55" i="1" s="1"/>
  <c r="GG55" i="1" s="1"/>
  <c r="GC182" i="1"/>
  <c r="GQ182" i="1" s="1"/>
  <c r="GC131" i="1"/>
  <c r="GF131" i="1" s="1"/>
  <c r="GG131" i="1" s="1"/>
  <c r="GC144" i="1"/>
  <c r="GD144" i="1" s="1"/>
  <c r="GE144" i="1" s="1"/>
  <c r="GC110" i="1"/>
  <c r="GJ110" i="1" s="1"/>
  <c r="GK110" i="1" s="1"/>
  <c r="FQ167" i="1"/>
  <c r="FS167" i="1" s="1"/>
  <c r="FT167" i="1" s="1"/>
  <c r="FU167" i="1" s="1"/>
  <c r="FV167" i="1" s="1"/>
  <c r="FX167" i="1" s="1"/>
  <c r="GC284" i="1"/>
  <c r="GR284" i="1" s="1"/>
  <c r="GC69" i="1"/>
  <c r="GR69" i="1" s="1"/>
  <c r="FR269" i="1"/>
  <c r="FS269" i="1" s="1"/>
  <c r="FT269" i="1" s="1"/>
  <c r="FU269" i="1" s="1"/>
  <c r="FV269" i="1" s="1"/>
  <c r="FX269" i="1" s="1"/>
  <c r="GL92" i="1"/>
  <c r="GM92" i="1" s="1"/>
  <c r="GC161" i="1"/>
  <c r="GH161" i="1" s="1"/>
  <c r="GI161" i="1" s="1"/>
  <c r="FQ119" i="1"/>
  <c r="FS119" i="1" s="1"/>
  <c r="FT119" i="1" s="1"/>
  <c r="FU119" i="1" s="1"/>
  <c r="FV119" i="1" s="1"/>
  <c r="FX119" i="1" s="1"/>
  <c r="FQ267" i="1"/>
  <c r="FS267" i="1" s="1"/>
  <c r="FT267" i="1" s="1"/>
  <c r="FU267" i="1" s="1"/>
  <c r="FV267" i="1" s="1"/>
  <c r="FX267" i="1" s="1"/>
  <c r="GC267" i="1"/>
  <c r="GT267" i="1" s="1"/>
  <c r="GU267" i="1" s="1"/>
  <c r="GV267" i="1" s="1"/>
  <c r="FQ106" i="1"/>
  <c r="FS106" i="1" s="1"/>
  <c r="FT106" i="1" s="1"/>
  <c r="FU106" i="1" s="1"/>
  <c r="FV106" i="1" s="1"/>
  <c r="FX106" i="1" s="1"/>
  <c r="GC233" i="1"/>
  <c r="GL233" i="1" s="1"/>
  <c r="GM233" i="1" s="1"/>
  <c r="GC121" i="1"/>
  <c r="GT121" i="1" s="1"/>
  <c r="GU121" i="1" s="1"/>
  <c r="GV121" i="1" s="1"/>
  <c r="GC81" i="1"/>
  <c r="GF81" i="1" s="1"/>
  <c r="GG81" i="1" s="1"/>
  <c r="GH73" i="1"/>
  <c r="GI73" i="1" s="1"/>
  <c r="GQ73" i="1"/>
  <c r="GT73" i="1"/>
  <c r="GU73" i="1" s="1"/>
  <c r="GV73" i="1" s="1"/>
  <c r="GT294" i="1"/>
  <c r="GU294" i="1" s="1"/>
  <c r="GV294" i="1" s="1"/>
  <c r="GL294" i="1"/>
  <c r="GM294" i="1" s="1"/>
  <c r="GC244" i="1"/>
  <c r="GF244" i="1" s="1"/>
  <c r="GG244" i="1" s="1"/>
  <c r="GH92" i="1"/>
  <c r="GI92" i="1" s="1"/>
  <c r="GD92" i="1"/>
  <c r="GE92" i="1" s="1"/>
  <c r="GF92" i="1"/>
  <c r="GG92" i="1" s="1"/>
  <c r="GJ113" i="1"/>
  <c r="GK113" i="1" s="1"/>
  <c r="GQ92" i="1"/>
  <c r="GR92" i="1"/>
  <c r="GT92" i="1"/>
  <c r="GU92" i="1" s="1"/>
  <c r="GV92" i="1" s="1"/>
  <c r="GF73" i="1"/>
  <c r="GG73" i="1" s="1"/>
  <c r="GC49" i="1"/>
  <c r="GJ49" i="1" s="1"/>
  <c r="GK49" i="1" s="1"/>
  <c r="GC180" i="1"/>
  <c r="GH180" i="1" s="1"/>
  <c r="GI180" i="1" s="1"/>
  <c r="FR297" i="1"/>
  <c r="FS297" i="1" s="1"/>
  <c r="FT297" i="1" s="1"/>
  <c r="FU297" i="1" s="1"/>
  <c r="FV297" i="1" s="1"/>
  <c r="FX297" i="1" s="1"/>
  <c r="GR173" i="1"/>
  <c r="GC181" i="1"/>
  <c r="GL181" i="1" s="1"/>
  <c r="GM181" i="1" s="1"/>
  <c r="GF173" i="1"/>
  <c r="GG173" i="1" s="1"/>
  <c r="GT173" i="1"/>
  <c r="GU173" i="1" s="1"/>
  <c r="GV173" i="1" s="1"/>
  <c r="GJ173" i="1"/>
  <c r="GK173" i="1" s="1"/>
  <c r="GL173" i="1"/>
  <c r="GM173" i="1" s="1"/>
  <c r="GQ208" i="1"/>
  <c r="FQ110" i="1"/>
  <c r="FS110" i="1" s="1"/>
  <c r="FT110" i="1" s="1"/>
  <c r="FU110" i="1" s="1"/>
  <c r="FV110" i="1" s="1"/>
  <c r="FX110" i="1" s="1"/>
  <c r="GH212" i="1"/>
  <c r="GI212" i="1" s="1"/>
  <c r="GC258" i="1"/>
  <c r="GL258" i="1" s="1"/>
  <c r="GM258" i="1" s="1"/>
  <c r="GL212" i="1"/>
  <c r="GM212" i="1" s="1"/>
  <c r="FQ290" i="1"/>
  <c r="FS290" i="1" s="1"/>
  <c r="FT290" i="1" s="1"/>
  <c r="FU290" i="1" s="1"/>
  <c r="FV290" i="1" s="1"/>
  <c r="FX290" i="1" s="1"/>
  <c r="FQ126" i="1"/>
  <c r="FS126" i="1" s="1"/>
  <c r="FT126" i="1" s="1"/>
  <c r="FU126" i="1" s="1"/>
  <c r="FV126" i="1" s="1"/>
  <c r="FX126" i="1" s="1"/>
  <c r="GR212" i="1"/>
  <c r="GJ212" i="1"/>
  <c r="GK212" i="1" s="1"/>
  <c r="GQ212" i="1"/>
  <c r="GH208" i="1"/>
  <c r="GI208" i="1" s="1"/>
  <c r="GD208" i="1"/>
  <c r="GE208" i="1" s="1"/>
  <c r="GL208" i="1"/>
  <c r="GM208" i="1" s="1"/>
  <c r="GF208" i="1"/>
  <c r="GG208" i="1" s="1"/>
  <c r="GT208" i="1"/>
  <c r="GU208" i="1" s="1"/>
  <c r="GV208" i="1" s="1"/>
  <c r="GC189" i="1"/>
  <c r="GQ189" i="1" s="1"/>
  <c r="GC105" i="1"/>
  <c r="GT105" i="1" s="1"/>
  <c r="GU105" i="1" s="1"/>
  <c r="GV105" i="1" s="1"/>
  <c r="GC297" i="1"/>
  <c r="GD297" i="1" s="1"/>
  <c r="GE297" i="1" s="1"/>
  <c r="GR208" i="1"/>
  <c r="FQ195" i="1"/>
  <c r="FS195" i="1" s="1"/>
  <c r="FT195" i="1" s="1"/>
  <c r="FU195" i="1" s="1"/>
  <c r="FV195" i="1" s="1"/>
  <c r="FX195" i="1" s="1"/>
  <c r="GD294" i="1"/>
  <c r="GE294" i="1" s="1"/>
  <c r="FR168" i="1"/>
  <c r="FS168" i="1" s="1"/>
  <c r="FT168" i="1" s="1"/>
  <c r="FU168" i="1" s="1"/>
  <c r="FV168" i="1" s="1"/>
  <c r="FX168" i="1" s="1"/>
  <c r="GH11" i="1"/>
  <c r="GI11" i="1" s="1"/>
  <c r="GJ294" i="1"/>
  <c r="GK294" i="1" s="1"/>
  <c r="GQ294" i="1"/>
  <c r="GH294" i="1"/>
  <c r="GI294" i="1" s="1"/>
  <c r="GR294" i="1"/>
  <c r="GQ109" i="1"/>
  <c r="GL73" i="1"/>
  <c r="GM73" i="1" s="1"/>
  <c r="GD113" i="1"/>
  <c r="GE113" i="1" s="1"/>
  <c r="GF170" i="1"/>
  <c r="GG170" i="1" s="1"/>
  <c r="GR113" i="1"/>
  <c r="GQ170" i="1"/>
  <c r="GD73" i="1"/>
  <c r="GE73" i="1" s="1"/>
  <c r="GF113" i="1"/>
  <c r="GG113" i="1" s="1"/>
  <c r="GL113" i="1"/>
  <c r="GM113" i="1" s="1"/>
  <c r="GT113" i="1"/>
  <c r="GU113" i="1" s="1"/>
  <c r="GV113" i="1" s="1"/>
  <c r="GH170" i="1"/>
  <c r="GI170" i="1" s="1"/>
  <c r="GF19" i="1"/>
  <c r="GG19" i="1" s="1"/>
  <c r="GT170" i="1"/>
  <c r="GU170" i="1" s="1"/>
  <c r="GV170" i="1" s="1"/>
  <c r="GJ195" i="1"/>
  <c r="GK195" i="1" s="1"/>
  <c r="GD170" i="1"/>
  <c r="GE170" i="1" s="1"/>
  <c r="GF195" i="1"/>
  <c r="GG195" i="1" s="1"/>
  <c r="GJ170" i="1"/>
  <c r="GK170" i="1" s="1"/>
  <c r="GD223" i="1"/>
  <c r="GE223" i="1" s="1"/>
  <c r="GL170" i="1"/>
  <c r="GM170" i="1" s="1"/>
  <c r="GF115" i="1"/>
  <c r="GG115" i="1" s="1"/>
  <c r="GL11" i="1"/>
  <c r="GM11" i="1" s="1"/>
  <c r="GD115" i="1"/>
  <c r="GE115" i="1" s="1"/>
  <c r="GH115" i="1"/>
  <c r="GI115" i="1" s="1"/>
  <c r="GJ115" i="1"/>
  <c r="GK115" i="1" s="1"/>
  <c r="GR115" i="1"/>
  <c r="GR11" i="1"/>
  <c r="FQ268" i="1"/>
  <c r="FS268" i="1" s="1"/>
  <c r="FT268" i="1" s="1"/>
  <c r="FU268" i="1" s="1"/>
  <c r="FV268" i="1" s="1"/>
  <c r="FX268" i="1" s="1"/>
  <c r="GN11" i="1"/>
  <c r="GO11" i="1" s="1"/>
  <c r="GT11" i="1"/>
  <c r="GU11" i="1" s="1"/>
  <c r="GV11" i="1" s="1"/>
  <c r="FQ25" i="1"/>
  <c r="FS25" i="1" s="1"/>
  <c r="FT25" i="1" s="1"/>
  <c r="FU25" i="1" s="1"/>
  <c r="FV25" i="1" s="1"/>
  <c r="FX25" i="1" s="1"/>
  <c r="FQ275" i="1"/>
  <c r="FS275" i="1" s="1"/>
  <c r="FT275" i="1" s="1"/>
  <c r="FU275" i="1" s="1"/>
  <c r="FV275" i="1" s="1"/>
  <c r="FX275" i="1" s="1"/>
  <c r="FQ175" i="1"/>
  <c r="FS175" i="1" s="1"/>
  <c r="FT175" i="1" s="1"/>
  <c r="FU175" i="1" s="1"/>
  <c r="FV175" i="1" s="1"/>
  <c r="FX175" i="1" s="1"/>
  <c r="GH223" i="1"/>
  <c r="GI223" i="1" s="1"/>
  <c r="GR109" i="1"/>
  <c r="FQ95" i="1"/>
  <c r="FS95" i="1" s="1"/>
  <c r="FT95" i="1" s="1"/>
  <c r="FU95" i="1" s="1"/>
  <c r="FV95" i="1" s="1"/>
  <c r="FX95" i="1" s="1"/>
  <c r="FQ131" i="1"/>
  <c r="FS131" i="1" s="1"/>
  <c r="FT131" i="1" s="1"/>
  <c r="FU131" i="1" s="1"/>
  <c r="FV131" i="1" s="1"/>
  <c r="FX131" i="1" s="1"/>
  <c r="GL19" i="1"/>
  <c r="GM19" i="1" s="1"/>
  <c r="GH109" i="1"/>
  <c r="GI109" i="1" s="1"/>
  <c r="GD109" i="1"/>
  <c r="GE109" i="1" s="1"/>
  <c r="GJ109" i="1"/>
  <c r="GK109" i="1" s="1"/>
  <c r="FQ144" i="1"/>
  <c r="FS144" i="1" s="1"/>
  <c r="FT144" i="1" s="1"/>
  <c r="FU144" i="1" s="1"/>
  <c r="FV144" i="1" s="1"/>
  <c r="FX144" i="1" s="1"/>
  <c r="FR49" i="1"/>
  <c r="FS49" i="1" s="1"/>
  <c r="FT49" i="1" s="1"/>
  <c r="FU49" i="1" s="1"/>
  <c r="FV49" i="1" s="1"/>
  <c r="FX49" i="1" s="1"/>
  <c r="FQ180" i="1"/>
  <c r="FS180" i="1" s="1"/>
  <c r="FT180" i="1" s="1"/>
  <c r="FU180" i="1" s="1"/>
  <c r="FV180" i="1" s="1"/>
  <c r="FX180" i="1" s="1"/>
  <c r="GD19" i="1"/>
  <c r="GE19" i="1" s="1"/>
  <c r="GF223" i="1"/>
  <c r="GG223" i="1" s="1"/>
  <c r="FQ189" i="1"/>
  <c r="FS189" i="1" s="1"/>
  <c r="FT189" i="1" s="1"/>
  <c r="FU189" i="1" s="1"/>
  <c r="FV189" i="1" s="1"/>
  <c r="FX189" i="1" s="1"/>
  <c r="FQ231" i="1"/>
  <c r="FS231" i="1" s="1"/>
  <c r="FT231" i="1" s="1"/>
  <c r="FU231" i="1" s="1"/>
  <c r="FV231" i="1" s="1"/>
  <c r="FX231" i="1" s="1"/>
  <c r="GR19" i="1"/>
  <c r="GT109" i="1"/>
  <c r="GU109" i="1" s="1"/>
  <c r="GV109" i="1" s="1"/>
  <c r="GJ19" i="1"/>
  <c r="GK19" i="1" s="1"/>
  <c r="GF109" i="1"/>
  <c r="GG109" i="1" s="1"/>
  <c r="GR73" i="1"/>
  <c r="GH113" i="1"/>
  <c r="GI113" i="1" s="1"/>
  <c r="GT223" i="1"/>
  <c r="GU223" i="1" s="1"/>
  <c r="GV223" i="1" s="1"/>
  <c r="FR96" i="1"/>
  <c r="FS96" i="1" s="1"/>
  <c r="FT96" i="1" s="1"/>
  <c r="FU96" i="1" s="1"/>
  <c r="FV96" i="1" s="1"/>
  <c r="FX96" i="1" s="1"/>
  <c r="GQ19" i="1"/>
  <c r="GH19" i="1"/>
  <c r="GI19" i="1" s="1"/>
  <c r="GJ223" i="1"/>
  <c r="GK223" i="1" s="1"/>
  <c r="FR178" i="1"/>
  <c r="FQ178" i="1"/>
  <c r="FR137" i="1"/>
  <c r="FQ137" i="1"/>
  <c r="GT257" i="1"/>
  <c r="GU257" i="1" s="1"/>
  <c r="GV257" i="1" s="1"/>
  <c r="GR257" i="1"/>
  <c r="GJ257" i="1"/>
  <c r="GK257" i="1" s="1"/>
  <c r="GD257" i="1"/>
  <c r="GE257" i="1" s="1"/>
  <c r="GQ257" i="1"/>
  <c r="GF257" i="1"/>
  <c r="GG257" i="1" s="1"/>
  <c r="GL257" i="1"/>
  <c r="GM257" i="1" s="1"/>
  <c r="FQ94" i="1"/>
  <c r="FS94" i="1" s="1"/>
  <c r="FT94" i="1" s="1"/>
  <c r="FU94" i="1" s="1"/>
  <c r="FV94" i="1" s="1"/>
  <c r="FX94" i="1" s="1"/>
  <c r="GH257" i="1"/>
  <c r="GI257" i="1" s="1"/>
  <c r="GJ11" i="1"/>
  <c r="GK11" i="1" s="1"/>
  <c r="GT96" i="1"/>
  <c r="GU96" i="1" s="1"/>
  <c r="GV96" i="1" s="1"/>
  <c r="GC13" i="1"/>
  <c r="GL115" i="1"/>
  <c r="GM115" i="1" s="1"/>
  <c r="GD212" i="1"/>
  <c r="GE212" i="1" s="1"/>
  <c r="GD11" i="1"/>
  <c r="GE11" i="1" s="1"/>
  <c r="GQ96" i="1"/>
  <c r="FQ161" i="1"/>
  <c r="FS161" i="1" s="1"/>
  <c r="FT161" i="1" s="1"/>
  <c r="FU161" i="1" s="1"/>
  <c r="FV161" i="1" s="1"/>
  <c r="FX161" i="1" s="1"/>
  <c r="GT115" i="1"/>
  <c r="GU115" i="1" s="1"/>
  <c r="GV115" i="1" s="1"/>
  <c r="GF212" i="1"/>
  <c r="GG212" i="1" s="1"/>
  <c r="GF138" i="1"/>
  <c r="GG138" i="1" s="1"/>
  <c r="GQ11" i="1"/>
  <c r="GH93" i="1"/>
  <c r="GI93" i="1" s="1"/>
  <c r="GR96" i="1"/>
  <c r="FQ52" i="1"/>
  <c r="FS52" i="1" s="1"/>
  <c r="FT52" i="1" s="1"/>
  <c r="FU52" i="1" s="1"/>
  <c r="FV52" i="1" s="1"/>
  <c r="FX52" i="1" s="1"/>
  <c r="GL93" i="1"/>
  <c r="GM93" i="1" s="1"/>
  <c r="GF96" i="1"/>
  <c r="GG96" i="1" s="1"/>
  <c r="GT195" i="1"/>
  <c r="GU195" i="1" s="1"/>
  <c r="GV195" i="1" s="1"/>
  <c r="GD195" i="1"/>
  <c r="GE195" i="1" s="1"/>
  <c r="GH195" i="1"/>
  <c r="GI195" i="1" s="1"/>
  <c r="GQ195" i="1"/>
  <c r="GL195" i="1"/>
  <c r="GM195" i="1" s="1"/>
  <c r="GQ138" i="1"/>
  <c r="GC61" i="1"/>
  <c r="GD61" i="1" s="1"/>
  <c r="GE61" i="1" s="1"/>
  <c r="GH138" i="1"/>
  <c r="GI138" i="1" s="1"/>
  <c r="GT138" i="1"/>
  <c r="GU138" i="1" s="1"/>
  <c r="GV138" i="1" s="1"/>
  <c r="GR138" i="1"/>
  <c r="GJ93" i="1"/>
  <c r="GK93" i="1" s="1"/>
  <c r="GR223" i="1"/>
  <c r="GJ96" i="1"/>
  <c r="GK96" i="1" s="1"/>
  <c r="GC206" i="1"/>
  <c r="GL206" i="1" s="1"/>
  <c r="GM206" i="1" s="1"/>
  <c r="GL138" i="1"/>
  <c r="GM138" i="1" s="1"/>
  <c r="GL96" i="1"/>
  <c r="GM96" i="1" s="1"/>
  <c r="FQ234" i="1"/>
  <c r="FS234" i="1" s="1"/>
  <c r="FT234" i="1" s="1"/>
  <c r="FU234" i="1" s="1"/>
  <c r="FV234" i="1" s="1"/>
  <c r="FX234" i="1" s="1"/>
  <c r="GJ138" i="1"/>
  <c r="GK138" i="1" s="1"/>
  <c r="FR121" i="1"/>
  <c r="FS121" i="1" s="1"/>
  <c r="FT121" i="1" s="1"/>
  <c r="FU121" i="1" s="1"/>
  <c r="FV121" i="1" s="1"/>
  <c r="FX121" i="1" s="1"/>
  <c r="GQ223" i="1"/>
  <c r="GD96" i="1"/>
  <c r="GE96" i="1" s="1"/>
  <c r="GH96" i="1"/>
  <c r="GI96" i="1" s="1"/>
  <c r="GC204" i="1"/>
  <c r="GH204" i="1" s="1"/>
  <c r="GI204" i="1" s="1"/>
  <c r="FQ209" i="1"/>
  <c r="FS209" i="1" s="1"/>
  <c r="FT209" i="1" s="1"/>
  <c r="FU209" i="1" s="1"/>
  <c r="FV209" i="1" s="1"/>
  <c r="FX209" i="1" s="1"/>
  <c r="GD93" i="1"/>
  <c r="GE93" i="1" s="1"/>
  <c r="GC4" i="1"/>
  <c r="GR4" i="1" s="1"/>
  <c r="FR136" i="1"/>
  <c r="FS136" i="1" s="1"/>
  <c r="FT136" i="1" s="1"/>
  <c r="FU136" i="1" s="1"/>
  <c r="FV136" i="1" s="1"/>
  <c r="FX136" i="1" s="1"/>
  <c r="FR112" i="1"/>
  <c r="FS112" i="1" s="1"/>
  <c r="FT112" i="1" s="1"/>
  <c r="FU112" i="1" s="1"/>
  <c r="FV112" i="1" s="1"/>
  <c r="FX112" i="1" s="1"/>
  <c r="GQ93" i="1"/>
  <c r="GR93" i="1"/>
  <c r="GF93" i="1"/>
  <c r="GG93" i="1" s="1"/>
  <c r="GR62" i="1"/>
  <c r="GT62" i="1"/>
  <c r="GU62" i="1" s="1"/>
  <c r="GV62" i="1" s="1"/>
  <c r="GQ62" i="1"/>
  <c r="GL62" i="1"/>
  <c r="GM62" i="1" s="1"/>
  <c r="GF62" i="1"/>
  <c r="GG62" i="1" s="1"/>
  <c r="GH62" i="1"/>
  <c r="GI62" i="1" s="1"/>
  <c r="GD62" i="1"/>
  <c r="GE62" i="1" s="1"/>
  <c r="GJ62" i="1"/>
  <c r="GK62" i="1" s="1"/>
  <c r="GH229" i="1"/>
  <c r="GI229" i="1" s="1"/>
  <c r="GD229" i="1"/>
  <c r="GE229" i="1" s="1"/>
  <c r="GJ229" i="1"/>
  <c r="GK229" i="1" s="1"/>
  <c r="GT229" i="1"/>
  <c r="GU229" i="1" s="1"/>
  <c r="GV229" i="1" s="1"/>
  <c r="GL229" i="1"/>
  <c r="GM229" i="1" s="1"/>
  <c r="GF229" i="1"/>
  <c r="GG229" i="1" s="1"/>
  <c r="GQ229" i="1"/>
  <c r="GR229" i="1"/>
  <c r="GF140" i="1"/>
  <c r="GG140" i="1" s="1"/>
  <c r="GR140" i="1"/>
  <c r="GQ140" i="1"/>
  <c r="GJ140" i="1"/>
  <c r="GK140" i="1" s="1"/>
  <c r="GD140" i="1"/>
  <c r="GE140" i="1" s="1"/>
  <c r="GL140" i="1"/>
  <c r="GM140" i="1" s="1"/>
  <c r="GH140" i="1"/>
  <c r="GI140" i="1" s="1"/>
  <c r="GT140" i="1"/>
  <c r="GU140" i="1" s="1"/>
  <c r="GV140" i="1" s="1"/>
  <c r="GL184" i="1"/>
  <c r="GM184" i="1" s="1"/>
  <c r="GT184" i="1"/>
  <c r="GU184" i="1" s="1"/>
  <c r="GV184" i="1" s="1"/>
  <c r="GD184" i="1"/>
  <c r="GE184" i="1" s="1"/>
  <c r="GR184" i="1"/>
  <c r="GQ184" i="1"/>
  <c r="GH184" i="1"/>
  <c r="GI184" i="1" s="1"/>
  <c r="GF184" i="1"/>
  <c r="GG184" i="1" s="1"/>
  <c r="GJ184" i="1"/>
  <c r="GK184" i="1" s="1"/>
  <c r="FQ220" i="1"/>
  <c r="FR220" i="1"/>
  <c r="GF290" i="1"/>
  <c r="GG290" i="1" s="1"/>
  <c r="GR290" i="1"/>
  <c r="GH290" i="1"/>
  <c r="GI290" i="1" s="1"/>
  <c r="GQ290" i="1"/>
  <c r="GD290" i="1"/>
  <c r="GE290" i="1" s="1"/>
  <c r="GJ290" i="1"/>
  <c r="GK290" i="1" s="1"/>
  <c r="GL290" i="1"/>
  <c r="GM290" i="1" s="1"/>
  <c r="GT290" i="1"/>
  <c r="GU290" i="1" s="1"/>
  <c r="GV290" i="1" s="1"/>
  <c r="FQ257" i="1"/>
  <c r="FR257" i="1"/>
  <c r="FR238" i="1"/>
  <c r="FQ238" i="1"/>
  <c r="GE138" i="1"/>
  <c r="GC45" i="1"/>
  <c r="FR289" i="1"/>
  <c r="FQ289" i="1"/>
  <c r="FR227" i="1"/>
  <c r="FQ227" i="1"/>
  <c r="GL304" i="1"/>
  <c r="GM304" i="1" s="1"/>
  <c r="GT304" i="1"/>
  <c r="GU304" i="1" s="1"/>
  <c r="GV304" i="1" s="1"/>
  <c r="GR304" i="1"/>
  <c r="GD304" i="1"/>
  <c r="GE304" i="1" s="1"/>
  <c r="GF304" i="1"/>
  <c r="GG304" i="1" s="1"/>
  <c r="GH304" i="1"/>
  <c r="GI304" i="1" s="1"/>
  <c r="GQ304" i="1"/>
  <c r="GJ304" i="1"/>
  <c r="GK304" i="1" s="1"/>
  <c r="GC196" i="1"/>
  <c r="GC66" i="1"/>
  <c r="FR141" i="1"/>
  <c r="FQ141" i="1"/>
  <c r="GF112" i="1"/>
  <c r="GG112" i="1" s="1"/>
  <c r="GT112" i="1"/>
  <c r="GU112" i="1" s="1"/>
  <c r="GV112" i="1" s="1"/>
  <c r="GH112" i="1"/>
  <c r="GI112" i="1" s="1"/>
  <c r="GR112" i="1"/>
  <c r="GD112" i="1"/>
  <c r="GE112" i="1" s="1"/>
  <c r="GQ112" i="1"/>
  <c r="GL112" i="1"/>
  <c r="GM112" i="1" s="1"/>
  <c r="GJ112" i="1"/>
  <c r="GK112" i="1" s="1"/>
  <c r="FR100" i="1"/>
  <c r="FQ100" i="1"/>
  <c r="GT15" i="1"/>
  <c r="GU15" i="1" s="1"/>
  <c r="GV15" i="1" s="1"/>
  <c r="GR15" i="1"/>
  <c r="GF15" i="1"/>
  <c r="GG15" i="1" s="1"/>
  <c r="GJ15" i="1"/>
  <c r="GK15" i="1" s="1"/>
  <c r="GD15" i="1"/>
  <c r="GE15" i="1" s="1"/>
  <c r="GH15" i="1"/>
  <c r="GI15" i="1" s="1"/>
  <c r="GL15" i="1"/>
  <c r="GM15" i="1" s="1"/>
  <c r="GQ15" i="1"/>
  <c r="GT20" i="1"/>
  <c r="GU20" i="1" s="1"/>
  <c r="GV20" i="1" s="1"/>
  <c r="GJ20" i="1"/>
  <c r="GK20" i="1" s="1"/>
  <c r="GH20" i="1"/>
  <c r="GI20" i="1" s="1"/>
  <c r="GD20" i="1"/>
  <c r="GE20" i="1" s="1"/>
  <c r="GF20" i="1"/>
  <c r="GG20" i="1" s="1"/>
  <c r="GL20" i="1"/>
  <c r="GM20" i="1" s="1"/>
  <c r="GQ20" i="1"/>
  <c r="GR20" i="1"/>
  <c r="GT300" i="1"/>
  <c r="GU300" i="1" s="1"/>
  <c r="GV300" i="1" s="1"/>
  <c r="GL300" i="1"/>
  <c r="GM300" i="1" s="1"/>
  <c r="GF300" i="1"/>
  <c r="GG300" i="1" s="1"/>
  <c r="GR300" i="1"/>
  <c r="GQ300" i="1"/>
  <c r="GH300" i="1"/>
  <c r="GI300" i="1" s="1"/>
  <c r="GD300" i="1"/>
  <c r="GE300" i="1" s="1"/>
  <c r="GJ300" i="1"/>
  <c r="GK300" i="1" s="1"/>
  <c r="GC2" i="1"/>
  <c r="FG2" i="1"/>
  <c r="FP2" i="1" s="1"/>
  <c r="FR2" i="1" s="1"/>
  <c r="GT6" i="1" l="1"/>
  <c r="GU6" i="1" s="1"/>
  <c r="GV6" i="1" s="1"/>
  <c r="GQ6" i="1"/>
  <c r="GL6" i="1"/>
  <c r="GM6" i="1" s="1"/>
  <c r="GH6" i="1"/>
  <c r="GI6" i="1" s="1"/>
  <c r="GJ6" i="1"/>
  <c r="GK6" i="1" s="1"/>
  <c r="GF6" i="1"/>
  <c r="GG6" i="1" s="1"/>
  <c r="GD6" i="1"/>
  <c r="GR6" i="1"/>
  <c r="GF211" i="1"/>
  <c r="GG211" i="1" s="1"/>
  <c r="GH211" i="1"/>
  <c r="GI211" i="1" s="1"/>
  <c r="GQ211" i="1"/>
  <c r="GT211" i="1"/>
  <c r="GU211" i="1" s="1"/>
  <c r="GV211" i="1" s="1"/>
  <c r="GR211" i="1"/>
  <c r="GJ211" i="1"/>
  <c r="GK211" i="1" s="1"/>
  <c r="GD211" i="1"/>
  <c r="GL211" i="1"/>
  <c r="GM211" i="1" s="1"/>
  <c r="GH152" i="1"/>
  <c r="GI152" i="1" s="1"/>
  <c r="GQ152" i="1"/>
  <c r="GD152" i="1"/>
  <c r="GE152" i="1" s="1"/>
  <c r="GR152" i="1"/>
  <c r="GF152" i="1"/>
  <c r="GG152" i="1" s="1"/>
  <c r="GL152" i="1"/>
  <c r="GM152" i="1" s="1"/>
  <c r="GJ152" i="1"/>
  <c r="GK152" i="1" s="1"/>
  <c r="GN152" i="1"/>
  <c r="GO152" i="1" s="1"/>
  <c r="GT152" i="1"/>
  <c r="GU152" i="1" s="1"/>
  <c r="GV152" i="1" s="1"/>
  <c r="GL292" i="1"/>
  <c r="GM292" i="1" s="1"/>
  <c r="GQ292" i="1"/>
  <c r="GR292" i="1"/>
  <c r="GH292" i="1"/>
  <c r="GI292" i="1" s="1"/>
  <c r="GQ165" i="1"/>
  <c r="GT165" i="1"/>
  <c r="GU165" i="1" s="1"/>
  <c r="GV165" i="1" s="1"/>
  <c r="GH165" i="1"/>
  <c r="GI165" i="1" s="1"/>
  <c r="GD165" i="1"/>
  <c r="GE165" i="1" s="1"/>
  <c r="GR165" i="1"/>
  <c r="GD225" i="1"/>
  <c r="GE225" i="1" s="1"/>
  <c r="GJ225" i="1"/>
  <c r="GK225" i="1" s="1"/>
  <c r="GN129" i="1"/>
  <c r="GO129" i="1" s="1"/>
  <c r="GJ129" i="1"/>
  <c r="GK129" i="1" s="1"/>
  <c r="GR129" i="1"/>
  <c r="GL129" i="1"/>
  <c r="GM129" i="1" s="1"/>
  <c r="GH129" i="1"/>
  <c r="GI129" i="1" s="1"/>
  <c r="GD129" i="1"/>
  <c r="GE129" i="1" s="1"/>
  <c r="GP129" i="1" s="1"/>
  <c r="GS129" i="1" s="1"/>
  <c r="GW129" i="1" s="1"/>
  <c r="GX129" i="1" s="1"/>
  <c r="GY129" i="1" s="1"/>
  <c r="GZ129" i="1" s="1"/>
  <c r="GF129" i="1"/>
  <c r="GG129" i="1" s="1"/>
  <c r="GQ129" i="1"/>
  <c r="GT129" i="1"/>
  <c r="GU129" i="1" s="1"/>
  <c r="GV129" i="1" s="1"/>
  <c r="GQ88" i="1"/>
  <c r="GR88" i="1"/>
  <c r="GD88" i="1"/>
  <c r="GH88" i="1"/>
  <c r="GI88" i="1" s="1"/>
  <c r="GJ88" i="1"/>
  <c r="GK88" i="1" s="1"/>
  <c r="GT88" i="1"/>
  <c r="GU88" i="1" s="1"/>
  <c r="GV88" i="1" s="1"/>
  <c r="GF88" i="1"/>
  <c r="GG88" i="1" s="1"/>
  <c r="GL88" i="1"/>
  <c r="GM88" i="1" s="1"/>
  <c r="GL98" i="1"/>
  <c r="GM98" i="1" s="1"/>
  <c r="GH98" i="1"/>
  <c r="GI98" i="1" s="1"/>
  <c r="GF98" i="1"/>
  <c r="GG98" i="1" s="1"/>
  <c r="GD98" i="1"/>
  <c r="GE98" i="1" s="1"/>
  <c r="GL270" i="1"/>
  <c r="GM270" i="1" s="1"/>
  <c r="GH270" i="1"/>
  <c r="GI270" i="1" s="1"/>
  <c r="GD270" i="1"/>
  <c r="GE270" i="1" s="1"/>
  <c r="GP270" i="1" s="1"/>
  <c r="GS270" i="1" s="1"/>
  <c r="GW270" i="1" s="1"/>
  <c r="GX270" i="1" s="1"/>
  <c r="GQ270" i="1"/>
  <c r="GN270" i="1"/>
  <c r="GO270" i="1" s="1"/>
  <c r="GF270" i="1"/>
  <c r="GG270" i="1" s="1"/>
  <c r="GR270" i="1"/>
  <c r="GJ270" i="1"/>
  <c r="GK270" i="1" s="1"/>
  <c r="GT270" i="1"/>
  <c r="GU270" i="1" s="1"/>
  <c r="GV270" i="1" s="1"/>
  <c r="GR155" i="1"/>
  <c r="GF155" i="1"/>
  <c r="GG155" i="1" s="1"/>
  <c r="GJ47" i="1"/>
  <c r="GK47" i="1" s="1"/>
  <c r="GH47" i="1"/>
  <c r="GI47" i="1" s="1"/>
  <c r="GT47" i="1"/>
  <c r="GU47" i="1" s="1"/>
  <c r="GV47" i="1" s="1"/>
  <c r="GD47" i="1"/>
  <c r="GR226" i="1"/>
  <c r="GH226" i="1"/>
  <c r="GI226" i="1" s="1"/>
  <c r="GD226" i="1"/>
  <c r="GJ226" i="1"/>
  <c r="GK226" i="1" s="1"/>
  <c r="GF166" i="1"/>
  <c r="GG166" i="1" s="1"/>
  <c r="GL166" i="1"/>
  <c r="GM166" i="1" s="1"/>
  <c r="GN193" i="1"/>
  <c r="GO193" i="1" s="1"/>
  <c r="GT193" i="1"/>
  <c r="GU193" i="1" s="1"/>
  <c r="GV193" i="1" s="1"/>
  <c r="GQ40" i="1"/>
  <c r="GD40" i="1"/>
  <c r="GE40" i="1" s="1"/>
  <c r="GH40" i="1"/>
  <c r="GI40" i="1" s="1"/>
  <c r="GL216" i="1"/>
  <c r="GM216" i="1" s="1"/>
  <c r="GD216" i="1"/>
  <c r="GE216" i="1" s="1"/>
  <c r="GH216" i="1"/>
  <c r="GI216" i="1" s="1"/>
  <c r="GF216" i="1"/>
  <c r="GG216" i="1" s="1"/>
  <c r="GQ216" i="1"/>
  <c r="GR216" i="1"/>
  <c r="GJ216" i="1"/>
  <c r="GK216" i="1" s="1"/>
  <c r="GT216" i="1"/>
  <c r="GU216" i="1" s="1"/>
  <c r="GV216" i="1" s="1"/>
  <c r="GF50" i="1"/>
  <c r="GG50" i="1" s="1"/>
  <c r="GL50" i="1"/>
  <c r="GM50" i="1" s="1"/>
  <c r="GQ50" i="1"/>
  <c r="GD50" i="1"/>
  <c r="GT50" i="1"/>
  <c r="GU50" i="1" s="1"/>
  <c r="GV50" i="1" s="1"/>
  <c r="GH50" i="1"/>
  <c r="GI50" i="1" s="1"/>
  <c r="GR50" i="1"/>
  <c r="GJ50" i="1"/>
  <c r="GK50" i="1" s="1"/>
  <c r="GH135" i="1"/>
  <c r="GI135" i="1" s="1"/>
  <c r="GT135" i="1"/>
  <c r="GU135" i="1" s="1"/>
  <c r="GV135" i="1" s="1"/>
  <c r="GR135" i="1"/>
  <c r="GL135" i="1"/>
  <c r="GM135" i="1" s="1"/>
  <c r="GD135" i="1"/>
  <c r="GQ135" i="1"/>
  <c r="GJ135" i="1"/>
  <c r="GK135" i="1" s="1"/>
  <c r="GF135" i="1"/>
  <c r="GG135" i="1" s="1"/>
  <c r="GR114" i="1"/>
  <c r="GD114" i="1"/>
  <c r="GH114" i="1"/>
  <c r="GI114" i="1" s="1"/>
  <c r="GF114" i="1"/>
  <c r="GG114" i="1" s="1"/>
  <c r="GL114" i="1"/>
  <c r="GM114" i="1" s="1"/>
  <c r="GQ114" i="1"/>
  <c r="GT114" i="1"/>
  <c r="GU114" i="1" s="1"/>
  <c r="GV114" i="1" s="1"/>
  <c r="GJ114" i="1"/>
  <c r="GK114" i="1" s="1"/>
  <c r="GL273" i="1"/>
  <c r="GM273" i="1" s="1"/>
  <c r="GQ273" i="1"/>
  <c r="GT273" i="1"/>
  <c r="GU273" i="1" s="1"/>
  <c r="GV273" i="1" s="1"/>
  <c r="GD273" i="1"/>
  <c r="GH273" i="1"/>
  <c r="GI273" i="1" s="1"/>
  <c r="GJ273" i="1"/>
  <c r="GK273" i="1" s="1"/>
  <c r="GF273" i="1"/>
  <c r="GG273" i="1" s="1"/>
  <c r="GR273" i="1"/>
  <c r="GR60" i="1"/>
  <c r="GD60" i="1"/>
  <c r="GJ60" i="1"/>
  <c r="GK60" i="1" s="1"/>
  <c r="GF60" i="1"/>
  <c r="GG60" i="1" s="1"/>
  <c r="GQ60" i="1"/>
  <c r="GT60" i="1"/>
  <c r="GU60" i="1" s="1"/>
  <c r="GV60" i="1" s="1"/>
  <c r="GH60" i="1"/>
  <c r="GI60" i="1" s="1"/>
  <c r="GL60" i="1"/>
  <c r="GM60" i="1" s="1"/>
  <c r="GF292" i="1"/>
  <c r="GG292" i="1" s="1"/>
  <c r="GT292" i="1"/>
  <c r="GU292" i="1" s="1"/>
  <c r="GV292" i="1" s="1"/>
  <c r="GD292" i="1"/>
  <c r="GJ292" i="1"/>
  <c r="GK292" i="1" s="1"/>
  <c r="GL245" i="1"/>
  <c r="GM245" i="1" s="1"/>
  <c r="GD245" i="1"/>
  <c r="GE245" i="1" s="1"/>
  <c r="GH245" i="1"/>
  <c r="GI245" i="1" s="1"/>
  <c r="GQ245" i="1"/>
  <c r="GT245" i="1"/>
  <c r="GU245" i="1" s="1"/>
  <c r="GV245" i="1" s="1"/>
  <c r="GF245" i="1"/>
  <c r="GG245" i="1" s="1"/>
  <c r="GJ245" i="1"/>
  <c r="GK245" i="1" s="1"/>
  <c r="GR245" i="1"/>
  <c r="GF179" i="1"/>
  <c r="GG179" i="1" s="1"/>
  <c r="GD179" i="1"/>
  <c r="GH179" i="1"/>
  <c r="GI179" i="1" s="1"/>
  <c r="FQ254" i="1"/>
  <c r="FR254" i="1"/>
  <c r="GT22" i="1"/>
  <c r="GU22" i="1" s="1"/>
  <c r="GV22" i="1" s="1"/>
  <c r="GJ22" i="1"/>
  <c r="GK22" i="1" s="1"/>
  <c r="FR232" i="1"/>
  <c r="FQ232" i="1"/>
  <c r="GH130" i="1"/>
  <c r="GI130" i="1" s="1"/>
  <c r="GT130" i="1"/>
  <c r="GU130" i="1" s="1"/>
  <c r="GV130" i="1" s="1"/>
  <c r="GF89" i="1"/>
  <c r="GG89" i="1" s="1"/>
  <c r="GH89" i="1"/>
  <c r="GI89" i="1" s="1"/>
  <c r="GJ296" i="1"/>
  <c r="GK296" i="1" s="1"/>
  <c r="GT296" i="1"/>
  <c r="GU296" i="1" s="1"/>
  <c r="GV296" i="1" s="1"/>
  <c r="GQ116" i="1"/>
  <c r="GL116" i="1"/>
  <c r="GM116" i="1" s="1"/>
  <c r="GT116" i="1"/>
  <c r="GU116" i="1" s="1"/>
  <c r="GV116" i="1" s="1"/>
  <c r="GJ116" i="1"/>
  <c r="GK116" i="1" s="1"/>
  <c r="GD116" i="1"/>
  <c r="GR116" i="1"/>
  <c r="GF116" i="1"/>
  <c r="GG116" i="1" s="1"/>
  <c r="GH116" i="1"/>
  <c r="GI116" i="1" s="1"/>
  <c r="GR172" i="1"/>
  <c r="GF172" i="1"/>
  <c r="GG172" i="1" s="1"/>
  <c r="GD172" i="1"/>
  <c r="GQ172" i="1"/>
  <c r="GL172" i="1"/>
  <c r="GM172" i="1" s="1"/>
  <c r="GH172" i="1"/>
  <c r="GI172" i="1" s="1"/>
  <c r="GJ172" i="1"/>
  <c r="GK172" i="1" s="1"/>
  <c r="GT172" i="1"/>
  <c r="GU172" i="1" s="1"/>
  <c r="GV172" i="1" s="1"/>
  <c r="GR64" i="1"/>
  <c r="GD64" i="1"/>
  <c r="GE64" i="1" s="1"/>
  <c r="GH64" i="1"/>
  <c r="GI64" i="1" s="1"/>
  <c r="GJ64" i="1"/>
  <c r="GK64" i="1" s="1"/>
  <c r="GL64" i="1"/>
  <c r="GM64" i="1" s="1"/>
  <c r="GT64" i="1"/>
  <c r="GU64" i="1" s="1"/>
  <c r="GV64" i="1" s="1"/>
  <c r="GF64" i="1"/>
  <c r="GG64" i="1" s="1"/>
  <c r="GQ64" i="1"/>
  <c r="GQ82" i="1"/>
  <c r="GD82" i="1"/>
  <c r="GE82" i="1" s="1"/>
  <c r="GF82" i="1"/>
  <c r="GG82" i="1" s="1"/>
  <c r="GL82" i="1"/>
  <c r="GM82" i="1" s="1"/>
  <c r="GJ82" i="1"/>
  <c r="GK82" i="1" s="1"/>
  <c r="GT82" i="1"/>
  <c r="GU82" i="1" s="1"/>
  <c r="GV82" i="1" s="1"/>
  <c r="GR82" i="1"/>
  <c r="GH82" i="1"/>
  <c r="GI82" i="1" s="1"/>
  <c r="GL146" i="1"/>
  <c r="GM146" i="1" s="1"/>
  <c r="GT146" i="1"/>
  <c r="GU146" i="1" s="1"/>
  <c r="GV146" i="1" s="1"/>
  <c r="GJ146" i="1"/>
  <c r="GK146" i="1" s="1"/>
  <c r="GR146" i="1"/>
  <c r="GQ146" i="1"/>
  <c r="GD146" i="1"/>
  <c r="GF146" i="1"/>
  <c r="GG146" i="1" s="1"/>
  <c r="GH146" i="1"/>
  <c r="GI146" i="1" s="1"/>
  <c r="GL248" i="1"/>
  <c r="GM248" i="1" s="1"/>
  <c r="GD248" i="1"/>
  <c r="GJ248" i="1"/>
  <c r="GK248" i="1" s="1"/>
  <c r="GH248" i="1"/>
  <c r="GI248" i="1" s="1"/>
  <c r="GF248" i="1"/>
  <c r="GG248" i="1" s="1"/>
  <c r="GR248" i="1"/>
  <c r="GT248" i="1"/>
  <c r="GU248" i="1" s="1"/>
  <c r="GV248" i="1" s="1"/>
  <c r="GQ248" i="1"/>
  <c r="GH9" i="1"/>
  <c r="GI9" i="1" s="1"/>
  <c r="GQ9" i="1"/>
  <c r="GT9" i="1"/>
  <c r="GU9" i="1" s="1"/>
  <c r="GV9" i="1" s="1"/>
  <c r="GR9" i="1"/>
  <c r="GL9" i="1"/>
  <c r="GM9" i="1" s="1"/>
  <c r="GD9" i="1"/>
  <c r="GE9" i="1" s="1"/>
  <c r="GJ9" i="1"/>
  <c r="GK9" i="1" s="1"/>
  <c r="GF9" i="1"/>
  <c r="GG9" i="1" s="1"/>
  <c r="GQ243" i="1"/>
  <c r="GJ243" i="1"/>
  <c r="GK243" i="1" s="1"/>
  <c r="GT243" i="1"/>
  <c r="GU243" i="1" s="1"/>
  <c r="GV243" i="1" s="1"/>
  <c r="GL243" i="1"/>
  <c r="GM243" i="1" s="1"/>
  <c r="GR243" i="1"/>
  <c r="GH243" i="1"/>
  <c r="GI243" i="1" s="1"/>
  <c r="GF243" i="1"/>
  <c r="GG243" i="1" s="1"/>
  <c r="GD243" i="1"/>
  <c r="GQ159" i="1"/>
  <c r="GT159" i="1"/>
  <c r="GU159" i="1" s="1"/>
  <c r="GV159" i="1" s="1"/>
  <c r="GR159" i="1"/>
  <c r="GJ159" i="1"/>
  <c r="GK159" i="1" s="1"/>
  <c r="GH159" i="1"/>
  <c r="GI159" i="1" s="1"/>
  <c r="GD159" i="1"/>
  <c r="GF159" i="1"/>
  <c r="GG159" i="1" s="1"/>
  <c r="GL159" i="1"/>
  <c r="GM159" i="1" s="1"/>
  <c r="GQ282" i="1"/>
  <c r="GD282" i="1"/>
  <c r="GE282" i="1" s="1"/>
  <c r="GN282" i="1"/>
  <c r="GO282" i="1" s="1"/>
  <c r="GH282" i="1"/>
  <c r="GI282" i="1" s="1"/>
  <c r="GJ282" i="1"/>
  <c r="GK282" i="1" s="1"/>
  <c r="GR282" i="1"/>
  <c r="GF282" i="1"/>
  <c r="GG282" i="1" s="1"/>
  <c r="GL282" i="1"/>
  <c r="GM282" i="1" s="1"/>
  <c r="GT282" i="1"/>
  <c r="GU282" i="1" s="1"/>
  <c r="GV282" i="1" s="1"/>
  <c r="GJ200" i="1"/>
  <c r="GK200" i="1" s="1"/>
  <c r="GR200" i="1"/>
  <c r="GT200" i="1"/>
  <c r="GU200" i="1" s="1"/>
  <c r="GV200" i="1" s="1"/>
  <c r="GQ200" i="1"/>
  <c r="GF200" i="1"/>
  <c r="GG200" i="1" s="1"/>
  <c r="GL200" i="1"/>
  <c r="GM200" i="1" s="1"/>
  <c r="GH200" i="1"/>
  <c r="GI200" i="1" s="1"/>
  <c r="GD200" i="1"/>
  <c r="GE200" i="1" s="1"/>
  <c r="GR153" i="1"/>
  <c r="GD153" i="1"/>
  <c r="GL153" i="1"/>
  <c r="GM153" i="1" s="1"/>
  <c r="GJ153" i="1"/>
  <c r="GK153" i="1" s="1"/>
  <c r="GF153" i="1"/>
  <c r="GG153" i="1" s="1"/>
  <c r="GH153" i="1"/>
  <c r="GI153" i="1" s="1"/>
  <c r="GQ153" i="1"/>
  <c r="GT153" i="1"/>
  <c r="GU153" i="1" s="1"/>
  <c r="GV153" i="1" s="1"/>
  <c r="GD303" i="1"/>
  <c r="GL303" i="1"/>
  <c r="GM303" i="1" s="1"/>
  <c r="GR303" i="1"/>
  <c r="GQ303" i="1"/>
  <c r="GJ303" i="1"/>
  <c r="GK303" i="1" s="1"/>
  <c r="GH303" i="1"/>
  <c r="GI303" i="1" s="1"/>
  <c r="GF303" i="1"/>
  <c r="GG303" i="1" s="1"/>
  <c r="GT303" i="1"/>
  <c r="GU303" i="1" s="1"/>
  <c r="GV303" i="1" s="1"/>
  <c r="GD154" i="1"/>
  <c r="GE154" i="1" s="1"/>
  <c r="GJ154" i="1"/>
  <c r="GK154" i="1" s="1"/>
  <c r="GL154" i="1"/>
  <c r="GM154" i="1" s="1"/>
  <c r="GF154" i="1"/>
  <c r="GG154" i="1" s="1"/>
  <c r="GH154" i="1"/>
  <c r="GI154" i="1" s="1"/>
  <c r="GQ154" i="1"/>
  <c r="GT154" i="1"/>
  <c r="GU154" i="1" s="1"/>
  <c r="GV154" i="1" s="1"/>
  <c r="GR154" i="1"/>
  <c r="GT128" i="1"/>
  <c r="GU128" i="1" s="1"/>
  <c r="GV128" i="1" s="1"/>
  <c r="GD128" i="1"/>
  <c r="GR128" i="1"/>
  <c r="GF128" i="1"/>
  <c r="GG128" i="1" s="1"/>
  <c r="GL128" i="1"/>
  <c r="GM128" i="1" s="1"/>
  <c r="GH128" i="1"/>
  <c r="GI128" i="1" s="1"/>
  <c r="GQ128" i="1"/>
  <c r="GJ128" i="1"/>
  <c r="GK128" i="1" s="1"/>
  <c r="FR170" i="1"/>
  <c r="FQ170" i="1"/>
  <c r="GF302" i="1"/>
  <c r="GG302" i="1" s="1"/>
  <c r="GR302" i="1"/>
  <c r="GL302" i="1"/>
  <c r="GM302" i="1" s="1"/>
  <c r="GJ302" i="1"/>
  <c r="GK302" i="1" s="1"/>
  <c r="GT302" i="1"/>
  <c r="GU302" i="1" s="1"/>
  <c r="GV302" i="1" s="1"/>
  <c r="GD302" i="1"/>
  <c r="GH302" i="1"/>
  <c r="GI302" i="1" s="1"/>
  <c r="GQ302" i="1"/>
  <c r="GJ21" i="1"/>
  <c r="GK21" i="1" s="1"/>
  <c r="GF21" i="1"/>
  <c r="GG21" i="1" s="1"/>
  <c r="GL21" i="1"/>
  <c r="GM21" i="1" s="1"/>
  <c r="GH21" i="1"/>
  <c r="GI21" i="1" s="1"/>
  <c r="GQ21" i="1"/>
  <c r="GD21" i="1"/>
  <c r="GE21" i="1" s="1"/>
  <c r="GN21" i="1"/>
  <c r="GO21" i="1" s="1"/>
  <c r="GR21" i="1"/>
  <c r="GT21" i="1"/>
  <c r="GU21" i="1" s="1"/>
  <c r="GV21" i="1" s="1"/>
  <c r="GT12" i="1"/>
  <c r="GU12" i="1" s="1"/>
  <c r="GV12" i="1" s="1"/>
  <c r="GL12" i="1"/>
  <c r="GM12" i="1" s="1"/>
  <c r="GJ12" i="1"/>
  <c r="GK12" i="1" s="1"/>
  <c r="GH12" i="1"/>
  <c r="GI12" i="1" s="1"/>
  <c r="GR12" i="1"/>
  <c r="GF12" i="1"/>
  <c r="GG12" i="1" s="1"/>
  <c r="GQ12" i="1"/>
  <c r="GD12" i="1"/>
  <c r="GL291" i="1"/>
  <c r="GM291" i="1" s="1"/>
  <c r="GD291" i="1"/>
  <c r="GJ291" i="1"/>
  <c r="GK291" i="1" s="1"/>
  <c r="GR291" i="1"/>
  <c r="GT291" i="1"/>
  <c r="GU291" i="1" s="1"/>
  <c r="GV291" i="1" s="1"/>
  <c r="GQ291" i="1"/>
  <c r="GH291" i="1"/>
  <c r="GI291" i="1" s="1"/>
  <c r="GF291" i="1"/>
  <c r="GG291" i="1" s="1"/>
  <c r="GQ174" i="1"/>
  <c r="GF174" i="1"/>
  <c r="GG174" i="1" s="1"/>
  <c r="GT174" i="1"/>
  <c r="GU174" i="1" s="1"/>
  <c r="GV174" i="1" s="1"/>
  <c r="GJ174" i="1"/>
  <c r="GK174" i="1" s="1"/>
  <c r="GH174" i="1"/>
  <c r="GI174" i="1" s="1"/>
  <c r="GR174" i="1"/>
  <c r="GD174" i="1"/>
  <c r="GL174" i="1"/>
  <c r="GM174" i="1" s="1"/>
  <c r="GT85" i="1"/>
  <c r="GU85" i="1" s="1"/>
  <c r="GV85" i="1" s="1"/>
  <c r="GR85" i="1"/>
  <c r="GH85" i="1"/>
  <c r="GI85" i="1" s="1"/>
  <c r="GF85" i="1"/>
  <c r="GG85" i="1" s="1"/>
  <c r="GL85" i="1"/>
  <c r="GM85" i="1" s="1"/>
  <c r="GQ85" i="1"/>
  <c r="GJ85" i="1"/>
  <c r="GK85" i="1" s="1"/>
  <c r="GD85" i="1"/>
  <c r="GL230" i="1"/>
  <c r="GM230" i="1" s="1"/>
  <c r="GD230" i="1"/>
  <c r="GF230" i="1"/>
  <c r="GG230" i="1" s="1"/>
  <c r="GR230" i="1"/>
  <c r="GJ230" i="1"/>
  <c r="GK230" i="1" s="1"/>
  <c r="GQ230" i="1"/>
  <c r="GT230" i="1"/>
  <c r="GU230" i="1" s="1"/>
  <c r="GV230" i="1" s="1"/>
  <c r="GH230" i="1"/>
  <c r="GI230" i="1" s="1"/>
  <c r="GF67" i="1"/>
  <c r="GG67" i="1" s="1"/>
  <c r="GR67" i="1"/>
  <c r="GH67" i="1"/>
  <c r="GI67" i="1" s="1"/>
  <c r="GJ67" i="1"/>
  <c r="GK67" i="1" s="1"/>
  <c r="GD67" i="1"/>
  <c r="GT67" i="1"/>
  <c r="GU67" i="1" s="1"/>
  <c r="GV67" i="1" s="1"/>
  <c r="GL67" i="1"/>
  <c r="GM67" i="1" s="1"/>
  <c r="GQ67" i="1"/>
  <c r="GJ265" i="1"/>
  <c r="GK265" i="1" s="1"/>
  <c r="GQ265" i="1"/>
  <c r="GR265" i="1"/>
  <c r="GH265" i="1"/>
  <c r="GI265" i="1" s="1"/>
  <c r="GT265" i="1"/>
  <c r="GU265" i="1" s="1"/>
  <c r="GV265" i="1" s="1"/>
  <c r="GL265" i="1"/>
  <c r="GM265" i="1" s="1"/>
  <c r="GD265" i="1"/>
  <c r="GF265" i="1"/>
  <c r="GG265" i="1" s="1"/>
  <c r="GJ28" i="1"/>
  <c r="GK28" i="1" s="1"/>
  <c r="GH28" i="1"/>
  <c r="GI28" i="1" s="1"/>
  <c r="GL28" i="1"/>
  <c r="GM28" i="1" s="1"/>
  <c r="GR28" i="1"/>
  <c r="GF28" i="1"/>
  <c r="GG28" i="1" s="1"/>
  <c r="GD28" i="1"/>
  <c r="GQ28" i="1"/>
  <c r="GT28" i="1"/>
  <c r="GU28" i="1" s="1"/>
  <c r="GV28" i="1" s="1"/>
  <c r="FQ105" i="1"/>
  <c r="FR105" i="1"/>
  <c r="FS105" i="1" s="1"/>
  <c r="FT105" i="1" s="1"/>
  <c r="FU105" i="1" s="1"/>
  <c r="FV105" i="1" s="1"/>
  <c r="FX105" i="1" s="1"/>
  <c r="GH39" i="1"/>
  <c r="GI39" i="1" s="1"/>
  <c r="GR39" i="1"/>
  <c r="GL39" i="1"/>
  <c r="GM39" i="1" s="1"/>
  <c r="GD39" i="1"/>
  <c r="GE39" i="1" s="1"/>
  <c r="GT39" i="1"/>
  <c r="GU39" i="1" s="1"/>
  <c r="GV39" i="1" s="1"/>
  <c r="GF39" i="1"/>
  <c r="GG39" i="1" s="1"/>
  <c r="GQ39" i="1"/>
  <c r="GJ39" i="1"/>
  <c r="GK39" i="1" s="1"/>
  <c r="GD280" i="1"/>
  <c r="GH280" i="1"/>
  <c r="GI280" i="1" s="1"/>
  <c r="GL280" i="1"/>
  <c r="GM280" i="1" s="1"/>
  <c r="GJ280" i="1"/>
  <c r="GK280" i="1" s="1"/>
  <c r="GR280" i="1"/>
  <c r="GT280" i="1"/>
  <c r="GU280" i="1" s="1"/>
  <c r="GV280" i="1" s="1"/>
  <c r="GF280" i="1"/>
  <c r="GG280" i="1" s="1"/>
  <c r="GQ280" i="1"/>
  <c r="GH74" i="1"/>
  <c r="GI74" i="1" s="1"/>
  <c r="GQ74" i="1"/>
  <c r="GL74" i="1"/>
  <c r="GM74" i="1" s="1"/>
  <c r="GR74" i="1"/>
  <c r="GD74" i="1"/>
  <c r="GT74" i="1"/>
  <c r="GU74" i="1" s="1"/>
  <c r="GV74" i="1" s="1"/>
  <c r="GF74" i="1"/>
  <c r="GG74" i="1" s="1"/>
  <c r="GJ74" i="1"/>
  <c r="GK74" i="1" s="1"/>
  <c r="GJ219" i="1"/>
  <c r="GK219" i="1" s="1"/>
  <c r="GD219" i="1"/>
  <c r="GQ219" i="1"/>
  <c r="GL219" i="1"/>
  <c r="GM219" i="1" s="1"/>
  <c r="GT219" i="1"/>
  <c r="GU219" i="1" s="1"/>
  <c r="GV219" i="1" s="1"/>
  <c r="GF219" i="1"/>
  <c r="GG219" i="1" s="1"/>
  <c r="GR219" i="1"/>
  <c r="GH219" i="1"/>
  <c r="GI219" i="1" s="1"/>
  <c r="GH33" i="1"/>
  <c r="GI33" i="1" s="1"/>
  <c r="GL33" i="1"/>
  <c r="GM33" i="1" s="1"/>
  <c r="GT33" i="1"/>
  <c r="GU33" i="1" s="1"/>
  <c r="GV33" i="1" s="1"/>
  <c r="GJ33" i="1"/>
  <c r="GK33" i="1" s="1"/>
  <c r="GD33" i="1"/>
  <c r="GF33" i="1"/>
  <c r="GG33" i="1" s="1"/>
  <c r="GR33" i="1"/>
  <c r="GQ33" i="1"/>
  <c r="GF149" i="1"/>
  <c r="GG149" i="1" s="1"/>
  <c r="GJ149" i="1"/>
  <c r="GK149" i="1" s="1"/>
  <c r="GR149" i="1"/>
  <c r="GH149" i="1"/>
  <c r="GI149" i="1" s="1"/>
  <c r="GD149" i="1"/>
  <c r="GQ149" i="1"/>
  <c r="GT149" i="1"/>
  <c r="GU149" i="1" s="1"/>
  <c r="GV149" i="1" s="1"/>
  <c r="GL149" i="1"/>
  <c r="GM149" i="1" s="1"/>
  <c r="GF57" i="1"/>
  <c r="GG57" i="1" s="1"/>
  <c r="GL57" i="1"/>
  <c r="GM57" i="1" s="1"/>
  <c r="GJ57" i="1"/>
  <c r="GK57" i="1" s="1"/>
  <c r="GD57" i="1"/>
  <c r="GT57" i="1"/>
  <c r="GU57" i="1" s="1"/>
  <c r="GV57" i="1" s="1"/>
  <c r="GH57" i="1"/>
  <c r="GI57" i="1" s="1"/>
  <c r="GR57" i="1"/>
  <c r="GQ57" i="1"/>
  <c r="GR86" i="1"/>
  <c r="GQ86" i="1"/>
  <c r="GF86" i="1"/>
  <c r="GG86" i="1" s="1"/>
  <c r="GJ86" i="1"/>
  <c r="GK86" i="1" s="1"/>
  <c r="GT86" i="1"/>
  <c r="GU86" i="1" s="1"/>
  <c r="GV86" i="1" s="1"/>
  <c r="GD86" i="1"/>
  <c r="GE86" i="1" s="1"/>
  <c r="GH86" i="1"/>
  <c r="GL86" i="1"/>
  <c r="GM86" i="1" s="1"/>
  <c r="GL124" i="1"/>
  <c r="GM124" i="1" s="1"/>
  <c r="GQ124" i="1"/>
  <c r="GH124" i="1"/>
  <c r="GJ124" i="1"/>
  <c r="GK124" i="1" s="1"/>
  <c r="GT124" i="1"/>
  <c r="GU124" i="1" s="1"/>
  <c r="GV124" i="1" s="1"/>
  <c r="GF124" i="1"/>
  <c r="GG124" i="1" s="1"/>
  <c r="GR124" i="1"/>
  <c r="GD124" i="1"/>
  <c r="GE124" i="1" s="1"/>
  <c r="GL203" i="1"/>
  <c r="GM203" i="1" s="1"/>
  <c r="GH203" i="1"/>
  <c r="GI203" i="1" s="1"/>
  <c r="GF203" i="1"/>
  <c r="GG203" i="1" s="1"/>
  <c r="GJ203" i="1"/>
  <c r="GK203" i="1" s="1"/>
  <c r="GR203" i="1"/>
  <c r="GD203" i="1"/>
  <c r="GQ203" i="1"/>
  <c r="GT203" i="1"/>
  <c r="GU203" i="1" s="1"/>
  <c r="GV203" i="1" s="1"/>
  <c r="GQ210" i="1"/>
  <c r="GH210" i="1"/>
  <c r="GI210" i="1" s="1"/>
  <c r="GD210" i="1"/>
  <c r="GJ210" i="1"/>
  <c r="GK210" i="1" s="1"/>
  <c r="GT210" i="1"/>
  <c r="GU210" i="1" s="1"/>
  <c r="GV210" i="1" s="1"/>
  <c r="GR210" i="1"/>
  <c r="GL210" i="1"/>
  <c r="GM210" i="1" s="1"/>
  <c r="GF210" i="1"/>
  <c r="GG210" i="1" s="1"/>
  <c r="GL31" i="1"/>
  <c r="GM31" i="1" s="1"/>
  <c r="GJ31" i="1"/>
  <c r="GK31" i="1" s="1"/>
  <c r="GH31" i="1"/>
  <c r="GI31" i="1" s="1"/>
  <c r="GD31" i="1"/>
  <c r="GQ31" i="1"/>
  <c r="GF31" i="1"/>
  <c r="GG31" i="1" s="1"/>
  <c r="GR31" i="1"/>
  <c r="GT31" i="1"/>
  <c r="GU31" i="1" s="1"/>
  <c r="GV31" i="1" s="1"/>
  <c r="GL276" i="1"/>
  <c r="GM276" i="1" s="1"/>
  <c r="GH276" i="1"/>
  <c r="GI276" i="1" s="1"/>
  <c r="GR276" i="1"/>
  <c r="GD276" i="1"/>
  <c r="GT276" i="1"/>
  <c r="GU276" i="1" s="1"/>
  <c r="GV276" i="1" s="1"/>
  <c r="GQ276" i="1"/>
  <c r="GJ276" i="1"/>
  <c r="GK276" i="1" s="1"/>
  <c r="GF276" i="1"/>
  <c r="GG276" i="1" s="1"/>
  <c r="GF242" i="1"/>
  <c r="GG242" i="1" s="1"/>
  <c r="GH242" i="1"/>
  <c r="GI242" i="1" s="1"/>
  <c r="GR242" i="1"/>
  <c r="GQ242" i="1"/>
  <c r="GT242" i="1"/>
  <c r="GU242" i="1" s="1"/>
  <c r="GV242" i="1" s="1"/>
  <c r="GJ242" i="1"/>
  <c r="GK242" i="1" s="1"/>
  <c r="GD242" i="1"/>
  <c r="GD253" i="1"/>
  <c r="GH253" i="1"/>
  <c r="GI253" i="1" s="1"/>
  <c r="GL253" i="1"/>
  <c r="GM253" i="1" s="1"/>
  <c r="GF253" i="1"/>
  <c r="GG253" i="1" s="1"/>
  <c r="GJ253" i="1"/>
  <c r="GK253" i="1" s="1"/>
  <c r="GR253" i="1"/>
  <c r="GQ253" i="1"/>
  <c r="GT253" i="1"/>
  <c r="GU253" i="1" s="1"/>
  <c r="GV253" i="1" s="1"/>
  <c r="GH35" i="1"/>
  <c r="GI35" i="1" s="1"/>
  <c r="GD35" i="1"/>
  <c r="GQ35" i="1"/>
  <c r="GL35" i="1"/>
  <c r="GM35" i="1" s="1"/>
  <c r="GT35" i="1"/>
  <c r="GU35" i="1" s="1"/>
  <c r="GV35" i="1" s="1"/>
  <c r="GR35" i="1"/>
  <c r="GJ35" i="1"/>
  <c r="GK35" i="1" s="1"/>
  <c r="GF35" i="1"/>
  <c r="GG35" i="1" s="1"/>
  <c r="GF213" i="1"/>
  <c r="GG213" i="1" s="1"/>
  <c r="GL213" i="1"/>
  <c r="GM213" i="1" s="1"/>
  <c r="GD213" i="1"/>
  <c r="GQ213" i="1"/>
  <c r="GR213" i="1"/>
  <c r="GH213" i="1"/>
  <c r="GI213" i="1" s="1"/>
  <c r="GJ213" i="1"/>
  <c r="GK213" i="1" s="1"/>
  <c r="GT213" i="1"/>
  <c r="GU213" i="1" s="1"/>
  <c r="GV213" i="1" s="1"/>
  <c r="GJ104" i="1"/>
  <c r="GK104" i="1" s="1"/>
  <c r="GD104" i="1"/>
  <c r="GE104" i="1" s="1"/>
  <c r="GP104" i="1" s="1"/>
  <c r="GS104" i="1" s="1"/>
  <c r="GW104" i="1" s="1"/>
  <c r="GX104" i="1" s="1"/>
  <c r="GY104" i="1" s="1"/>
  <c r="GZ104" i="1" s="1"/>
  <c r="GN104" i="1"/>
  <c r="GO104" i="1" s="1"/>
  <c r="GQ104" i="1"/>
  <c r="GF104" i="1"/>
  <c r="GG104" i="1" s="1"/>
  <c r="GR104" i="1"/>
  <c r="GL104" i="1"/>
  <c r="GM104" i="1" s="1"/>
  <c r="GH104" i="1"/>
  <c r="GI104" i="1" s="1"/>
  <c r="GT104" i="1"/>
  <c r="GU104" i="1" s="1"/>
  <c r="GV104" i="1" s="1"/>
  <c r="GD150" i="1"/>
  <c r="GH150" i="1"/>
  <c r="GI150" i="1" s="1"/>
  <c r="GF150" i="1"/>
  <c r="GG150" i="1" s="1"/>
  <c r="GR150" i="1"/>
  <c r="GT150" i="1"/>
  <c r="GU150" i="1" s="1"/>
  <c r="GV150" i="1" s="1"/>
  <c r="GJ150" i="1"/>
  <c r="GK150" i="1" s="1"/>
  <c r="GL150" i="1"/>
  <c r="GM150" i="1" s="1"/>
  <c r="GQ150" i="1"/>
  <c r="GR255" i="1"/>
  <c r="GF255" i="1"/>
  <c r="GG255" i="1" s="1"/>
  <c r="GL255" i="1"/>
  <c r="GM255" i="1" s="1"/>
  <c r="GD255" i="1"/>
  <c r="GJ255" i="1"/>
  <c r="GK255" i="1" s="1"/>
  <c r="GQ255" i="1"/>
  <c r="GT255" i="1"/>
  <c r="GU255" i="1" s="1"/>
  <c r="GV255" i="1" s="1"/>
  <c r="GH255" i="1"/>
  <c r="GI255" i="1" s="1"/>
  <c r="FR199" i="1"/>
  <c r="FQ199" i="1"/>
  <c r="FS199" i="1" s="1"/>
  <c r="FT199" i="1" s="1"/>
  <c r="FU199" i="1" s="1"/>
  <c r="FV199" i="1" s="1"/>
  <c r="FX199" i="1" s="1"/>
  <c r="GQ192" i="1"/>
  <c r="GH192" i="1"/>
  <c r="GI192" i="1" s="1"/>
  <c r="GT192" i="1"/>
  <c r="GU192" i="1" s="1"/>
  <c r="GV192" i="1" s="1"/>
  <c r="GL192" i="1"/>
  <c r="GM192" i="1" s="1"/>
  <c r="GJ192" i="1"/>
  <c r="GK192" i="1" s="1"/>
  <c r="GD192" i="1"/>
  <c r="GR192" i="1"/>
  <c r="GF192" i="1"/>
  <c r="GG192" i="1" s="1"/>
  <c r="GH232" i="1"/>
  <c r="GI232" i="1" s="1"/>
  <c r="GR232" i="1"/>
  <c r="GQ232" i="1"/>
  <c r="GD232" i="1"/>
  <c r="GJ232" i="1"/>
  <c r="GK232" i="1" s="1"/>
  <c r="GT232" i="1"/>
  <c r="GU232" i="1" s="1"/>
  <c r="GV232" i="1" s="1"/>
  <c r="GL232" i="1"/>
  <c r="GM232" i="1" s="1"/>
  <c r="GF232" i="1"/>
  <c r="GG232" i="1" s="1"/>
  <c r="GJ68" i="1"/>
  <c r="GK68" i="1" s="1"/>
  <c r="GL68" i="1"/>
  <c r="GM68" i="1" s="1"/>
  <c r="GQ68" i="1"/>
  <c r="GT68" i="1"/>
  <c r="GU68" i="1" s="1"/>
  <c r="GV68" i="1" s="1"/>
  <c r="GF68" i="1"/>
  <c r="GG68" i="1" s="1"/>
  <c r="GR68" i="1"/>
  <c r="GD68" i="1"/>
  <c r="GE68" i="1" s="1"/>
  <c r="GH68" i="1"/>
  <c r="GI68" i="1" s="1"/>
  <c r="FQ184" i="1"/>
  <c r="FR184" i="1"/>
  <c r="GR147" i="1"/>
  <c r="GQ147" i="1"/>
  <c r="GF147" i="1"/>
  <c r="GG147" i="1" s="1"/>
  <c r="GT147" i="1"/>
  <c r="GU147" i="1" s="1"/>
  <c r="GV147" i="1" s="1"/>
  <c r="GH147" i="1"/>
  <c r="GI147" i="1" s="1"/>
  <c r="GJ147" i="1"/>
  <c r="GK147" i="1" s="1"/>
  <c r="GL147" i="1"/>
  <c r="GM147" i="1" s="1"/>
  <c r="GD147" i="1"/>
  <c r="GQ72" i="1"/>
  <c r="GF72" i="1"/>
  <c r="GG72" i="1" s="1"/>
  <c r="GJ72" i="1"/>
  <c r="GK72" i="1" s="1"/>
  <c r="GT72" i="1"/>
  <c r="GU72" i="1" s="1"/>
  <c r="GV72" i="1" s="1"/>
  <c r="GR72" i="1"/>
  <c r="GH72" i="1"/>
  <c r="GI72" i="1" s="1"/>
  <c r="GL72" i="1"/>
  <c r="GM72" i="1" s="1"/>
  <c r="GD72" i="1"/>
  <c r="GF83" i="1"/>
  <c r="GG83" i="1" s="1"/>
  <c r="GH83" i="1"/>
  <c r="GI83" i="1" s="1"/>
  <c r="GD83" i="1"/>
  <c r="GL83" i="1"/>
  <c r="GM83" i="1" s="1"/>
  <c r="GR83" i="1"/>
  <c r="GT83" i="1"/>
  <c r="GU83" i="1" s="1"/>
  <c r="GV83" i="1" s="1"/>
  <c r="GQ83" i="1"/>
  <c r="GJ83" i="1"/>
  <c r="GK83" i="1" s="1"/>
  <c r="GF240" i="1"/>
  <c r="GG240" i="1" s="1"/>
  <c r="GL240" i="1"/>
  <c r="GM240" i="1" s="1"/>
  <c r="GT108" i="1"/>
  <c r="GU108" i="1" s="1"/>
  <c r="GV108" i="1" s="1"/>
  <c r="GJ108" i="1"/>
  <c r="GK108" i="1" s="1"/>
  <c r="GR108" i="1"/>
  <c r="GL108" i="1"/>
  <c r="GM108" i="1" s="1"/>
  <c r="GQ108" i="1"/>
  <c r="GD108" i="1"/>
  <c r="GE108" i="1" s="1"/>
  <c r="GF108" i="1"/>
  <c r="GG108" i="1" s="1"/>
  <c r="GH108" i="1"/>
  <c r="GI108" i="1" s="1"/>
  <c r="GJ133" i="1"/>
  <c r="GK133" i="1" s="1"/>
  <c r="GT133" i="1"/>
  <c r="GU133" i="1" s="1"/>
  <c r="GV133" i="1" s="1"/>
  <c r="GD133" i="1"/>
  <c r="GH133" i="1"/>
  <c r="GI133" i="1" s="1"/>
  <c r="GR133" i="1"/>
  <c r="GL133" i="1"/>
  <c r="GM133" i="1" s="1"/>
  <c r="GQ133" i="1"/>
  <c r="GF133" i="1"/>
  <c r="GG133" i="1" s="1"/>
  <c r="GQ235" i="1"/>
  <c r="GH235" i="1"/>
  <c r="GI235" i="1" s="1"/>
  <c r="GJ235" i="1"/>
  <c r="GK235" i="1" s="1"/>
  <c r="GL235" i="1"/>
  <c r="GM235" i="1" s="1"/>
  <c r="GF235" i="1"/>
  <c r="GG235" i="1" s="1"/>
  <c r="GR235" i="1"/>
  <c r="GD235" i="1"/>
  <c r="GT235" i="1"/>
  <c r="GU235" i="1" s="1"/>
  <c r="GV235" i="1" s="1"/>
  <c r="GR202" i="1"/>
  <c r="GQ202" i="1"/>
  <c r="GD202" i="1"/>
  <c r="GE202" i="1" s="1"/>
  <c r="GJ145" i="1"/>
  <c r="GK145" i="1" s="1"/>
  <c r="GF145" i="1"/>
  <c r="GG145" i="1" s="1"/>
  <c r="GQ145" i="1"/>
  <c r="GH145" i="1"/>
  <c r="GI145" i="1" s="1"/>
  <c r="GT145" i="1"/>
  <c r="GU145" i="1" s="1"/>
  <c r="GV145" i="1" s="1"/>
  <c r="GR145" i="1"/>
  <c r="GL145" i="1"/>
  <c r="GM145" i="1" s="1"/>
  <c r="GD145" i="1"/>
  <c r="GE145" i="1" s="1"/>
  <c r="GP145" i="1" s="1"/>
  <c r="GS145" i="1" s="1"/>
  <c r="GW145" i="1" s="1"/>
  <c r="GX145" i="1" s="1"/>
  <c r="GY145" i="1" s="1"/>
  <c r="GZ145" i="1" s="1"/>
  <c r="GJ103" i="1"/>
  <c r="GK103" i="1" s="1"/>
  <c r="GQ103" i="1"/>
  <c r="GL103" i="1"/>
  <c r="GM103" i="1" s="1"/>
  <c r="GR103" i="1"/>
  <c r="GT103" i="1"/>
  <c r="GU103" i="1" s="1"/>
  <c r="GV103" i="1" s="1"/>
  <c r="GF103" i="1"/>
  <c r="GG103" i="1" s="1"/>
  <c r="GD103" i="1"/>
  <c r="GH103" i="1"/>
  <c r="GI103" i="1" s="1"/>
  <c r="GH186" i="1"/>
  <c r="GI186" i="1" s="1"/>
  <c r="GL186" i="1"/>
  <c r="GM186" i="1" s="1"/>
  <c r="GR186" i="1"/>
  <c r="GF186" i="1"/>
  <c r="GG186" i="1" s="1"/>
  <c r="GQ186" i="1"/>
  <c r="GJ186" i="1"/>
  <c r="GK186" i="1" s="1"/>
  <c r="FQ259" i="1"/>
  <c r="FR259" i="1"/>
  <c r="GJ271" i="1"/>
  <c r="GK271" i="1" s="1"/>
  <c r="GH271" i="1"/>
  <c r="GI271" i="1" s="1"/>
  <c r="GR299" i="1"/>
  <c r="GL299" i="1"/>
  <c r="GM299" i="1" s="1"/>
  <c r="GT299" i="1"/>
  <c r="GU299" i="1" s="1"/>
  <c r="GV299" i="1" s="1"/>
  <c r="GQ299" i="1"/>
  <c r="GJ299" i="1"/>
  <c r="GK299" i="1" s="1"/>
  <c r="GD299" i="1"/>
  <c r="GF299" i="1"/>
  <c r="GG299" i="1" s="1"/>
  <c r="GH299" i="1"/>
  <c r="GI299" i="1" s="1"/>
  <c r="GR254" i="1"/>
  <c r="GL254" i="1"/>
  <c r="GM254" i="1" s="1"/>
  <c r="GH254" i="1"/>
  <c r="GI254" i="1" s="1"/>
  <c r="GD254" i="1"/>
  <c r="GE254" i="1" s="1"/>
  <c r="GJ254" i="1"/>
  <c r="GK254" i="1" s="1"/>
  <c r="GT254" i="1"/>
  <c r="GU254" i="1" s="1"/>
  <c r="GV254" i="1" s="1"/>
  <c r="GF254" i="1"/>
  <c r="GG254" i="1" s="1"/>
  <c r="GQ254" i="1"/>
  <c r="GQ84" i="1"/>
  <c r="GF84" i="1"/>
  <c r="GG84" i="1" s="1"/>
  <c r="GR84" i="1"/>
  <c r="GH84" i="1"/>
  <c r="GI84" i="1" s="1"/>
  <c r="GT84" i="1"/>
  <c r="GU84" i="1" s="1"/>
  <c r="GV84" i="1" s="1"/>
  <c r="GJ84" i="1"/>
  <c r="GK84" i="1" s="1"/>
  <c r="GD84" i="1"/>
  <c r="GL84" i="1"/>
  <c r="GM84" i="1" s="1"/>
  <c r="FR273" i="1"/>
  <c r="FQ273" i="1"/>
  <c r="GJ187" i="1"/>
  <c r="GK187" i="1" s="1"/>
  <c r="GQ187" i="1"/>
  <c r="GD187" i="1"/>
  <c r="GH187" i="1"/>
  <c r="GI187" i="1" s="1"/>
  <c r="GR187" i="1"/>
  <c r="GT187" i="1"/>
  <c r="GU187" i="1" s="1"/>
  <c r="GV187" i="1" s="1"/>
  <c r="GF187" i="1"/>
  <c r="GG187" i="1" s="1"/>
  <c r="GL187" i="1"/>
  <c r="GM187" i="1" s="1"/>
  <c r="GJ237" i="1"/>
  <c r="GK237" i="1" s="1"/>
  <c r="GQ237" i="1"/>
  <c r="GT237" i="1"/>
  <c r="GU237" i="1" s="1"/>
  <c r="GV237" i="1" s="1"/>
  <c r="GL237" i="1"/>
  <c r="GM237" i="1" s="1"/>
  <c r="GF237" i="1"/>
  <c r="GG237" i="1" s="1"/>
  <c r="GR237" i="1"/>
  <c r="GH237" i="1"/>
  <c r="GI237" i="1" s="1"/>
  <c r="GD237" i="1"/>
  <c r="GT288" i="1"/>
  <c r="GU288" i="1" s="1"/>
  <c r="GV288" i="1" s="1"/>
  <c r="GJ288" i="1"/>
  <c r="GK288" i="1" s="1"/>
  <c r="GL288" i="1"/>
  <c r="GM288" i="1" s="1"/>
  <c r="GH288" i="1"/>
  <c r="GI288" i="1" s="1"/>
  <c r="GD288" i="1"/>
  <c r="GE288" i="1" s="1"/>
  <c r="GQ288" i="1"/>
  <c r="GF288" i="1"/>
  <c r="GG288" i="1" s="1"/>
  <c r="GR288" i="1"/>
  <c r="GH283" i="1"/>
  <c r="GI283" i="1" s="1"/>
  <c r="GD283" i="1"/>
  <c r="GE283" i="1" s="1"/>
  <c r="FR284" i="1"/>
  <c r="FQ284" i="1"/>
  <c r="GH38" i="1"/>
  <c r="GI38" i="1" s="1"/>
  <c r="GD38" i="1"/>
  <c r="GE38" i="1" s="1"/>
  <c r="GJ38" i="1"/>
  <c r="GK38" i="1" s="1"/>
  <c r="GF38" i="1"/>
  <c r="GG38" i="1" s="1"/>
  <c r="GR38" i="1"/>
  <c r="GL38" i="1"/>
  <c r="GM38" i="1" s="1"/>
  <c r="GQ38" i="1"/>
  <c r="GN38" i="1"/>
  <c r="GO38" i="1" s="1"/>
  <c r="GT38" i="1"/>
  <c r="GU38" i="1" s="1"/>
  <c r="GV38" i="1" s="1"/>
  <c r="GL42" i="1"/>
  <c r="GM42" i="1" s="1"/>
  <c r="GF42" i="1"/>
  <c r="GG42" i="1" s="1"/>
  <c r="GQ42" i="1"/>
  <c r="GN42" i="1"/>
  <c r="GO42" i="1" s="1"/>
  <c r="GR42" i="1"/>
  <c r="GD42" i="1"/>
  <c r="GE42" i="1" s="1"/>
  <c r="GT42" i="1"/>
  <c r="GU42" i="1" s="1"/>
  <c r="GV42" i="1" s="1"/>
  <c r="GJ42" i="1"/>
  <c r="GK42" i="1" s="1"/>
  <c r="GH42" i="1"/>
  <c r="GI42" i="1" s="1"/>
  <c r="FQ65" i="1"/>
  <c r="FR65" i="1"/>
  <c r="GR63" i="1"/>
  <c r="GJ63" i="1"/>
  <c r="GK63" i="1" s="1"/>
  <c r="GT63" i="1"/>
  <c r="GU63" i="1" s="1"/>
  <c r="GV63" i="1" s="1"/>
  <c r="GD63" i="1"/>
  <c r="GE63" i="1" s="1"/>
  <c r="GL63" i="1"/>
  <c r="GM63" i="1" s="1"/>
  <c r="GF63" i="1"/>
  <c r="GG63" i="1" s="1"/>
  <c r="GH63" i="1"/>
  <c r="GI63" i="1" s="1"/>
  <c r="GQ63" i="1"/>
  <c r="GJ120" i="1"/>
  <c r="GK120" i="1" s="1"/>
  <c r="GR120" i="1"/>
  <c r="GT176" i="1"/>
  <c r="GU176" i="1" s="1"/>
  <c r="GV176" i="1" s="1"/>
  <c r="GJ176" i="1"/>
  <c r="GK176" i="1" s="1"/>
  <c r="GH176" i="1"/>
  <c r="GI176" i="1" s="1"/>
  <c r="GL176" i="1"/>
  <c r="GM176" i="1" s="1"/>
  <c r="GD176" i="1"/>
  <c r="GE176" i="1" s="1"/>
  <c r="GQ176" i="1"/>
  <c r="GR176" i="1"/>
  <c r="GF176" i="1"/>
  <c r="GG176" i="1" s="1"/>
  <c r="GH54" i="1"/>
  <c r="GI54" i="1" s="1"/>
  <c r="GD54" i="1"/>
  <c r="GE54" i="1" s="1"/>
  <c r="GL27" i="1"/>
  <c r="GM27" i="1" s="1"/>
  <c r="GJ27" i="1"/>
  <c r="GK27" i="1" s="1"/>
  <c r="GR27" i="1"/>
  <c r="GH27" i="1"/>
  <c r="GI27" i="1" s="1"/>
  <c r="GT27" i="1"/>
  <c r="GU27" i="1" s="1"/>
  <c r="GV27" i="1" s="1"/>
  <c r="GD27" i="1"/>
  <c r="GF27" i="1"/>
  <c r="GG27" i="1" s="1"/>
  <c r="GQ27" i="1"/>
  <c r="GL165" i="1"/>
  <c r="GM165" i="1" s="1"/>
  <c r="GF165" i="1"/>
  <c r="GG165" i="1" s="1"/>
  <c r="GJ165" i="1"/>
  <c r="GK165" i="1" s="1"/>
  <c r="GJ156" i="1"/>
  <c r="GK156" i="1" s="1"/>
  <c r="GQ156" i="1"/>
  <c r="GT156" i="1"/>
  <c r="GU156" i="1" s="1"/>
  <c r="GV156" i="1" s="1"/>
  <c r="GL156" i="1"/>
  <c r="GM156" i="1" s="1"/>
  <c r="GH156" i="1"/>
  <c r="GI156" i="1" s="1"/>
  <c r="GD156" i="1"/>
  <c r="GF156" i="1"/>
  <c r="GG156" i="1" s="1"/>
  <c r="GR156" i="1"/>
  <c r="GQ98" i="1"/>
  <c r="GR98" i="1"/>
  <c r="GT98" i="1"/>
  <c r="GU98" i="1" s="1"/>
  <c r="GV98" i="1" s="1"/>
  <c r="GJ98" i="1"/>
  <c r="GK98" i="1" s="1"/>
  <c r="GD132" i="1"/>
  <c r="GE132" i="1" s="1"/>
  <c r="GP132" i="1" s="1"/>
  <c r="GS132" i="1" s="1"/>
  <c r="GW132" i="1" s="1"/>
  <c r="GX132" i="1" s="1"/>
  <c r="GY132" i="1" s="1"/>
  <c r="GZ132" i="1" s="1"/>
  <c r="GQ132" i="1"/>
  <c r="GL132" i="1"/>
  <c r="GM132" i="1" s="1"/>
  <c r="GH132" i="1"/>
  <c r="GI132" i="1" s="1"/>
  <c r="GF132" i="1"/>
  <c r="GG132" i="1" s="1"/>
  <c r="GN132" i="1"/>
  <c r="GO132" i="1" s="1"/>
  <c r="GT132" i="1"/>
  <c r="GU132" i="1" s="1"/>
  <c r="GV132" i="1" s="1"/>
  <c r="GJ132" i="1"/>
  <c r="GK132" i="1" s="1"/>
  <c r="GR132" i="1"/>
  <c r="GR79" i="1"/>
  <c r="GH79" i="1"/>
  <c r="GI79" i="1" s="1"/>
  <c r="GD79" i="1"/>
  <c r="GE79" i="1" s="1"/>
  <c r="GT139" i="1"/>
  <c r="GU139" i="1" s="1"/>
  <c r="GV139" i="1" s="1"/>
  <c r="GQ139" i="1"/>
  <c r="GR139" i="1"/>
  <c r="GD139" i="1"/>
  <c r="GF139" i="1"/>
  <c r="GG139" i="1" s="1"/>
  <c r="GJ139" i="1"/>
  <c r="GK139" i="1" s="1"/>
  <c r="GL139" i="1"/>
  <c r="GM139" i="1" s="1"/>
  <c r="GH139" i="1"/>
  <c r="GI139" i="1" s="1"/>
  <c r="GL179" i="1"/>
  <c r="GM179" i="1" s="1"/>
  <c r="GR179" i="1"/>
  <c r="GT179" i="1"/>
  <c r="GU179" i="1" s="1"/>
  <c r="GV179" i="1" s="1"/>
  <c r="GJ179" i="1"/>
  <c r="GK179" i="1" s="1"/>
  <c r="GQ179" i="1"/>
  <c r="GH298" i="1"/>
  <c r="GI298" i="1" s="1"/>
  <c r="GL298" i="1"/>
  <c r="GM298" i="1" s="1"/>
  <c r="GT298" i="1"/>
  <c r="GU298" i="1" s="1"/>
  <c r="GV298" i="1" s="1"/>
  <c r="GQ298" i="1"/>
  <c r="GD298" i="1"/>
  <c r="GJ298" i="1"/>
  <c r="GK298" i="1" s="1"/>
  <c r="GR298" i="1"/>
  <c r="GF298" i="1"/>
  <c r="GG298" i="1" s="1"/>
  <c r="GR101" i="1"/>
  <c r="GJ101" i="1"/>
  <c r="GK101" i="1" s="1"/>
  <c r="GD101" i="1"/>
  <c r="GH101" i="1"/>
  <c r="GI101" i="1" s="1"/>
  <c r="GL101" i="1"/>
  <c r="GM101" i="1" s="1"/>
  <c r="GQ101" i="1"/>
  <c r="GT101" i="1"/>
  <c r="GU101" i="1" s="1"/>
  <c r="GV101" i="1" s="1"/>
  <c r="GL157" i="1"/>
  <c r="GM157" i="1" s="1"/>
  <c r="GJ157" i="1"/>
  <c r="GK157" i="1" s="1"/>
  <c r="GF157" i="1"/>
  <c r="GG157" i="1" s="1"/>
  <c r="GD157" i="1"/>
  <c r="GR157" i="1"/>
  <c r="GH157" i="1"/>
  <c r="GI157" i="1" s="1"/>
  <c r="GT157" i="1"/>
  <c r="GU157" i="1" s="1"/>
  <c r="GV157" i="1" s="1"/>
  <c r="GQ157" i="1"/>
  <c r="GL47" i="1"/>
  <c r="GM47" i="1" s="1"/>
  <c r="GR47" i="1"/>
  <c r="GF47" i="1"/>
  <c r="GG47" i="1" s="1"/>
  <c r="GQ47" i="1"/>
  <c r="GQ226" i="1"/>
  <c r="GT226" i="1"/>
  <c r="GU226" i="1" s="1"/>
  <c r="GV226" i="1" s="1"/>
  <c r="GL226" i="1"/>
  <c r="GM226" i="1" s="1"/>
  <c r="GF226" i="1"/>
  <c r="GG226" i="1" s="1"/>
  <c r="GH193" i="1"/>
  <c r="GI193" i="1" s="1"/>
  <c r="GF193" i="1"/>
  <c r="GG193" i="1" s="1"/>
  <c r="GJ193" i="1"/>
  <c r="GK193" i="1" s="1"/>
  <c r="GD193" i="1"/>
  <c r="GE193" i="1" s="1"/>
  <c r="GL193" i="1"/>
  <c r="GM193" i="1" s="1"/>
  <c r="GQ193" i="1"/>
  <c r="GR193" i="1"/>
  <c r="GF279" i="1"/>
  <c r="GG279" i="1" s="1"/>
  <c r="GR279" i="1"/>
  <c r="GH279" i="1"/>
  <c r="GL279" i="1"/>
  <c r="GM279" i="1" s="1"/>
  <c r="GT279" i="1"/>
  <c r="GU279" i="1" s="1"/>
  <c r="GV279" i="1" s="1"/>
  <c r="GJ279" i="1"/>
  <c r="GK279" i="1" s="1"/>
  <c r="GQ279" i="1"/>
  <c r="GD34" i="1"/>
  <c r="GE34" i="1" s="1"/>
  <c r="GF34" i="1"/>
  <c r="GG34" i="1" s="1"/>
  <c r="GQ34" i="1"/>
  <c r="FR191" i="1"/>
  <c r="FQ191" i="1"/>
  <c r="FS191" i="1" s="1"/>
  <c r="FT191" i="1" s="1"/>
  <c r="FU191" i="1" s="1"/>
  <c r="FV191" i="1" s="1"/>
  <c r="FX191" i="1" s="1"/>
  <c r="FQ203" i="1"/>
  <c r="FR203" i="1"/>
  <c r="FS203" i="1" s="1"/>
  <c r="FT203" i="1" s="1"/>
  <c r="FU203" i="1" s="1"/>
  <c r="FV203" i="1" s="1"/>
  <c r="FX203" i="1" s="1"/>
  <c r="FR190" i="1"/>
  <c r="FQ190" i="1"/>
  <c r="FS190" i="1" s="1"/>
  <c r="FT190" i="1" s="1"/>
  <c r="FU190" i="1" s="1"/>
  <c r="FV190" i="1" s="1"/>
  <c r="FX190" i="1" s="1"/>
  <c r="GN171" i="1"/>
  <c r="GO171" i="1" s="1"/>
  <c r="GL171" i="1"/>
  <c r="GM171" i="1" s="1"/>
  <c r="GH171" i="1"/>
  <c r="GI171" i="1" s="1"/>
  <c r="GF158" i="1"/>
  <c r="GG158" i="1" s="1"/>
  <c r="GQ158" i="1"/>
  <c r="GT36" i="1"/>
  <c r="GU36" i="1" s="1"/>
  <c r="GV36" i="1" s="1"/>
  <c r="GJ36" i="1"/>
  <c r="GK36" i="1" s="1"/>
  <c r="FQ77" i="1"/>
  <c r="FR77" i="1"/>
  <c r="FS77" i="1" s="1"/>
  <c r="FT77" i="1" s="1"/>
  <c r="FU77" i="1" s="1"/>
  <c r="FV77" i="1" s="1"/>
  <c r="FX77" i="1" s="1"/>
  <c r="FQ185" i="1"/>
  <c r="FR185" i="1"/>
  <c r="FS185" i="1" s="1"/>
  <c r="FT185" i="1" s="1"/>
  <c r="FU185" i="1" s="1"/>
  <c r="FV185" i="1" s="1"/>
  <c r="FX185" i="1" s="1"/>
  <c r="GF23" i="1"/>
  <c r="GG23" i="1" s="1"/>
  <c r="GD23" i="1"/>
  <c r="GR23" i="1"/>
  <c r="GT23" i="1"/>
  <c r="GU23" i="1" s="1"/>
  <c r="GV23" i="1" s="1"/>
  <c r="GJ23" i="1"/>
  <c r="GK23" i="1" s="1"/>
  <c r="GQ23" i="1"/>
  <c r="GH23" i="1"/>
  <c r="GI23" i="1" s="1"/>
  <c r="GL23" i="1"/>
  <c r="GM23" i="1" s="1"/>
  <c r="GQ5" i="1"/>
  <c r="GN5" i="1"/>
  <c r="GO5" i="1" s="1"/>
  <c r="GT5" i="1"/>
  <c r="GU5" i="1" s="1"/>
  <c r="GV5" i="1" s="1"/>
  <c r="GJ5" i="1"/>
  <c r="GK5" i="1" s="1"/>
  <c r="GL5" i="1"/>
  <c r="GM5" i="1" s="1"/>
  <c r="GD43" i="1"/>
  <c r="GE43" i="1" s="1"/>
  <c r="GF43" i="1"/>
  <c r="GG43" i="1" s="1"/>
  <c r="FR264" i="1"/>
  <c r="FQ264" i="1"/>
  <c r="FS264" i="1" s="1"/>
  <c r="FT264" i="1" s="1"/>
  <c r="FU264" i="1" s="1"/>
  <c r="FV264" i="1" s="1"/>
  <c r="FX264" i="1" s="1"/>
  <c r="FR128" i="1"/>
  <c r="FQ128" i="1"/>
  <c r="FS128" i="1" s="1"/>
  <c r="FT128" i="1" s="1"/>
  <c r="FU128" i="1" s="1"/>
  <c r="FV128" i="1" s="1"/>
  <c r="FX128" i="1" s="1"/>
  <c r="FR103" i="1"/>
  <c r="FQ103" i="1"/>
  <c r="FS103" i="1" s="1"/>
  <c r="FT103" i="1" s="1"/>
  <c r="FU103" i="1" s="1"/>
  <c r="FV103" i="1" s="1"/>
  <c r="FX103" i="1" s="1"/>
  <c r="GL251" i="1"/>
  <c r="GM251" i="1" s="1"/>
  <c r="GT251" i="1"/>
  <c r="GU251" i="1" s="1"/>
  <c r="GV251" i="1" s="1"/>
  <c r="GH251" i="1"/>
  <c r="GI251" i="1" s="1"/>
  <c r="GF251" i="1"/>
  <c r="GG251" i="1" s="1"/>
  <c r="GD251" i="1"/>
  <c r="GJ251" i="1"/>
  <c r="GK251" i="1" s="1"/>
  <c r="GQ251" i="1"/>
  <c r="GR251" i="1"/>
  <c r="GL71" i="1"/>
  <c r="GM71" i="1" s="1"/>
  <c r="GH71" i="1"/>
  <c r="GI71" i="1" s="1"/>
  <c r="GR71" i="1"/>
  <c r="GQ71" i="1"/>
  <c r="GT71" i="1"/>
  <c r="GU71" i="1" s="1"/>
  <c r="GV71" i="1" s="1"/>
  <c r="GJ71" i="1"/>
  <c r="GK71" i="1" s="1"/>
  <c r="GD71" i="1"/>
  <c r="GF71" i="1"/>
  <c r="GG71" i="1" s="1"/>
  <c r="FQ55" i="1"/>
  <c r="FR55" i="1"/>
  <c r="FQ179" i="1"/>
  <c r="FR179" i="1"/>
  <c r="FS179" i="1" s="1"/>
  <c r="FT179" i="1" s="1"/>
  <c r="FU179" i="1" s="1"/>
  <c r="FV179" i="1" s="1"/>
  <c r="FX179" i="1" s="1"/>
  <c r="GJ260" i="1"/>
  <c r="GK260" i="1" s="1"/>
  <c r="GH260" i="1"/>
  <c r="GI260" i="1" s="1"/>
  <c r="FR57" i="1"/>
  <c r="FQ57" i="1"/>
  <c r="FS57" i="1" s="1"/>
  <c r="FT57" i="1" s="1"/>
  <c r="FU57" i="1" s="1"/>
  <c r="FV57" i="1" s="1"/>
  <c r="FX57" i="1" s="1"/>
  <c r="FR278" i="1"/>
  <c r="FQ278" i="1"/>
  <c r="FS278" i="1" s="1"/>
  <c r="FT278" i="1" s="1"/>
  <c r="FU278" i="1" s="1"/>
  <c r="FV278" i="1" s="1"/>
  <c r="FX278" i="1" s="1"/>
  <c r="GD163" i="1"/>
  <c r="GE163" i="1" s="1"/>
  <c r="GJ163" i="1"/>
  <c r="GK163" i="1" s="1"/>
  <c r="GR163" i="1"/>
  <c r="GQ278" i="1"/>
  <c r="GL278" i="1"/>
  <c r="GM278" i="1" s="1"/>
  <c r="GH278" i="1"/>
  <c r="GI278" i="1" s="1"/>
  <c r="GJ278" i="1"/>
  <c r="GK278" i="1" s="1"/>
  <c r="GR278" i="1"/>
  <c r="GF278" i="1"/>
  <c r="GG278" i="1" s="1"/>
  <c r="GT278" i="1"/>
  <c r="GU278" i="1" s="1"/>
  <c r="GV278" i="1" s="1"/>
  <c r="GD278" i="1"/>
  <c r="FR114" i="1"/>
  <c r="FQ114" i="1"/>
  <c r="FS114" i="1" s="1"/>
  <c r="FT114" i="1" s="1"/>
  <c r="FU114" i="1" s="1"/>
  <c r="FV114" i="1" s="1"/>
  <c r="FX114" i="1" s="1"/>
  <c r="FR283" i="1"/>
  <c r="FQ283" i="1"/>
  <c r="FS283" i="1" s="1"/>
  <c r="FT283" i="1" s="1"/>
  <c r="FU283" i="1" s="1"/>
  <c r="FV283" i="1" s="1"/>
  <c r="FX283" i="1" s="1"/>
  <c r="FQ70" i="1"/>
  <c r="FR70" i="1"/>
  <c r="FS70" i="1" s="1"/>
  <c r="FT70" i="1" s="1"/>
  <c r="FU70" i="1" s="1"/>
  <c r="FV70" i="1" s="1"/>
  <c r="FX70" i="1" s="1"/>
  <c r="GH32" i="1"/>
  <c r="GI32" i="1" s="1"/>
  <c r="GL32" i="1"/>
  <c r="GM32" i="1" s="1"/>
  <c r="GD32" i="1"/>
  <c r="GE32" i="1" s="1"/>
  <c r="FR88" i="1"/>
  <c r="FQ88" i="1"/>
  <c r="FS88" i="1" s="1"/>
  <c r="FT88" i="1" s="1"/>
  <c r="FU88" i="1" s="1"/>
  <c r="FV88" i="1" s="1"/>
  <c r="FX88" i="1" s="1"/>
  <c r="FQ81" i="1"/>
  <c r="FR81" i="1"/>
  <c r="FS81" i="1" s="1"/>
  <c r="FT81" i="1" s="1"/>
  <c r="FU81" i="1" s="1"/>
  <c r="FV81" i="1" s="1"/>
  <c r="FX81" i="1" s="1"/>
  <c r="FQ166" i="1"/>
  <c r="FR166" i="1"/>
  <c r="FS166" i="1" s="1"/>
  <c r="FT166" i="1" s="1"/>
  <c r="FU166" i="1" s="1"/>
  <c r="FV166" i="1" s="1"/>
  <c r="FX166" i="1" s="1"/>
  <c r="GF185" i="1"/>
  <c r="GG185" i="1" s="1"/>
  <c r="GL185" i="1"/>
  <c r="GM185" i="1" s="1"/>
  <c r="GJ185" i="1"/>
  <c r="GK185" i="1" s="1"/>
  <c r="GH185" i="1"/>
  <c r="GI185" i="1" s="1"/>
  <c r="GR185" i="1"/>
  <c r="GQ185" i="1"/>
  <c r="GT185" i="1"/>
  <c r="GU185" i="1" s="1"/>
  <c r="GV185" i="1" s="1"/>
  <c r="GD185" i="1"/>
  <c r="GE185" i="1" s="1"/>
  <c r="FQ244" i="1"/>
  <c r="FR244" i="1"/>
  <c r="FQ73" i="1"/>
  <c r="FR73" i="1"/>
  <c r="GT76" i="1"/>
  <c r="GU76" i="1" s="1"/>
  <c r="GV76" i="1" s="1"/>
  <c r="GQ76" i="1"/>
  <c r="GH76" i="1"/>
  <c r="GI76" i="1" s="1"/>
  <c r="GJ76" i="1"/>
  <c r="GK76" i="1" s="1"/>
  <c r="GN76" i="1"/>
  <c r="GO76" i="1" s="1"/>
  <c r="GR76" i="1"/>
  <c r="GF76" i="1"/>
  <c r="GG76" i="1" s="1"/>
  <c r="GD76" i="1"/>
  <c r="GE76" i="1" s="1"/>
  <c r="GL76" i="1"/>
  <c r="GM76" i="1" s="1"/>
  <c r="GR29" i="1"/>
  <c r="GL29" i="1"/>
  <c r="GM29" i="1" s="1"/>
  <c r="GH29" i="1"/>
  <c r="GI29" i="1" s="1"/>
  <c r="GF29" i="1"/>
  <c r="GG29" i="1" s="1"/>
  <c r="GJ29" i="1"/>
  <c r="GK29" i="1" s="1"/>
  <c r="FQ75" i="1"/>
  <c r="FR75" i="1"/>
  <c r="FS75" i="1" s="1"/>
  <c r="FT75" i="1" s="1"/>
  <c r="FU75" i="1" s="1"/>
  <c r="FV75" i="1" s="1"/>
  <c r="FX75" i="1" s="1"/>
  <c r="FQ8" i="1"/>
  <c r="FR8" i="1"/>
  <c r="FS8" i="1" s="1"/>
  <c r="FT8" i="1" s="1"/>
  <c r="FU8" i="1" s="1"/>
  <c r="FV8" i="1" s="1"/>
  <c r="FX8" i="1" s="1"/>
  <c r="FR17" i="1"/>
  <c r="FQ17" i="1"/>
  <c r="FS17" i="1" s="1"/>
  <c r="FT17" i="1" s="1"/>
  <c r="FU17" i="1" s="1"/>
  <c r="FV17" i="1" s="1"/>
  <c r="FX17" i="1" s="1"/>
  <c r="GJ221" i="1"/>
  <c r="GK221" i="1" s="1"/>
  <c r="GD221" i="1"/>
  <c r="GE221" i="1" s="1"/>
  <c r="FR151" i="1"/>
  <c r="FQ151" i="1"/>
  <c r="FS151" i="1" s="1"/>
  <c r="FT151" i="1" s="1"/>
  <c r="FU151" i="1" s="1"/>
  <c r="FV151" i="1" s="1"/>
  <c r="FX151" i="1" s="1"/>
  <c r="GQ177" i="1"/>
  <c r="GL177" i="1"/>
  <c r="GM177" i="1" s="1"/>
  <c r="GH177" i="1"/>
  <c r="GI177" i="1" s="1"/>
  <c r="FR116" i="1"/>
  <c r="FQ116" i="1"/>
  <c r="FS116" i="1" s="1"/>
  <c r="FT116" i="1" s="1"/>
  <c r="FU116" i="1" s="1"/>
  <c r="FV116" i="1" s="1"/>
  <c r="FX116" i="1" s="1"/>
  <c r="FR279" i="1"/>
  <c r="FQ279" i="1"/>
  <c r="FS279" i="1" s="1"/>
  <c r="FT279" i="1" s="1"/>
  <c r="FU279" i="1" s="1"/>
  <c r="FV279" i="1" s="1"/>
  <c r="FX279" i="1" s="1"/>
  <c r="GJ51" i="1"/>
  <c r="GK51" i="1" s="1"/>
  <c r="GT51" i="1"/>
  <c r="GU51" i="1" s="1"/>
  <c r="GV51" i="1" s="1"/>
  <c r="GR51" i="1"/>
  <c r="GH51" i="1"/>
  <c r="GD51" i="1"/>
  <c r="GE51" i="1" s="1"/>
  <c r="GQ51" i="1"/>
  <c r="GL51" i="1"/>
  <c r="GM51" i="1" s="1"/>
  <c r="GF51" i="1"/>
  <c r="GG51" i="1" s="1"/>
  <c r="GR293" i="1"/>
  <c r="GJ293" i="1"/>
  <c r="GK293" i="1" s="1"/>
  <c r="GH293" i="1"/>
  <c r="GI293" i="1" s="1"/>
  <c r="GL293" i="1"/>
  <c r="GM293" i="1" s="1"/>
  <c r="GF293" i="1"/>
  <c r="GG293" i="1" s="1"/>
  <c r="GD293" i="1"/>
  <c r="GT293" i="1"/>
  <c r="GU293" i="1" s="1"/>
  <c r="GV293" i="1" s="1"/>
  <c r="GQ293" i="1"/>
  <c r="GQ77" i="1"/>
  <c r="GF77" i="1"/>
  <c r="GG77" i="1" s="1"/>
  <c r="GH77" i="1"/>
  <c r="GI77" i="1" s="1"/>
  <c r="GL77" i="1"/>
  <c r="GM77" i="1" s="1"/>
  <c r="GD77" i="1"/>
  <c r="GJ77" i="1"/>
  <c r="GK77" i="1" s="1"/>
  <c r="GT77" i="1"/>
  <c r="GU77" i="1" s="1"/>
  <c r="GV77" i="1" s="1"/>
  <c r="GR77" i="1"/>
  <c r="GH59" i="1"/>
  <c r="GI59" i="1" s="1"/>
  <c r="GQ59" i="1"/>
  <c r="GR90" i="1"/>
  <c r="GQ90" i="1"/>
  <c r="GD90" i="1"/>
  <c r="GH90" i="1"/>
  <c r="GI90" i="1" s="1"/>
  <c r="GL90" i="1"/>
  <c r="GM90" i="1" s="1"/>
  <c r="GJ90" i="1"/>
  <c r="GK90" i="1" s="1"/>
  <c r="GF90" i="1"/>
  <c r="GG90" i="1" s="1"/>
  <c r="GT90" i="1"/>
  <c r="GU90" i="1" s="1"/>
  <c r="GV90" i="1" s="1"/>
  <c r="GH281" i="1"/>
  <c r="GI281" i="1" s="1"/>
  <c r="GQ281" i="1"/>
  <c r="GT70" i="1"/>
  <c r="GU70" i="1" s="1"/>
  <c r="GV70" i="1" s="1"/>
  <c r="GF70" i="1"/>
  <c r="GG70" i="1" s="1"/>
  <c r="GJ70" i="1"/>
  <c r="GK70" i="1" s="1"/>
  <c r="GD70" i="1"/>
  <c r="GQ70" i="1"/>
  <c r="GR70" i="1"/>
  <c r="GH70" i="1"/>
  <c r="GI70" i="1" s="1"/>
  <c r="GL70" i="1"/>
  <c r="GM70" i="1" s="1"/>
  <c r="GH272" i="1"/>
  <c r="GI272" i="1" s="1"/>
  <c r="GQ272" i="1"/>
  <c r="GR272" i="1"/>
  <c r="GF272" i="1"/>
  <c r="GG272" i="1" s="1"/>
  <c r="GL272" i="1"/>
  <c r="GM272" i="1" s="1"/>
  <c r="GT272" i="1"/>
  <c r="GU272" i="1" s="1"/>
  <c r="GV272" i="1" s="1"/>
  <c r="GJ272" i="1"/>
  <c r="GK272" i="1" s="1"/>
  <c r="GD272" i="1"/>
  <c r="GD44" i="1"/>
  <c r="GQ44" i="1"/>
  <c r="GR44" i="1"/>
  <c r="GF44" i="1"/>
  <c r="GG44" i="1" s="1"/>
  <c r="GH44" i="1"/>
  <c r="GI44" i="1" s="1"/>
  <c r="GL44" i="1"/>
  <c r="GM44" i="1" s="1"/>
  <c r="GT44" i="1"/>
  <c r="GU44" i="1" s="1"/>
  <c r="GV44" i="1" s="1"/>
  <c r="GJ44" i="1"/>
  <c r="GK44" i="1" s="1"/>
  <c r="GH215" i="1"/>
  <c r="GI215" i="1" s="1"/>
  <c r="GT215" i="1"/>
  <c r="GU215" i="1" s="1"/>
  <c r="GV215" i="1" s="1"/>
  <c r="GR215" i="1"/>
  <c r="GD215" i="1"/>
  <c r="GF215" i="1"/>
  <c r="GG215" i="1" s="1"/>
  <c r="GQ215" i="1"/>
  <c r="GJ215" i="1"/>
  <c r="GK215" i="1" s="1"/>
  <c r="GL215" i="1"/>
  <c r="GM215" i="1" s="1"/>
  <c r="GQ252" i="1"/>
  <c r="GL252" i="1"/>
  <c r="GM252" i="1" s="1"/>
  <c r="GJ252" i="1"/>
  <c r="GK252" i="1" s="1"/>
  <c r="GT252" i="1"/>
  <c r="GU252" i="1" s="1"/>
  <c r="GV252" i="1" s="1"/>
  <c r="GF252" i="1"/>
  <c r="GG252" i="1" s="1"/>
  <c r="GR252" i="1"/>
  <c r="GH252" i="1"/>
  <c r="GI252" i="1" s="1"/>
  <c r="GD252" i="1"/>
  <c r="GL122" i="1"/>
  <c r="GM122" i="1" s="1"/>
  <c r="GD122" i="1"/>
  <c r="GH122" i="1"/>
  <c r="GI122" i="1" s="1"/>
  <c r="GR122" i="1"/>
  <c r="GJ122" i="1"/>
  <c r="GK122" i="1" s="1"/>
  <c r="GF122" i="1"/>
  <c r="GG122" i="1" s="1"/>
  <c r="GQ122" i="1"/>
  <c r="GT122" i="1"/>
  <c r="GU122" i="1" s="1"/>
  <c r="GV122" i="1" s="1"/>
  <c r="GQ197" i="1"/>
  <c r="GD197" i="1"/>
  <c r="GE197" i="1" s="1"/>
  <c r="GH151" i="1"/>
  <c r="GI151" i="1" s="1"/>
  <c r="GQ151" i="1"/>
  <c r="GL118" i="1"/>
  <c r="GM118" i="1" s="1"/>
  <c r="GT118" i="1"/>
  <c r="GU118" i="1" s="1"/>
  <c r="GV118" i="1" s="1"/>
  <c r="GJ118" i="1"/>
  <c r="GK118" i="1" s="1"/>
  <c r="GQ118" i="1"/>
  <c r="GR118" i="1"/>
  <c r="GH118" i="1"/>
  <c r="GI118" i="1" s="1"/>
  <c r="GD118" i="1"/>
  <c r="GF118" i="1"/>
  <c r="GG118" i="1" s="1"/>
  <c r="GR274" i="1"/>
  <c r="GJ274" i="1"/>
  <c r="GK274" i="1" s="1"/>
  <c r="GD274" i="1"/>
  <c r="GH274" i="1"/>
  <c r="GI274" i="1" s="1"/>
  <c r="GQ274" i="1"/>
  <c r="GT274" i="1"/>
  <c r="GU274" i="1" s="1"/>
  <c r="GV274" i="1" s="1"/>
  <c r="GL274" i="1"/>
  <c r="GM274" i="1" s="1"/>
  <c r="GF274" i="1"/>
  <c r="GG274" i="1" s="1"/>
  <c r="GR295" i="1"/>
  <c r="GL295" i="1"/>
  <c r="GM295" i="1" s="1"/>
  <c r="GH295" i="1"/>
  <c r="GD191" i="1"/>
  <c r="GJ191" i="1"/>
  <c r="GK191" i="1" s="1"/>
  <c r="GR191" i="1"/>
  <c r="GL191" i="1"/>
  <c r="GM191" i="1" s="1"/>
  <c r="GH191" i="1"/>
  <c r="GI191" i="1" s="1"/>
  <c r="GT191" i="1"/>
  <c r="GU191" i="1" s="1"/>
  <c r="GV191" i="1" s="1"/>
  <c r="GQ191" i="1"/>
  <c r="GF191" i="1"/>
  <c r="GG191" i="1" s="1"/>
  <c r="GD207" i="1"/>
  <c r="GJ207" i="1"/>
  <c r="GK207" i="1" s="1"/>
  <c r="GQ207" i="1"/>
  <c r="GT207" i="1"/>
  <c r="GU207" i="1" s="1"/>
  <c r="GV207" i="1" s="1"/>
  <c r="GF207" i="1"/>
  <c r="GG207" i="1" s="1"/>
  <c r="GL207" i="1"/>
  <c r="GM207" i="1" s="1"/>
  <c r="GH207" i="1"/>
  <c r="GI207" i="1" s="1"/>
  <c r="GR207" i="1"/>
  <c r="GQ167" i="1"/>
  <c r="GR167" i="1"/>
  <c r="GT29" i="1"/>
  <c r="GU29" i="1" s="1"/>
  <c r="GV29" i="1" s="1"/>
  <c r="GQ29" i="1"/>
  <c r="GD29" i="1"/>
  <c r="GD266" i="1"/>
  <c r="GE266" i="1" s="1"/>
  <c r="GR266" i="1"/>
  <c r="GT266" i="1"/>
  <c r="GU266" i="1" s="1"/>
  <c r="GV266" i="1" s="1"/>
  <c r="GJ266" i="1"/>
  <c r="GK266" i="1" s="1"/>
  <c r="GH266" i="1"/>
  <c r="GI266" i="1" s="1"/>
  <c r="GQ266" i="1"/>
  <c r="GL266" i="1"/>
  <c r="GM266" i="1" s="1"/>
  <c r="GF266" i="1"/>
  <c r="GG266" i="1" s="1"/>
  <c r="GH261" i="1"/>
  <c r="GI261" i="1" s="1"/>
  <c r="GD261" i="1"/>
  <c r="GR261" i="1"/>
  <c r="GF261" i="1"/>
  <c r="GG261" i="1" s="1"/>
  <c r="GQ261" i="1"/>
  <c r="GL261" i="1"/>
  <c r="GM261" i="1" s="1"/>
  <c r="GJ261" i="1"/>
  <c r="GK261" i="1" s="1"/>
  <c r="GT261" i="1"/>
  <c r="GU261" i="1" s="1"/>
  <c r="GV261" i="1" s="1"/>
  <c r="GT217" i="1"/>
  <c r="GU217" i="1" s="1"/>
  <c r="GV217" i="1" s="1"/>
  <c r="GL217" i="1"/>
  <c r="GM217" i="1" s="1"/>
  <c r="GD217" i="1"/>
  <c r="GE217" i="1" s="1"/>
  <c r="GJ217" i="1"/>
  <c r="GK217" i="1" s="1"/>
  <c r="GR217" i="1"/>
  <c r="GH217" i="1"/>
  <c r="GI217" i="1" s="1"/>
  <c r="GN217" i="1"/>
  <c r="GO217" i="1" s="1"/>
  <c r="GQ217" i="1"/>
  <c r="GF217" i="1"/>
  <c r="GG217" i="1" s="1"/>
  <c r="GT198" i="1"/>
  <c r="GU198" i="1" s="1"/>
  <c r="GV198" i="1" s="1"/>
  <c r="GQ198" i="1"/>
  <c r="GF224" i="1"/>
  <c r="GG224" i="1" s="1"/>
  <c r="GR224" i="1"/>
  <c r="GQ224" i="1"/>
  <c r="GH224" i="1"/>
  <c r="GI224" i="1" s="1"/>
  <c r="GJ224" i="1"/>
  <c r="GK224" i="1" s="1"/>
  <c r="GT224" i="1"/>
  <c r="GU224" i="1" s="1"/>
  <c r="GV224" i="1" s="1"/>
  <c r="GD224" i="1"/>
  <c r="GL224" i="1"/>
  <c r="GM224" i="1" s="1"/>
  <c r="GD177" i="1"/>
  <c r="GE177" i="1" s="1"/>
  <c r="GR177" i="1"/>
  <c r="GF177" i="1"/>
  <c r="GG177" i="1" s="1"/>
  <c r="GJ177" i="1"/>
  <c r="GT177" i="1"/>
  <c r="GU177" i="1" s="1"/>
  <c r="GV177" i="1" s="1"/>
  <c r="GN136" i="1"/>
  <c r="GO136" i="1" s="1"/>
  <c r="GF136" i="1"/>
  <c r="GG136" i="1" s="1"/>
  <c r="GJ136" i="1"/>
  <c r="GK136" i="1" s="1"/>
  <c r="GL136" i="1"/>
  <c r="GM136" i="1" s="1"/>
  <c r="FQ10" i="1"/>
  <c r="FR10" i="1"/>
  <c r="GL59" i="1"/>
  <c r="GM59" i="1" s="1"/>
  <c r="GQ283" i="1"/>
  <c r="GR222" i="1"/>
  <c r="GT240" i="1"/>
  <c r="GU240" i="1" s="1"/>
  <c r="GV240" i="1" s="1"/>
  <c r="GL22" i="1"/>
  <c r="GJ287" i="1"/>
  <c r="GK287" i="1" s="1"/>
  <c r="GJ169" i="1"/>
  <c r="GK169" i="1" s="1"/>
  <c r="GF222" i="1"/>
  <c r="GG222" i="1" s="1"/>
  <c r="GJ240" i="1"/>
  <c r="GK240" i="1" s="1"/>
  <c r="GT188" i="1"/>
  <c r="GU188" i="1" s="1"/>
  <c r="GV188" i="1" s="1"/>
  <c r="GR188" i="1"/>
  <c r="GR59" i="1"/>
  <c r="GL169" i="1"/>
  <c r="GM169" i="1" s="1"/>
  <c r="FQ222" i="1"/>
  <c r="FS222" i="1" s="1"/>
  <c r="FT222" i="1" s="1"/>
  <c r="FU222" i="1" s="1"/>
  <c r="FV222" i="1" s="1"/>
  <c r="FX222" i="1" s="1"/>
  <c r="GD188" i="1"/>
  <c r="FQ72" i="1"/>
  <c r="FS72" i="1" s="1"/>
  <c r="FT72" i="1" s="1"/>
  <c r="FU72" i="1" s="1"/>
  <c r="FV72" i="1" s="1"/>
  <c r="FX72" i="1" s="1"/>
  <c r="GQ164" i="1"/>
  <c r="GT59" i="1"/>
  <c r="GU59" i="1" s="1"/>
  <c r="GV59" i="1" s="1"/>
  <c r="GL222" i="1"/>
  <c r="GM222" i="1" s="1"/>
  <c r="GD160" i="1"/>
  <c r="GE160" i="1" s="1"/>
  <c r="GF59" i="1"/>
  <c r="GG59" i="1" s="1"/>
  <c r="GT222" i="1"/>
  <c r="GU222" i="1" s="1"/>
  <c r="GV222" i="1" s="1"/>
  <c r="GH240" i="1"/>
  <c r="GI240" i="1" s="1"/>
  <c r="GQ188" i="1"/>
  <c r="GF188" i="1"/>
  <c r="GG188" i="1" s="1"/>
  <c r="GT247" i="1"/>
  <c r="GU247" i="1" s="1"/>
  <c r="GV247" i="1" s="1"/>
  <c r="GD240" i="1"/>
  <c r="GJ59" i="1"/>
  <c r="GK59" i="1" s="1"/>
  <c r="GF125" i="1"/>
  <c r="GG125" i="1" s="1"/>
  <c r="GH286" i="1"/>
  <c r="GI286" i="1" s="1"/>
  <c r="GQ222" i="1"/>
  <c r="GQ240" i="1"/>
  <c r="FQ240" i="1"/>
  <c r="FS240" i="1" s="1"/>
  <c r="FT240" i="1" s="1"/>
  <c r="FU240" i="1" s="1"/>
  <c r="FV240" i="1" s="1"/>
  <c r="FX240" i="1" s="1"/>
  <c r="GR8" i="1"/>
  <c r="GJ188" i="1"/>
  <c r="GK188" i="1" s="1"/>
  <c r="GH222" i="1"/>
  <c r="GI222" i="1" s="1"/>
  <c r="GD59" i="1"/>
  <c r="GJ222" i="1"/>
  <c r="GK222" i="1" s="1"/>
  <c r="GR240" i="1"/>
  <c r="GJ218" i="1"/>
  <c r="GK218" i="1" s="1"/>
  <c r="GJ99" i="1"/>
  <c r="GK99" i="1" s="1"/>
  <c r="GL188" i="1"/>
  <c r="GM188" i="1" s="1"/>
  <c r="GL183" i="1"/>
  <c r="GM183" i="1" s="1"/>
  <c r="GT89" i="1"/>
  <c r="GU89" i="1" s="1"/>
  <c r="GV89" i="1" s="1"/>
  <c r="FQ200" i="1"/>
  <c r="FS200" i="1" s="1"/>
  <c r="FT200" i="1" s="1"/>
  <c r="FU200" i="1" s="1"/>
  <c r="FV200" i="1" s="1"/>
  <c r="FX200" i="1" s="1"/>
  <c r="GR160" i="1"/>
  <c r="GR16" i="1"/>
  <c r="GT125" i="1"/>
  <c r="GU125" i="1" s="1"/>
  <c r="GV125" i="1" s="1"/>
  <c r="GL16" i="1"/>
  <c r="GM16" i="1" s="1"/>
  <c r="GD218" i="1"/>
  <c r="GE218" i="1" s="1"/>
  <c r="GL99" i="1"/>
  <c r="GM99" i="1" s="1"/>
  <c r="GH247" i="1"/>
  <c r="GI247" i="1" s="1"/>
  <c r="GJ247" i="1"/>
  <c r="GK247" i="1" s="1"/>
  <c r="GL247" i="1"/>
  <c r="GM247" i="1" s="1"/>
  <c r="FR282" i="1"/>
  <c r="FQ282" i="1"/>
  <c r="FS282" i="1" s="1"/>
  <c r="FT282" i="1" s="1"/>
  <c r="FU282" i="1" s="1"/>
  <c r="FV282" i="1" s="1"/>
  <c r="FX282" i="1" s="1"/>
  <c r="FQ142" i="1"/>
  <c r="FR142" i="1"/>
  <c r="FQ124" i="1"/>
  <c r="FR124" i="1"/>
  <c r="GH148" i="1"/>
  <c r="GI148" i="1" s="1"/>
  <c r="GJ214" i="1"/>
  <c r="GK214" i="1" s="1"/>
  <c r="GQ271" i="1"/>
  <c r="GH250" i="1"/>
  <c r="GI250" i="1" s="1"/>
  <c r="GL250" i="1"/>
  <c r="GM250" i="1" s="1"/>
  <c r="GT142" i="1"/>
  <c r="GU142" i="1" s="1"/>
  <c r="GV142" i="1" s="1"/>
  <c r="GQ262" i="1"/>
  <c r="GT3" i="1"/>
  <c r="GU3" i="1" s="1"/>
  <c r="GV3" i="1" s="1"/>
  <c r="GR3" i="1"/>
  <c r="GT186" i="1"/>
  <c r="GU186" i="1" s="1"/>
  <c r="GV186" i="1" s="1"/>
  <c r="GL202" i="1"/>
  <c r="GM202" i="1" s="1"/>
  <c r="GJ148" i="1"/>
  <c r="GK148" i="1" s="1"/>
  <c r="GD186" i="1"/>
  <c r="FR165" i="1"/>
  <c r="FS165" i="1" s="1"/>
  <c r="FT165" i="1" s="1"/>
  <c r="FU165" i="1" s="1"/>
  <c r="FV165" i="1" s="1"/>
  <c r="FX165" i="1" s="1"/>
  <c r="GF78" i="1"/>
  <c r="GG78" i="1" s="1"/>
  <c r="GF201" i="1"/>
  <c r="GG201" i="1" s="1"/>
  <c r="GR227" i="1"/>
  <c r="GQ277" i="1"/>
  <c r="GF236" i="1"/>
  <c r="GG236" i="1" s="1"/>
  <c r="GT148" i="1"/>
  <c r="GU148" i="1" s="1"/>
  <c r="GV148" i="1" s="1"/>
  <c r="GQ148" i="1"/>
  <c r="GR250" i="1"/>
  <c r="GL214" i="1"/>
  <c r="GM214" i="1" s="1"/>
  <c r="GL271" i="1"/>
  <c r="GM271" i="1" s="1"/>
  <c r="GD151" i="1"/>
  <c r="GE151" i="1" s="1"/>
  <c r="GL148" i="1"/>
  <c r="GM148" i="1" s="1"/>
  <c r="GD271" i="1"/>
  <c r="GN250" i="1"/>
  <c r="GO250" i="1" s="1"/>
  <c r="GF87" i="1"/>
  <c r="GG87" i="1" s="1"/>
  <c r="GH202" i="1"/>
  <c r="GI202" i="1" s="1"/>
  <c r="GD148" i="1"/>
  <c r="GE148" i="1" s="1"/>
  <c r="GF271" i="1"/>
  <c r="GG271" i="1" s="1"/>
  <c r="GJ250" i="1"/>
  <c r="GK250" i="1" s="1"/>
  <c r="GF30" i="1"/>
  <c r="GG30" i="1" s="1"/>
  <c r="GR87" i="1"/>
  <c r="GL201" i="1"/>
  <c r="GM201" i="1" s="1"/>
  <c r="GL227" i="1"/>
  <c r="GM227" i="1" s="1"/>
  <c r="FQ236" i="1"/>
  <c r="FS236" i="1" s="1"/>
  <c r="FT236" i="1" s="1"/>
  <c r="FU236" i="1" s="1"/>
  <c r="FV236" i="1" s="1"/>
  <c r="FX236" i="1" s="1"/>
  <c r="GF202" i="1"/>
  <c r="GG202" i="1" s="1"/>
  <c r="GR277" i="1"/>
  <c r="FR218" i="1"/>
  <c r="FS218" i="1" s="1"/>
  <c r="FT218" i="1" s="1"/>
  <c r="FU218" i="1" s="1"/>
  <c r="FV218" i="1" s="1"/>
  <c r="FX218" i="1" s="1"/>
  <c r="GJ202" i="1"/>
  <c r="GK202" i="1" s="1"/>
  <c r="FR138" i="1"/>
  <c r="FS138" i="1" s="1"/>
  <c r="FT138" i="1" s="1"/>
  <c r="FU138" i="1" s="1"/>
  <c r="FV138" i="1" s="1"/>
  <c r="FX138" i="1" s="1"/>
  <c r="GF148" i="1"/>
  <c r="GG148" i="1" s="1"/>
  <c r="GJ130" i="1"/>
  <c r="FR182" i="1"/>
  <c r="GQ250" i="1"/>
  <c r="GH3" i="1"/>
  <c r="GR271" i="1"/>
  <c r="GT250" i="1"/>
  <c r="GU250" i="1" s="1"/>
  <c r="GV250" i="1" s="1"/>
  <c r="GR190" i="1"/>
  <c r="GF24" i="1"/>
  <c r="GG24" i="1" s="1"/>
  <c r="GF3" i="1"/>
  <c r="GG3" i="1" s="1"/>
  <c r="GL3" i="1"/>
  <c r="GM3" i="1" s="1"/>
  <c r="GQ3" i="1"/>
  <c r="GJ277" i="1"/>
  <c r="GK277" i="1" s="1"/>
  <c r="FQ85" i="1"/>
  <c r="FS85" i="1" s="1"/>
  <c r="FT85" i="1" s="1"/>
  <c r="FU85" i="1" s="1"/>
  <c r="FV85" i="1" s="1"/>
  <c r="FX85" i="1" s="1"/>
  <c r="GD250" i="1"/>
  <c r="GE250" i="1" s="1"/>
  <c r="GT271" i="1"/>
  <c r="GU271" i="1" s="1"/>
  <c r="GV271" i="1" s="1"/>
  <c r="GR30" i="1"/>
  <c r="GT202" i="1"/>
  <c r="GU202" i="1" s="1"/>
  <c r="GV202" i="1" s="1"/>
  <c r="GT190" i="1"/>
  <c r="GU190" i="1" s="1"/>
  <c r="GV190" i="1" s="1"/>
  <c r="GR24" i="1"/>
  <c r="GJ3" i="1"/>
  <c r="GK3" i="1" s="1"/>
  <c r="GF227" i="1"/>
  <c r="GG227" i="1" s="1"/>
  <c r="GT26" i="1"/>
  <c r="GU26" i="1" s="1"/>
  <c r="GV26" i="1" s="1"/>
  <c r="GQ58" i="1"/>
  <c r="GJ285" i="1"/>
  <c r="GK285" i="1" s="1"/>
  <c r="GF16" i="1"/>
  <c r="GG16" i="1" s="1"/>
  <c r="GJ167" i="1"/>
  <c r="GK167" i="1" s="1"/>
  <c r="GQ190" i="1"/>
  <c r="GH142" i="1"/>
  <c r="GI142" i="1" s="1"/>
  <c r="GD125" i="1"/>
  <c r="GE125" i="1" s="1"/>
  <c r="GT283" i="1"/>
  <c r="GU283" i="1" s="1"/>
  <c r="GV283" i="1" s="1"/>
  <c r="GF169" i="1"/>
  <c r="GG169" i="1" s="1"/>
  <c r="GF262" i="1"/>
  <c r="GG262" i="1" s="1"/>
  <c r="GH218" i="1"/>
  <c r="GI218" i="1" s="1"/>
  <c r="GH99" i="1"/>
  <c r="GI99" i="1" s="1"/>
  <c r="GL301" i="1"/>
  <c r="GM301" i="1" s="1"/>
  <c r="GR36" i="1"/>
  <c r="GJ236" i="1"/>
  <c r="GK236" i="1" s="1"/>
  <c r="GT40" i="1"/>
  <c r="GU40" i="1" s="1"/>
  <c r="GV40" i="1" s="1"/>
  <c r="GJ171" i="1"/>
  <c r="GK171" i="1" s="1"/>
  <c r="GL164" i="1"/>
  <c r="GM164" i="1" s="1"/>
  <c r="GJ183" i="1"/>
  <c r="GK183" i="1" s="1"/>
  <c r="GT183" i="1"/>
  <c r="GU183" i="1" s="1"/>
  <c r="GV183" i="1" s="1"/>
  <c r="GF287" i="1"/>
  <c r="GG287" i="1" s="1"/>
  <c r="GL97" i="1"/>
  <c r="GM97" i="1" s="1"/>
  <c r="GL190" i="1"/>
  <c r="GM190" i="1" s="1"/>
  <c r="GD58" i="1"/>
  <c r="GE58" i="1" s="1"/>
  <c r="GH167" i="1"/>
  <c r="GI167" i="1" s="1"/>
  <c r="GR262" i="1"/>
  <c r="GR218" i="1"/>
  <c r="GQ99" i="1"/>
  <c r="GJ58" i="1"/>
  <c r="GK58" i="1" s="1"/>
  <c r="GH183" i="1"/>
  <c r="GI183" i="1" s="1"/>
  <c r="GL285" i="1"/>
  <c r="GM285" i="1" s="1"/>
  <c r="GF277" i="1"/>
  <c r="GG277" i="1" s="1"/>
  <c r="GH36" i="1"/>
  <c r="GI36" i="1" s="1"/>
  <c r="GL36" i="1"/>
  <c r="GM36" i="1" s="1"/>
  <c r="GJ164" i="1"/>
  <c r="GK164" i="1" s="1"/>
  <c r="GR164" i="1"/>
  <c r="GF194" i="1"/>
  <c r="GG194" i="1" s="1"/>
  <c r="GD78" i="1"/>
  <c r="GE78" i="1" s="1"/>
  <c r="GL142" i="1"/>
  <c r="GM142" i="1" s="1"/>
  <c r="GL236" i="1"/>
  <c r="GM236" i="1" s="1"/>
  <c r="GF142" i="1"/>
  <c r="GG142" i="1" s="1"/>
  <c r="GJ125" i="1"/>
  <c r="GK125" i="1" s="1"/>
  <c r="GF283" i="1"/>
  <c r="GG283" i="1" s="1"/>
  <c r="GJ16" i="1"/>
  <c r="GK16" i="1" s="1"/>
  <c r="GL167" i="1"/>
  <c r="GM167" i="1" s="1"/>
  <c r="GH190" i="1"/>
  <c r="GI190" i="1" s="1"/>
  <c r="GJ142" i="1"/>
  <c r="GK142" i="1" s="1"/>
  <c r="GH125" i="1"/>
  <c r="GI125" i="1" s="1"/>
  <c r="GR283" i="1"/>
  <c r="GH169" i="1"/>
  <c r="GD262" i="1"/>
  <c r="GE262" i="1" s="1"/>
  <c r="GF218" i="1"/>
  <c r="GG218" i="1" s="1"/>
  <c r="GD99" i="1"/>
  <c r="GE99" i="1" s="1"/>
  <c r="GH58" i="1"/>
  <c r="GI58" i="1" s="1"/>
  <c r="GF183" i="1"/>
  <c r="GG183" i="1" s="1"/>
  <c r="GR236" i="1"/>
  <c r="GF36" i="1"/>
  <c r="GG36" i="1" s="1"/>
  <c r="GD36" i="1"/>
  <c r="GE36" i="1" s="1"/>
  <c r="GL241" i="1"/>
  <c r="GM241" i="1" s="1"/>
  <c r="GT285" i="1"/>
  <c r="GU285" i="1" s="1"/>
  <c r="GV285" i="1" s="1"/>
  <c r="GH239" i="1"/>
  <c r="GI239" i="1" s="1"/>
  <c r="GF171" i="1"/>
  <c r="GG171" i="1" s="1"/>
  <c r="GR78" i="1"/>
  <c r="GD167" i="1"/>
  <c r="GE167" i="1" s="1"/>
  <c r="GL262" i="1"/>
  <c r="GM262" i="1" s="1"/>
  <c r="GQ285" i="1"/>
  <c r="GQ97" i="1"/>
  <c r="GQ16" i="1"/>
  <c r="GF190" i="1"/>
  <c r="GG190" i="1" s="1"/>
  <c r="GD142" i="1"/>
  <c r="GE142" i="1" s="1"/>
  <c r="GT169" i="1"/>
  <c r="GU169" i="1" s="1"/>
  <c r="GV169" i="1" s="1"/>
  <c r="GD16" i="1"/>
  <c r="GE16" i="1" s="1"/>
  <c r="GF167" i="1"/>
  <c r="GG167" i="1" s="1"/>
  <c r="GJ190" i="1"/>
  <c r="GK190" i="1" s="1"/>
  <c r="GN142" i="1"/>
  <c r="GO142" i="1" s="1"/>
  <c r="GL125" i="1"/>
  <c r="GM125" i="1" s="1"/>
  <c r="GL283" i="1"/>
  <c r="GM283" i="1" s="1"/>
  <c r="GR169" i="1"/>
  <c r="GH262" i="1"/>
  <c r="GI262" i="1" s="1"/>
  <c r="GL218" i="1"/>
  <c r="GM218" i="1" s="1"/>
  <c r="GF99" i="1"/>
  <c r="GG99" i="1" s="1"/>
  <c r="GN99" i="1"/>
  <c r="GO99" i="1" s="1"/>
  <c r="GL58" i="1"/>
  <c r="GM58" i="1" s="1"/>
  <c r="GF58" i="1"/>
  <c r="GG58" i="1" s="1"/>
  <c r="GQ183" i="1"/>
  <c r="GH277" i="1"/>
  <c r="GI277" i="1" s="1"/>
  <c r="GT277" i="1"/>
  <c r="GU277" i="1" s="1"/>
  <c r="GV277" i="1" s="1"/>
  <c r="GR285" i="1"/>
  <c r="GF40" i="1"/>
  <c r="GG40" i="1" s="1"/>
  <c r="GN36" i="1"/>
  <c r="GO36" i="1" s="1"/>
  <c r="GF97" i="1"/>
  <c r="GG97" i="1" s="1"/>
  <c r="GD97" i="1"/>
  <c r="GD164" i="1"/>
  <c r="GH97" i="1"/>
  <c r="GI97" i="1" s="1"/>
  <c r="GH78" i="1"/>
  <c r="GI78" i="1" s="1"/>
  <c r="GQ78" i="1"/>
  <c r="GH16" i="1"/>
  <c r="GI16" i="1" s="1"/>
  <c r="GR142" i="1"/>
  <c r="GJ283" i="1"/>
  <c r="GQ169" i="1"/>
  <c r="GJ262" i="1"/>
  <c r="GK262" i="1" s="1"/>
  <c r="GT218" i="1"/>
  <c r="GU218" i="1" s="1"/>
  <c r="GV218" i="1" s="1"/>
  <c r="GT102" i="1"/>
  <c r="GU102" i="1" s="1"/>
  <c r="GV102" i="1" s="1"/>
  <c r="GR99" i="1"/>
  <c r="GN183" i="1"/>
  <c r="GO183" i="1" s="1"/>
  <c r="GD277" i="1"/>
  <c r="GR171" i="1"/>
  <c r="GQ171" i="1"/>
  <c r="GT171" i="1"/>
  <c r="GU171" i="1" s="1"/>
  <c r="GV171" i="1" s="1"/>
  <c r="GN236" i="1"/>
  <c r="GO236" i="1" s="1"/>
  <c r="GT164" i="1"/>
  <c r="GU164" i="1" s="1"/>
  <c r="GV164" i="1" s="1"/>
  <c r="GR97" i="1"/>
  <c r="GT78" i="1"/>
  <c r="GU78" i="1" s="1"/>
  <c r="GV78" i="1" s="1"/>
  <c r="GT236" i="1"/>
  <c r="GU236" i="1" s="1"/>
  <c r="GV236" i="1" s="1"/>
  <c r="GF285" i="1"/>
  <c r="GG285" i="1" s="1"/>
  <c r="GT167" i="1"/>
  <c r="GU167" i="1" s="1"/>
  <c r="GV167" i="1" s="1"/>
  <c r="GD190" i="1"/>
  <c r="GE190" i="1" s="1"/>
  <c r="GR125" i="1"/>
  <c r="GR58" i="1"/>
  <c r="GQ36" i="1"/>
  <c r="GD236" i="1"/>
  <c r="GE236" i="1" s="1"/>
  <c r="GD285" i="1"/>
  <c r="GE285" i="1" s="1"/>
  <c r="GD171" i="1"/>
  <c r="GE171" i="1" s="1"/>
  <c r="GQ236" i="1"/>
  <c r="GF164" i="1"/>
  <c r="GG164" i="1" s="1"/>
  <c r="GT97" i="1"/>
  <c r="GU97" i="1" s="1"/>
  <c r="GV97" i="1" s="1"/>
  <c r="GR183" i="1"/>
  <c r="GL78" i="1"/>
  <c r="GM78" i="1" s="1"/>
  <c r="GR18" i="1"/>
  <c r="FQ169" i="1"/>
  <c r="FR169" i="1"/>
  <c r="FR107" i="1"/>
  <c r="FQ107" i="1"/>
  <c r="FS107" i="1" s="1"/>
  <c r="FT107" i="1" s="1"/>
  <c r="FU107" i="1" s="1"/>
  <c r="FV107" i="1" s="1"/>
  <c r="FX107" i="1" s="1"/>
  <c r="FQ225" i="1"/>
  <c r="FR225" i="1"/>
  <c r="FQ108" i="1"/>
  <c r="FR108" i="1"/>
  <c r="FQ14" i="1"/>
  <c r="FR14" i="1"/>
  <c r="FQ31" i="1"/>
  <c r="FR31" i="1"/>
  <c r="FS31" i="1" s="1"/>
  <c r="FT31" i="1" s="1"/>
  <c r="FU31" i="1" s="1"/>
  <c r="FV31" i="1" s="1"/>
  <c r="FX31" i="1" s="1"/>
  <c r="FR71" i="1"/>
  <c r="FQ71" i="1"/>
  <c r="FQ91" i="1"/>
  <c r="FR91" i="1"/>
  <c r="FQ41" i="1"/>
  <c r="FR41" i="1"/>
  <c r="FQ202" i="1"/>
  <c r="FR202" i="1"/>
  <c r="FS202" i="1" s="1"/>
  <c r="FT202" i="1" s="1"/>
  <c r="FU202" i="1" s="1"/>
  <c r="FV202" i="1" s="1"/>
  <c r="FX202" i="1" s="1"/>
  <c r="FR249" i="1"/>
  <c r="FQ249" i="1"/>
  <c r="FQ162" i="1"/>
  <c r="FR162" i="1"/>
  <c r="FR241" i="1"/>
  <c r="FQ241" i="1"/>
  <c r="FR97" i="1"/>
  <c r="FQ97" i="1"/>
  <c r="FS97" i="1" s="1"/>
  <c r="FT97" i="1" s="1"/>
  <c r="FU97" i="1" s="1"/>
  <c r="FV97" i="1" s="1"/>
  <c r="FX97" i="1" s="1"/>
  <c r="GF56" i="1"/>
  <c r="GG56" i="1" s="1"/>
  <c r="GR111" i="1"/>
  <c r="GH197" i="1"/>
  <c r="GI197" i="1" s="1"/>
  <c r="GR286" i="1"/>
  <c r="GH120" i="1"/>
  <c r="GI120" i="1" s="1"/>
  <c r="GR225" i="1"/>
  <c r="GR228" i="1"/>
  <c r="GQ79" i="1"/>
  <c r="GD111" i="1"/>
  <c r="GE111" i="1" s="1"/>
  <c r="GT281" i="1"/>
  <c r="GU281" i="1" s="1"/>
  <c r="GV281" i="1" s="1"/>
  <c r="GH56" i="1"/>
  <c r="GI56" i="1" s="1"/>
  <c r="GT151" i="1"/>
  <c r="GU151" i="1" s="1"/>
  <c r="GV151" i="1" s="1"/>
  <c r="GF286" i="1"/>
  <c r="GG286" i="1" s="1"/>
  <c r="GT87" i="1"/>
  <c r="GU87" i="1" s="1"/>
  <c r="GV87" i="1" s="1"/>
  <c r="GD120" i="1"/>
  <c r="GT54" i="1"/>
  <c r="GU54" i="1" s="1"/>
  <c r="GV54" i="1" s="1"/>
  <c r="GT228" i="1"/>
  <c r="GU228" i="1" s="1"/>
  <c r="GV228" i="1" s="1"/>
  <c r="GR26" i="1"/>
  <c r="GT155" i="1"/>
  <c r="GU155" i="1" s="1"/>
  <c r="GV155" i="1" s="1"/>
  <c r="GD205" i="1"/>
  <c r="GE205" i="1" s="1"/>
  <c r="GD5" i="1"/>
  <c r="GE5" i="1" s="1"/>
  <c r="GH5" i="1"/>
  <c r="GI5" i="1" s="1"/>
  <c r="FQ188" i="1"/>
  <c r="FS188" i="1" s="1"/>
  <c r="FT188" i="1" s="1"/>
  <c r="FU188" i="1" s="1"/>
  <c r="FV188" i="1" s="1"/>
  <c r="FX188" i="1" s="1"/>
  <c r="FQ46" i="1"/>
  <c r="FS46" i="1" s="1"/>
  <c r="FT46" i="1" s="1"/>
  <c r="FU46" i="1" s="1"/>
  <c r="FV46" i="1" s="1"/>
  <c r="FX46" i="1" s="1"/>
  <c r="FQ153" i="1"/>
  <c r="FS153" i="1" s="1"/>
  <c r="FT153" i="1" s="1"/>
  <c r="FU153" i="1" s="1"/>
  <c r="FV153" i="1" s="1"/>
  <c r="FX153" i="1" s="1"/>
  <c r="GT111" i="1"/>
  <c r="GU111" i="1" s="1"/>
  <c r="GV111" i="1" s="1"/>
  <c r="GJ111" i="1"/>
  <c r="GK111" i="1" s="1"/>
  <c r="GH221" i="1"/>
  <c r="GI221" i="1" s="1"/>
  <c r="GH214" i="1"/>
  <c r="GI214" i="1" s="1"/>
  <c r="GL197" i="1"/>
  <c r="GM197" i="1" s="1"/>
  <c r="GT166" i="1"/>
  <c r="GU166" i="1" s="1"/>
  <c r="GV166" i="1" s="1"/>
  <c r="GD296" i="1"/>
  <c r="FR48" i="1"/>
  <c r="FS48" i="1" s="1"/>
  <c r="FT48" i="1" s="1"/>
  <c r="FU48" i="1" s="1"/>
  <c r="FV48" i="1" s="1"/>
  <c r="FX48" i="1" s="1"/>
  <c r="GJ30" i="1"/>
  <c r="GK30" i="1" s="1"/>
  <c r="GT24" i="1"/>
  <c r="GU24" i="1" s="1"/>
  <c r="GV24" i="1" s="1"/>
  <c r="GR221" i="1"/>
  <c r="GQ130" i="1"/>
  <c r="GH225" i="1"/>
  <c r="GI225" i="1" s="1"/>
  <c r="GQ201" i="1"/>
  <c r="GQ8" i="1"/>
  <c r="GQ214" i="1"/>
  <c r="GR281" i="1"/>
  <c r="GR197" i="1"/>
  <c r="GD56" i="1"/>
  <c r="GE56" i="1" s="1"/>
  <c r="GL151" i="1"/>
  <c r="GM151" i="1" s="1"/>
  <c r="GR166" i="1"/>
  <c r="GR296" i="1"/>
  <c r="GT286" i="1"/>
  <c r="GU286" i="1" s="1"/>
  <c r="GV286" i="1" s="1"/>
  <c r="GT30" i="1"/>
  <c r="GU30" i="1" s="1"/>
  <c r="GV30" i="1" s="1"/>
  <c r="GJ24" i="1"/>
  <c r="GK24" i="1" s="1"/>
  <c r="GQ221" i="1"/>
  <c r="GJ87" i="1"/>
  <c r="GK87" i="1" s="1"/>
  <c r="GT120" i="1"/>
  <c r="GU120" i="1" s="1"/>
  <c r="GV120" i="1" s="1"/>
  <c r="GF130" i="1"/>
  <c r="GG130" i="1" s="1"/>
  <c r="GF225" i="1"/>
  <c r="GG225" i="1" s="1"/>
  <c r="GD201" i="1"/>
  <c r="GE201" i="1" s="1"/>
  <c r="GQ54" i="1"/>
  <c r="GQ26" i="1"/>
  <c r="GH228" i="1"/>
  <c r="GI228" i="1" s="1"/>
  <c r="GQ155" i="1"/>
  <c r="GF5" i="1"/>
  <c r="GG5" i="1" s="1"/>
  <c r="FQ276" i="1"/>
  <c r="FS276" i="1" s="1"/>
  <c r="FT276" i="1" s="1"/>
  <c r="FU276" i="1" s="1"/>
  <c r="FV276" i="1" s="1"/>
  <c r="FX276" i="1" s="1"/>
  <c r="GH8" i="1"/>
  <c r="GI8" i="1" s="1"/>
  <c r="GQ163" i="1"/>
  <c r="GH163" i="1"/>
  <c r="GL79" i="1"/>
  <c r="FQ258" i="1"/>
  <c r="FS258" i="1" s="1"/>
  <c r="FT258" i="1" s="1"/>
  <c r="FU258" i="1" s="1"/>
  <c r="FV258" i="1" s="1"/>
  <c r="FX258" i="1" s="1"/>
  <c r="FQ237" i="1"/>
  <c r="FS237" i="1" s="1"/>
  <c r="FT237" i="1" s="1"/>
  <c r="FU237" i="1" s="1"/>
  <c r="FV237" i="1" s="1"/>
  <c r="FX237" i="1" s="1"/>
  <c r="GD166" i="1"/>
  <c r="GE166" i="1" s="1"/>
  <c r="GH296" i="1"/>
  <c r="GI296" i="1" s="1"/>
  <c r="GL111" i="1"/>
  <c r="GM111" i="1" s="1"/>
  <c r="GJ197" i="1"/>
  <c r="GK197" i="1" s="1"/>
  <c r="FR82" i="1"/>
  <c r="FS82" i="1" s="1"/>
  <c r="FT82" i="1" s="1"/>
  <c r="FU82" i="1" s="1"/>
  <c r="FV82" i="1" s="1"/>
  <c r="FX82" i="1" s="1"/>
  <c r="GH166" i="1"/>
  <c r="GI166" i="1" s="1"/>
  <c r="GQ296" i="1"/>
  <c r="GL24" i="1"/>
  <c r="GM24" i="1" s="1"/>
  <c r="GQ120" i="1"/>
  <c r="GN225" i="1"/>
  <c r="GO225" i="1" s="1"/>
  <c r="GD26" i="1"/>
  <c r="GE26" i="1" s="1"/>
  <c r="GD227" i="1"/>
  <c r="GE227" i="1" s="1"/>
  <c r="GF8" i="1"/>
  <c r="GG8" i="1" s="1"/>
  <c r="GH26" i="1"/>
  <c r="GI26" i="1" s="1"/>
  <c r="GF214" i="1"/>
  <c r="GG214" i="1" s="1"/>
  <c r="GJ281" i="1"/>
  <c r="GK281" i="1" s="1"/>
  <c r="GF197" i="1"/>
  <c r="GG197" i="1" s="1"/>
  <c r="GL56" i="1"/>
  <c r="GM56" i="1" s="1"/>
  <c r="GJ151" i="1"/>
  <c r="GK151" i="1" s="1"/>
  <c r="GJ166" i="1"/>
  <c r="GK166" i="1" s="1"/>
  <c r="GL296" i="1"/>
  <c r="GM296" i="1" s="1"/>
  <c r="GJ286" i="1"/>
  <c r="GK286" i="1" s="1"/>
  <c r="FR271" i="1"/>
  <c r="FS271" i="1" s="1"/>
  <c r="FT271" i="1" s="1"/>
  <c r="FU271" i="1" s="1"/>
  <c r="FV271" i="1" s="1"/>
  <c r="FX271" i="1" s="1"/>
  <c r="GQ30" i="1"/>
  <c r="GQ24" i="1"/>
  <c r="GL221" i="1"/>
  <c r="GM221" i="1" s="1"/>
  <c r="GL87" i="1"/>
  <c r="GM87" i="1" s="1"/>
  <c r="GL120" i="1"/>
  <c r="GM120" i="1" s="1"/>
  <c r="GL130" i="1"/>
  <c r="GM130" i="1" s="1"/>
  <c r="GT225" i="1"/>
  <c r="GU225" i="1" s="1"/>
  <c r="GV225" i="1" s="1"/>
  <c r="GQ225" i="1"/>
  <c r="GR201" i="1"/>
  <c r="GQ227" i="1"/>
  <c r="FQ303" i="1"/>
  <c r="FS303" i="1" s="1"/>
  <c r="FT303" i="1" s="1"/>
  <c r="FU303" i="1" s="1"/>
  <c r="FV303" i="1" s="1"/>
  <c r="FX303" i="1" s="1"/>
  <c r="GL26" i="1"/>
  <c r="GT8" i="1"/>
  <c r="GU8" i="1" s="1"/>
  <c r="GV8" i="1" s="1"/>
  <c r="FR34" i="1"/>
  <c r="FS34" i="1" s="1"/>
  <c r="FT34" i="1" s="1"/>
  <c r="FU34" i="1" s="1"/>
  <c r="FV34" i="1" s="1"/>
  <c r="FX34" i="1" s="1"/>
  <c r="GL155" i="1"/>
  <c r="GM155" i="1" s="1"/>
  <c r="GD287" i="1"/>
  <c r="GE287" i="1" s="1"/>
  <c r="FQ174" i="1"/>
  <c r="FS174" i="1" s="1"/>
  <c r="FT174" i="1" s="1"/>
  <c r="FU174" i="1" s="1"/>
  <c r="FV174" i="1" s="1"/>
  <c r="FX174" i="1" s="1"/>
  <c r="GH111" i="1"/>
  <c r="GI111" i="1" s="1"/>
  <c r="FR125" i="1"/>
  <c r="FS125" i="1" s="1"/>
  <c r="FT125" i="1" s="1"/>
  <c r="FU125" i="1" s="1"/>
  <c r="FV125" i="1" s="1"/>
  <c r="FX125" i="1" s="1"/>
  <c r="GQ111" i="1"/>
  <c r="GH287" i="1"/>
  <c r="GI287" i="1" s="1"/>
  <c r="FQ193" i="1"/>
  <c r="FS193" i="1" s="1"/>
  <c r="FT193" i="1" s="1"/>
  <c r="FU193" i="1" s="1"/>
  <c r="FV193" i="1" s="1"/>
  <c r="FX193" i="1" s="1"/>
  <c r="FQ92" i="1"/>
  <c r="FS92" i="1" s="1"/>
  <c r="FT92" i="1" s="1"/>
  <c r="FU92" i="1" s="1"/>
  <c r="FV92" i="1" s="1"/>
  <c r="FX92" i="1" s="1"/>
  <c r="FQ181" i="1"/>
  <c r="FS181" i="1" s="1"/>
  <c r="FT181" i="1" s="1"/>
  <c r="FU181" i="1" s="1"/>
  <c r="FV181" i="1" s="1"/>
  <c r="FX181" i="1" s="1"/>
  <c r="GL287" i="1"/>
  <c r="GM287" i="1" s="1"/>
  <c r="GF281" i="1"/>
  <c r="GG281" i="1" s="1"/>
  <c r="GR56" i="1"/>
  <c r="GD214" i="1"/>
  <c r="GE214" i="1" s="1"/>
  <c r="GQ56" i="1"/>
  <c r="GF151" i="1"/>
  <c r="GG151" i="1" s="1"/>
  <c r="GL286" i="1"/>
  <c r="GM286" i="1" s="1"/>
  <c r="GD30" i="1"/>
  <c r="GE30" i="1" s="1"/>
  <c r="GF221" i="1"/>
  <c r="GG221" i="1" s="1"/>
  <c r="GQ87" i="1"/>
  <c r="GD130" i="1"/>
  <c r="GE130" i="1" s="1"/>
  <c r="GH201" i="1"/>
  <c r="GI201" i="1" s="1"/>
  <c r="GJ54" i="1"/>
  <c r="GK54" i="1" s="1"/>
  <c r="GF228" i="1"/>
  <c r="GG228" i="1" s="1"/>
  <c r="GR214" i="1"/>
  <c r="FQ173" i="1"/>
  <c r="FS173" i="1" s="1"/>
  <c r="FT173" i="1" s="1"/>
  <c r="FU173" i="1" s="1"/>
  <c r="FV173" i="1" s="1"/>
  <c r="FX173" i="1" s="1"/>
  <c r="GD281" i="1"/>
  <c r="GE281" i="1" s="1"/>
  <c r="GT197" i="1"/>
  <c r="GU197" i="1" s="1"/>
  <c r="GV197" i="1" s="1"/>
  <c r="GT56" i="1"/>
  <c r="GU56" i="1" s="1"/>
  <c r="GV56" i="1" s="1"/>
  <c r="GR151" i="1"/>
  <c r="GQ166" i="1"/>
  <c r="GF296" i="1"/>
  <c r="GG296" i="1" s="1"/>
  <c r="GD286" i="1"/>
  <c r="GE286" i="1" s="1"/>
  <c r="GH30" i="1"/>
  <c r="GI30" i="1" s="1"/>
  <c r="GH24" i="1"/>
  <c r="GI24" i="1" s="1"/>
  <c r="GT221" i="1"/>
  <c r="GU221" i="1" s="1"/>
  <c r="GV221" i="1" s="1"/>
  <c r="GH87" i="1"/>
  <c r="GI87" i="1" s="1"/>
  <c r="GF120" i="1"/>
  <c r="GG120" i="1" s="1"/>
  <c r="FR117" i="1"/>
  <c r="FS117" i="1" s="1"/>
  <c r="FT117" i="1" s="1"/>
  <c r="FU117" i="1" s="1"/>
  <c r="FV117" i="1" s="1"/>
  <c r="FX117" i="1" s="1"/>
  <c r="FQ37" i="1"/>
  <c r="FS37" i="1" s="1"/>
  <c r="FT37" i="1" s="1"/>
  <c r="FU37" i="1" s="1"/>
  <c r="FV37" i="1" s="1"/>
  <c r="FX37" i="1" s="1"/>
  <c r="GR130" i="1"/>
  <c r="GL225" i="1"/>
  <c r="GM225" i="1" s="1"/>
  <c r="GT201" i="1"/>
  <c r="GU201" i="1" s="1"/>
  <c r="GV201" i="1" s="1"/>
  <c r="GN201" i="1"/>
  <c r="GO201" i="1" s="1"/>
  <c r="GT227" i="1"/>
  <c r="GU227" i="1" s="1"/>
  <c r="GV227" i="1" s="1"/>
  <c r="GF54" i="1"/>
  <c r="GG54" i="1" s="1"/>
  <c r="GF79" i="1"/>
  <c r="GG79" i="1" s="1"/>
  <c r="GD228" i="1"/>
  <c r="GE228" i="1" s="1"/>
  <c r="GH227" i="1"/>
  <c r="GI227" i="1" s="1"/>
  <c r="GH155" i="1"/>
  <c r="GI155" i="1" s="1"/>
  <c r="FQ213" i="1"/>
  <c r="FS213" i="1" s="1"/>
  <c r="FT213" i="1" s="1"/>
  <c r="FU213" i="1" s="1"/>
  <c r="FV213" i="1" s="1"/>
  <c r="FX213" i="1" s="1"/>
  <c r="GD8" i="1"/>
  <c r="GJ79" i="1"/>
  <c r="GK79" i="1" s="1"/>
  <c r="GT79" i="1"/>
  <c r="GU79" i="1" s="1"/>
  <c r="GV79" i="1" s="1"/>
  <c r="FR224" i="1"/>
  <c r="FS224" i="1" s="1"/>
  <c r="FT224" i="1" s="1"/>
  <c r="FU224" i="1" s="1"/>
  <c r="FV224" i="1" s="1"/>
  <c r="FX224" i="1" s="1"/>
  <c r="GQ287" i="1"/>
  <c r="GL281" i="1"/>
  <c r="GM281" i="1" s="1"/>
  <c r="GJ155" i="1"/>
  <c r="GK155" i="1" s="1"/>
  <c r="GL54" i="1"/>
  <c r="GM54" i="1" s="1"/>
  <c r="GL228" i="1"/>
  <c r="GM228" i="1" s="1"/>
  <c r="GR54" i="1"/>
  <c r="GF26" i="1"/>
  <c r="GG26" i="1" s="1"/>
  <c r="GQ228" i="1"/>
  <c r="GJ8" i="1"/>
  <c r="GK8" i="1" s="1"/>
  <c r="GD155" i="1"/>
  <c r="GE155" i="1" s="1"/>
  <c r="GR5" i="1"/>
  <c r="GR287" i="1"/>
  <c r="GH198" i="1"/>
  <c r="GI198" i="1" s="1"/>
  <c r="GR34" i="1"/>
  <c r="GF32" i="1"/>
  <c r="GG32" i="1" s="1"/>
  <c r="GJ89" i="1"/>
  <c r="GK89" i="1" s="1"/>
  <c r="GR247" i="1"/>
  <c r="GF256" i="1"/>
  <c r="GG256" i="1" s="1"/>
  <c r="GR22" i="1"/>
  <c r="GL239" i="1"/>
  <c r="GM239" i="1" s="1"/>
  <c r="GH18" i="1"/>
  <c r="GI18" i="1" s="1"/>
  <c r="GQ295" i="1"/>
  <c r="GJ160" i="1"/>
  <c r="GK160" i="1" s="1"/>
  <c r="GD136" i="1"/>
  <c r="GE136" i="1" s="1"/>
  <c r="GF295" i="1"/>
  <c r="GG295" i="1" s="1"/>
  <c r="GF160" i="1"/>
  <c r="GG160" i="1" s="1"/>
  <c r="GR136" i="1"/>
  <c r="GT34" i="1"/>
  <c r="GU34" i="1" s="1"/>
  <c r="GV34" i="1" s="1"/>
  <c r="GR32" i="1"/>
  <c r="GL198" i="1"/>
  <c r="GM198" i="1" s="1"/>
  <c r="GT256" i="1"/>
  <c r="GU256" i="1" s="1"/>
  <c r="GV256" i="1" s="1"/>
  <c r="GL256" i="1"/>
  <c r="GM256" i="1" s="1"/>
  <c r="GQ136" i="1"/>
  <c r="GJ34" i="1"/>
  <c r="GK34" i="1" s="1"/>
  <c r="GT32" i="1"/>
  <c r="GU32" i="1" s="1"/>
  <c r="GV32" i="1" s="1"/>
  <c r="GD198" i="1"/>
  <c r="GE198" i="1" s="1"/>
  <c r="GF247" i="1"/>
  <c r="GG247" i="1" s="1"/>
  <c r="GR89" i="1"/>
  <c r="GH22" i="1"/>
  <c r="GI22" i="1" s="1"/>
  <c r="GF239" i="1"/>
  <c r="GG239" i="1" s="1"/>
  <c r="GJ198" i="1"/>
  <c r="GK198" i="1" s="1"/>
  <c r="GL34" i="1"/>
  <c r="GM34" i="1" s="1"/>
  <c r="GJ32" i="1"/>
  <c r="GK32" i="1" s="1"/>
  <c r="GF198" i="1"/>
  <c r="GG198" i="1" s="1"/>
  <c r="GR198" i="1"/>
  <c r="GH256" i="1"/>
  <c r="GI256" i="1" s="1"/>
  <c r="GD256" i="1"/>
  <c r="GR256" i="1"/>
  <c r="GR239" i="1"/>
  <c r="GQ22" i="1"/>
  <c r="GJ239" i="1"/>
  <c r="GK239" i="1" s="1"/>
  <c r="GT160" i="1"/>
  <c r="GU160" i="1" s="1"/>
  <c r="GV160" i="1" s="1"/>
  <c r="GJ295" i="1"/>
  <c r="GK295" i="1" s="1"/>
  <c r="GQ160" i="1"/>
  <c r="GT295" i="1"/>
  <c r="GU295" i="1" s="1"/>
  <c r="GV295" i="1" s="1"/>
  <c r="GL160" i="1"/>
  <c r="GM160" i="1" s="1"/>
  <c r="GH136" i="1"/>
  <c r="GI136" i="1" s="1"/>
  <c r="GH34" i="1"/>
  <c r="GI34" i="1" s="1"/>
  <c r="GQ32" i="1"/>
  <c r="GQ89" i="1"/>
  <c r="GD239" i="1"/>
  <c r="GE239" i="1" s="1"/>
  <c r="GF22" i="1"/>
  <c r="GG22" i="1" s="1"/>
  <c r="GD295" i="1"/>
  <c r="GE295" i="1" s="1"/>
  <c r="GT136" i="1"/>
  <c r="GU136" i="1" s="1"/>
  <c r="GV136" i="1" s="1"/>
  <c r="GD89" i="1"/>
  <c r="GQ247" i="1"/>
  <c r="GQ256" i="1"/>
  <c r="GD22" i="1"/>
  <c r="GE22" i="1" s="1"/>
  <c r="GT239" i="1"/>
  <c r="GU239" i="1" s="1"/>
  <c r="GV239" i="1" s="1"/>
  <c r="FQ197" i="1"/>
  <c r="FR197" i="1"/>
  <c r="FR22" i="1"/>
  <c r="FQ22" i="1"/>
  <c r="FR270" i="1"/>
  <c r="FQ270" i="1"/>
  <c r="FS270" i="1" s="1"/>
  <c r="FT270" i="1" s="1"/>
  <c r="FU270" i="1" s="1"/>
  <c r="FV270" i="1" s="1"/>
  <c r="FX270" i="1" s="1"/>
  <c r="FR304" i="1"/>
  <c r="FQ304" i="1"/>
  <c r="FR159" i="1"/>
  <c r="FQ159" i="1"/>
  <c r="FQ261" i="1"/>
  <c r="FR261" i="1"/>
  <c r="FR132" i="1"/>
  <c r="FQ132" i="1"/>
  <c r="FS132" i="1" s="1"/>
  <c r="FT132" i="1" s="1"/>
  <c r="FU132" i="1" s="1"/>
  <c r="FV132" i="1" s="1"/>
  <c r="FX132" i="1" s="1"/>
  <c r="FQ102" i="1"/>
  <c r="FR102" i="1"/>
  <c r="FQ53" i="1"/>
  <c r="FR53" i="1"/>
  <c r="FR277" i="1"/>
  <c r="FQ277" i="1"/>
  <c r="FR156" i="1"/>
  <c r="FQ156" i="1"/>
  <c r="FS156" i="1" s="1"/>
  <c r="FT156" i="1" s="1"/>
  <c r="FU156" i="1" s="1"/>
  <c r="FV156" i="1" s="1"/>
  <c r="FX156" i="1" s="1"/>
  <c r="FR4" i="1"/>
  <c r="FQ4" i="1"/>
  <c r="FR93" i="1"/>
  <c r="FQ93" i="1"/>
  <c r="FR152" i="1"/>
  <c r="FQ152" i="1"/>
  <c r="FR242" i="1"/>
  <c r="FQ242" i="1"/>
  <c r="FS242" i="1" s="1"/>
  <c r="FT242" i="1" s="1"/>
  <c r="FU242" i="1" s="1"/>
  <c r="FV242" i="1" s="1"/>
  <c r="FX242" i="1" s="1"/>
  <c r="FR223" i="1"/>
  <c r="FQ223" i="1"/>
  <c r="FR150" i="1"/>
  <c r="FQ150" i="1"/>
  <c r="FR127" i="1"/>
  <c r="FQ127" i="1"/>
  <c r="FR280" i="1"/>
  <c r="FQ280" i="1"/>
  <c r="FS280" i="1" s="1"/>
  <c r="FT280" i="1" s="1"/>
  <c r="FU280" i="1" s="1"/>
  <c r="FV280" i="1" s="1"/>
  <c r="FX280" i="1" s="1"/>
  <c r="FR7" i="1"/>
  <c r="FQ7" i="1"/>
  <c r="FQ98" i="1"/>
  <c r="FR98" i="1"/>
  <c r="FQ33" i="1"/>
  <c r="FR33" i="1"/>
  <c r="FQ229" i="1"/>
  <c r="FR229" i="1"/>
  <c r="FR145" i="1"/>
  <c r="FQ145" i="1"/>
  <c r="FR221" i="1"/>
  <c r="FQ221" i="1"/>
  <c r="FS221" i="1" s="1"/>
  <c r="FT221" i="1" s="1"/>
  <c r="FU221" i="1" s="1"/>
  <c r="FV221" i="1" s="1"/>
  <c r="FX221" i="1" s="1"/>
  <c r="FQ194" i="1"/>
  <c r="FR194" i="1"/>
  <c r="FQ245" i="1"/>
  <c r="FR245" i="1"/>
  <c r="FS245" i="1" s="1"/>
  <c r="FT245" i="1" s="1"/>
  <c r="FU245" i="1" s="1"/>
  <c r="FV245" i="1" s="1"/>
  <c r="FX245" i="1" s="1"/>
  <c r="FR296" i="1"/>
  <c r="FQ296" i="1"/>
  <c r="FR298" i="1"/>
  <c r="FQ298" i="1"/>
  <c r="FQ16" i="1"/>
  <c r="FR16" i="1"/>
  <c r="FQ76" i="1"/>
  <c r="FR76" i="1"/>
  <c r="FS76" i="1" s="1"/>
  <c r="FT76" i="1" s="1"/>
  <c r="FU76" i="1" s="1"/>
  <c r="FV76" i="1" s="1"/>
  <c r="FX76" i="1" s="1"/>
  <c r="FQ252" i="1"/>
  <c r="FR252" i="1"/>
  <c r="FQ255" i="1"/>
  <c r="FR255" i="1"/>
  <c r="FQ164" i="1"/>
  <c r="FR164" i="1"/>
  <c r="FR120" i="1"/>
  <c r="FQ120" i="1"/>
  <c r="FS120" i="1" s="1"/>
  <c r="FT120" i="1" s="1"/>
  <c r="FU120" i="1" s="1"/>
  <c r="FV120" i="1" s="1"/>
  <c r="FX120" i="1" s="1"/>
  <c r="FQ139" i="1"/>
  <c r="FR139" i="1"/>
  <c r="FQ233" i="1"/>
  <c r="FR233" i="1"/>
  <c r="FR118" i="1"/>
  <c r="FQ118" i="1"/>
  <c r="FS118" i="1" s="1"/>
  <c r="FT118" i="1" s="1"/>
  <c r="FU118" i="1" s="1"/>
  <c r="FV118" i="1" s="1"/>
  <c r="FX118" i="1" s="1"/>
  <c r="FQ122" i="1"/>
  <c r="FR122" i="1"/>
  <c r="FS122" i="1" s="1"/>
  <c r="FT122" i="1" s="1"/>
  <c r="FU122" i="1" s="1"/>
  <c r="FV122" i="1" s="1"/>
  <c r="FX122" i="1" s="1"/>
  <c r="FQ67" i="1"/>
  <c r="FR67" i="1"/>
  <c r="FR155" i="1"/>
  <c r="FQ155" i="1"/>
  <c r="FQ253" i="1"/>
  <c r="FR253" i="1"/>
  <c r="FR248" i="1"/>
  <c r="FQ248" i="1"/>
  <c r="FR104" i="1"/>
  <c r="FQ104" i="1"/>
  <c r="FQ235" i="1"/>
  <c r="FS235" i="1" s="1"/>
  <c r="FT235" i="1" s="1"/>
  <c r="FU235" i="1" s="1"/>
  <c r="FV235" i="1" s="1"/>
  <c r="FX235" i="1" s="1"/>
  <c r="FR235" i="1"/>
  <c r="FR192" i="1"/>
  <c r="FQ192" i="1"/>
  <c r="FR90" i="1"/>
  <c r="FQ90" i="1"/>
  <c r="FR300" i="1"/>
  <c r="FQ300" i="1"/>
  <c r="FR172" i="1"/>
  <c r="FQ172" i="1"/>
  <c r="FR266" i="1"/>
  <c r="FQ266" i="1"/>
  <c r="FQ83" i="1"/>
  <c r="FR83" i="1"/>
  <c r="FS83" i="1" s="1"/>
  <c r="FT83" i="1" s="1"/>
  <c r="FU83" i="1" s="1"/>
  <c r="FV83" i="1" s="1"/>
  <c r="FX83" i="1" s="1"/>
  <c r="FQ61" i="1"/>
  <c r="FR61" i="1"/>
  <c r="FQ208" i="1"/>
  <c r="FR208" i="1"/>
  <c r="GQ46" i="1"/>
  <c r="GJ246" i="1"/>
  <c r="GK246" i="1" s="1"/>
  <c r="GL260" i="1"/>
  <c r="GM260" i="1" s="1"/>
  <c r="GR102" i="1"/>
  <c r="FQ115" i="1"/>
  <c r="FS115" i="1" s="1"/>
  <c r="FT115" i="1" s="1"/>
  <c r="FU115" i="1" s="1"/>
  <c r="FV115" i="1" s="1"/>
  <c r="FX115" i="1" s="1"/>
  <c r="GQ246" i="1"/>
  <c r="FR216" i="1"/>
  <c r="FS216" i="1" s="1"/>
  <c r="FT216" i="1" s="1"/>
  <c r="FU216" i="1" s="1"/>
  <c r="FV216" i="1" s="1"/>
  <c r="FX216" i="1" s="1"/>
  <c r="GL46" i="1"/>
  <c r="GM46" i="1" s="1"/>
  <c r="GR158" i="1"/>
  <c r="GH241" i="1"/>
  <c r="GI241" i="1" s="1"/>
  <c r="GT163" i="1"/>
  <c r="GU163" i="1" s="1"/>
  <c r="GV163" i="1" s="1"/>
  <c r="FQ69" i="1"/>
  <c r="FS69" i="1" s="1"/>
  <c r="FT69" i="1" s="1"/>
  <c r="FU69" i="1" s="1"/>
  <c r="FV69" i="1" s="1"/>
  <c r="FX69" i="1" s="1"/>
  <c r="GT241" i="1"/>
  <c r="GU241" i="1" s="1"/>
  <c r="GV241" i="1" s="1"/>
  <c r="GF241" i="1"/>
  <c r="GG241" i="1" s="1"/>
  <c r="FQ148" i="1"/>
  <c r="FS148" i="1" s="1"/>
  <c r="FT148" i="1" s="1"/>
  <c r="FU148" i="1" s="1"/>
  <c r="FV148" i="1" s="1"/>
  <c r="FX148" i="1" s="1"/>
  <c r="FR68" i="1"/>
  <c r="FS68" i="1" s="1"/>
  <c r="FT68" i="1" s="1"/>
  <c r="FU68" i="1" s="1"/>
  <c r="FV68" i="1" s="1"/>
  <c r="FX68" i="1" s="1"/>
  <c r="GD194" i="1"/>
  <c r="GE194" i="1" s="1"/>
  <c r="GJ194" i="1"/>
  <c r="GK194" i="1" s="1"/>
  <c r="FR250" i="1"/>
  <c r="FS250" i="1" s="1"/>
  <c r="FT250" i="1" s="1"/>
  <c r="FU250" i="1" s="1"/>
  <c r="FV250" i="1" s="1"/>
  <c r="FX250" i="1" s="1"/>
  <c r="GT260" i="1"/>
  <c r="GU260" i="1" s="1"/>
  <c r="GV260" i="1" s="1"/>
  <c r="GF46" i="1"/>
  <c r="GG46" i="1" s="1"/>
  <c r="GD246" i="1"/>
  <c r="GE246" i="1" s="1"/>
  <c r="GQ260" i="1"/>
  <c r="GL102" i="1"/>
  <c r="GM102" i="1" s="1"/>
  <c r="GD301" i="1"/>
  <c r="GE301" i="1" s="1"/>
  <c r="FQ86" i="1"/>
  <c r="FS86" i="1" s="1"/>
  <c r="FT86" i="1" s="1"/>
  <c r="FU86" i="1" s="1"/>
  <c r="FV86" i="1" s="1"/>
  <c r="FX86" i="1" s="1"/>
  <c r="GT46" i="1"/>
  <c r="GU46" i="1" s="1"/>
  <c r="GV46" i="1" s="1"/>
  <c r="GT158" i="1"/>
  <c r="GU158" i="1" s="1"/>
  <c r="GV158" i="1" s="1"/>
  <c r="GH205" i="1"/>
  <c r="GI205" i="1" s="1"/>
  <c r="GR43" i="1"/>
  <c r="GL163" i="1"/>
  <c r="GM163" i="1" s="1"/>
  <c r="FQ143" i="1"/>
  <c r="FS143" i="1" s="1"/>
  <c r="FT143" i="1" s="1"/>
  <c r="FU143" i="1" s="1"/>
  <c r="FV143" i="1" s="1"/>
  <c r="FX143" i="1" s="1"/>
  <c r="GL43" i="1"/>
  <c r="GM43" i="1" s="1"/>
  <c r="GR40" i="1"/>
  <c r="GR205" i="1"/>
  <c r="FR147" i="1"/>
  <c r="FS147" i="1" s="1"/>
  <c r="FT147" i="1" s="1"/>
  <c r="FU147" i="1" s="1"/>
  <c r="FV147" i="1" s="1"/>
  <c r="FX147" i="1" s="1"/>
  <c r="GH194" i="1"/>
  <c r="GI194" i="1" s="1"/>
  <c r="GJ40" i="1"/>
  <c r="GK40" i="1" s="1"/>
  <c r="FR129" i="1"/>
  <c r="FS129" i="1" s="1"/>
  <c r="FT129" i="1" s="1"/>
  <c r="FU129" i="1" s="1"/>
  <c r="FV129" i="1" s="1"/>
  <c r="FX129" i="1" s="1"/>
  <c r="FQ183" i="1"/>
  <c r="FS183" i="1" s="1"/>
  <c r="FT183" i="1" s="1"/>
  <c r="FU183" i="1" s="1"/>
  <c r="FV183" i="1" s="1"/>
  <c r="FX183" i="1" s="1"/>
  <c r="GH301" i="1"/>
  <c r="GI301" i="1" s="1"/>
  <c r="FQ204" i="1"/>
  <c r="FS204" i="1" s="1"/>
  <c r="FT204" i="1" s="1"/>
  <c r="FU204" i="1" s="1"/>
  <c r="FV204" i="1" s="1"/>
  <c r="FX204" i="1" s="1"/>
  <c r="GF260" i="1"/>
  <c r="GG260" i="1" s="1"/>
  <c r="GQ102" i="1"/>
  <c r="GQ301" i="1"/>
  <c r="FQ171" i="1"/>
  <c r="FS171" i="1" s="1"/>
  <c r="FT171" i="1" s="1"/>
  <c r="FU171" i="1" s="1"/>
  <c r="FV171" i="1" s="1"/>
  <c r="FX171" i="1" s="1"/>
  <c r="GF301" i="1"/>
  <c r="GG301" i="1" s="1"/>
  <c r="GF246" i="1"/>
  <c r="GG246" i="1" s="1"/>
  <c r="GR46" i="1"/>
  <c r="GD158" i="1"/>
  <c r="GE158" i="1" s="1"/>
  <c r="GH158" i="1"/>
  <c r="GI158" i="1" s="1"/>
  <c r="GT205" i="1"/>
  <c r="GU205" i="1" s="1"/>
  <c r="GV205" i="1" s="1"/>
  <c r="GJ43" i="1"/>
  <c r="GK43" i="1" s="1"/>
  <c r="GQ194" i="1"/>
  <c r="GF102" i="1"/>
  <c r="GG102" i="1" s="1"/>
  <c r="GL158" i="1"/>
  <c r="GM158" i="1" s="1"/>
  <c r="GJ158" i="1"/>
  <c r="GR260" i="1"/>
  <c r="GD102" i="1"/>
  <c r="GE102" i="1" s="1"/>
  <c r="GD46" i="1"/>
  <c r="GE46" i="1" s="1"/>
  <c r="GL205" i="1"/>
  <c r="GM205" i="1" s="1"/>
  <c r="GD241" i="1"/>
  <c r="GE241" i="1" s="1"/>
  <c r="GF163" i="1"/>
  <c r="GG163" i="1" s="1"/>
  <c r="FQ295" i="1"/>
  <c r="FS295" i="1" s="1"/>
  <c r="FT295" i="1" s="1"/>
  <c r="FU295" i="1" s="1"/>
  <c r="FV295" i="1" s="1"/>
  <c r="FX295" i="1" s="1"/>
  <c r="GQ241" i="1"/>
  <c r="GD260" i="1"/>
  <c r="GE260" i="1" s="1"/>
  <c r="GJ102" i="1"/>
  <c r="GK102" i="1" s="1"/>
  <c r="GT301" i="1"/>
  <c r="GU301" i="1" s="1"/>
  <c r="GV301" i="1" s="1"/>
  <c r="GJ301" i="1"/>
  <c r="GK301" i="1" s="1"/>
  <c r="GL246" i="1"/>
  <c r="GM246" i="1" s="1"/>
  <c r="GH46" i="1"/>
  <c r="GI46" i="1" s="1"/>
  <c r="GQ205" i="1"/>
  <c r="GH43" i="1"/>
  <c r="GI43" i="1" s="1"/>
  <c r="FQ79" i="1"/>
  <c r="FS79" i="1" s="1"/>
  <c r="FT79" i="1" s="1"/>
  <c r="FU79" i="1" s="1"/>
  <c r="FV79" i="1" s="1"/>
  <c r="FX79" i="1" s="1"/>
  <c r="FR109" i="1"/>
  <c r="FS109" i="1" s="1"/>
  <c r="FT109" i="1" s="1"/>
  <c r="FU109" i="1" s="1"/>
  <c r="FV109" i="1" s="1"/>
  <c r="FX109" i="1" s="1"/>
  <c r="GR194" i="1"/>
  <c r="GH246" i="1"/>
  <c r="GI246" i="1" s="1"/>
  <c r="GT43" i="1"/>
  <c r="GU43" i="1" s="1"/>
  <c r="GV43" i="1" s="1"/>
  <c r="FR163" i="1"/>
  <c r="FS163" i="1" s="1"/>
  <c r="FT163" i="1" s="1"/>
  <c r="FU163" i="1" s="1"/>
  <c r="FV163" i="1" s="1"/>
  <c r="FX163" i="1" s="1"/>
  <c r="GJ205" i="1"/>
  <c r="GK205" i="1" s="1"/>
  <c r="FQ285" i="1"/>
  <c r="FS285" i="1" s="1"/>
  <c r="FT285" i="1" s="1"/>
  <c r="FU285" i="1" s="1"/>
  <c r="FV285" i="1" s="1"/>
  <c r="FX285" i="1" s="1"/>
  <c r="GJ241" i="1"/>
  <c r="GK241" i="1" s="1"/>
  <c r="FR207" i="1"/>
  <c r="FS207" i="1" s="1"/>
  <c r="FT207" i="1" s="1"/>
  <c r="FU207" i="1" s="1"/>
  <c r="FV207" i="1" s="1"/>
  <c r="FX207" i="1" s="1"/>
  <c r="FR160" i="1"/>
  <c r="FS160" i="1" s="1"/>
  <c r="FT160" i="1" s="1"/>
  <c r="FU160" i="1" s="1"/>
  <c r="FV160" i="1" s="1"/>
  <c r="FX160" i="1" s="1"/>
  <c r="FR74" i="1"/>
  <c r="FS74" i="1" s="1"/>
  <c r="FT74" i="1" s="1"/>
  <c r="FU74" i="1" s="1"/>
  <c r="FV74" i="1" s="1"/>
  <c r="FX74" i="1" s="1"/>
  <c r="GQ43" i="1"/>
  <c r="GT246" i="1"/>
  <c r="GU246" i="1" s="1"/>
  <c r="GV246" i="1" s="1"/>
  <c r="FQ78" i="1"/>
  <c r="FS78" i="1" s="1"/>
  <c r="FT78" i="1" s="1"/>
  <c r="FU78" i="1" s="1"/>
  <c r="FV78" i="1" s="1"/>
  <c r="FX78" i="1" s="1"/>
  <c r="FQ246" i="1"/>
  <c r="FS246" i="1" s="1"/>
  <c r="FT246" i="1" s="1"/>
  <c r="FU246" i="1" s="1"/>
  <c r="FV246" i="1" s="1"/>
  <c r="FX246" i="1" s="1"/>
  <c r="FR291" i="1"/>
  <c r="FS291" i="1" s="1"/>
  <c r="FT291" i="1" s="1"/>
  <c r="FU291" i="1" s="1"/>
  <c r="FV291" i="1" s="1"/>
  <c r="FX291" i="1" s="1"/>
  <c r="GF18" i="1"/>
  <c r="GG18" i="1" s="1"/>
  <c r="GQ18" i="1"/>
  <c r="GT18" i="1"/>
  <c r="GU18" i="1" s="1"/>
  <c r="GV18" i="1" s="1"/>
  <c r="GN245" i="1"/>
  <c r="GO245" i="1" s="1"/>
  <c r="GN145" i="1"/>
  <c r="GO145" i="1" s="1"/>
  <c r="GN93" i="1"/>
  <c r="GO93" i="1" s="1"/>
  <c r="GP93" i="1" s="1"/>
  <c r="GS93" i="1" s="1"/>
  <c r="GW93" i="1" s="1"/>
  <c r="GX93" i="1" s="1"/>
  <c r="GY93" i="1" s="1"/>
  <c r="GZ93" i="1" s="1"/>
  <c r="GN68" i="1"/>
  <c r="GO68" i="1" s="1"/>
  <c r="GN108" i="1"/>
  <c r="GO108" i="1" s="1"/>
  <c r="GN254" i="1"/>
  <c r="GO254" i="1" s="1"/>
  <c r="GN39" i="1"/>
  <c r="GO39" i="1" s="1"/>
  <c r="GN24" i="1"/>
  <c r="GO24" i="1" s="1"/>
  <c r="GL18" i="1"/>
  <c r="GM18" i="1" s="1"/>
  <c r="GD18" i="1"/>
  <c r="GE18" i="1" s="1"/>
  <c r="GN160" i="1"/>
  <c r="GO160" i="1" s="1"/>
  <c r="FQ214" i="1"/>
  <c r="FS214" i="1" s="1"/>
  <c r="FT214" i="1" s="1"/>
  <c r="FU214" i="1" s="1"/>
  <c r="FV214" i="1" s="1"/>
  <c r="FX214" i="1" s="1"/>
  <c r="GN286" i="1"/>
  <c r="GO286" i="1" s="1"/>
  <c r="GN32" i="1"/>
  <c r="GO32" i="1" s="1"/>
  <c r="FR301" i="1"/>
  <c r="FS301" i="1" s="1"/>
  <c r="FT301" i="1" s="1"/>
  <c r="FU301" i="1" s="1"/>
  <c r="FV301" i="1" s="1"/>
  <c r="FX301" i="1" s="1"/>
  <c r="GL234" i="1"/>
  <c r="GM234" i="1" s="1"/>
  <c r="FQ302" i="1"/>
  <c r="FS302" i="1" s="1"/>
  <c r="FT302" i="1" s="1"/>
  <c r="FU302" i="1" s="1"/>
  <c r="FV302" i="1" s="1"/>
  <c r="FX302" i="1" s="1"/>
  <c r="FQ15" i="1"/>
  <c r="FS15" i="1" s="1"/>
  <c r="FT15" i="1" s="1"/>
  <c r="FU15" i="1" s="1"/>
  <c r="FV15" i="1" s="1"/>
  <c r="FX15" i="1" s="1"/>
  <c r="FQ251" i="1"/>
  <c r="FS251" i="1" s="1"/>
  <c r="FT251" i="1" s="1"/>
  <c r="FU251" i="1" s="1"/>
  <c r="FV251" i="1" s="1"/>
  <c r="FX251" i="1" s="1"/>
  <c r="GN266" i="1"/>
  <c r="GO266" i="1" s="1"/>
  <c r="GR209" i="1"/>
  <c r="GH209" i="1"/>
  <c r="GI209" i="1" s="1"/>
  <c r="GT234" i="1"/>
  <c r="GU234" i="1" s="1"/>
  <c r="GV234" i="1" s="1"/>
  <c r="GQ209" i="1"/>
  <c r="GD209" i="1"/>
  <c r="GE209" i="1" s="1"/>
  <c r="GF209" i="1"/>
  <c r="GG209" i="1" s="1"/>
  <c r="GH234" i="1"/>
  <c r="GI234" i="1" s="1"/>
  <c r="GJ209" i="1"/>
  <c r="GK209" i="1" s="1"/>
  <c r="GQ234" i="1"/>
  <c r="GJ234" i="1"/>
  <c r="GK234" i="1" s="1"/>
  <c r="GD234" i="1"/>
  <c r="GE234" i="1" s="1"/>
  <c r="GL209" i="1"/>
  <c r="GM209" i="1" s="1"/>
  <c r="GR234" i="1"/>
  <c r="GT53" i="1"/>
  <c r="GU53" i="1" s="1"/>
  <c r="GV53" i="1" s="1"/>
  <c r="GL53" i="1"/>
  <c r="GM53" i="1" s="1"/>
  <c r="GQ53" i="1"/>
  <c r="GR53" i="1"/>
  <c r="GH178" i="1"/>
  <c r="GI178" i="1" s="1"/>
  <c r="GT178" i="1"/>
  <c r="GU178" i="1" s="1"/>
  <c r="GV178" i="1" s="1"/>
  <c r="GJ178" i="1"/>
  <c r="GK178" i="1" s="1"/>
  <c r="GD178" i="1"/>
  <c r="GE178" i="1" s="1"/>
  <c r="GD53" i="1"/>
  <c r="GE53" i="1" s="1"/>
  <c r="GJ53" i="1"/>
  <c r="GK53" i="1" s="1"/>
  <c r="GH53" i="1"/>
  <c r="GI53" i="1" s="1"/>
  <c r="GF231" i="1"/>
  <c r="GG231" i="1" s="1"/>
  <c r="GQ231" i="1"/>
  <c r="GJ231" i="1"/>
  <c r="GK231" i="1" s="1"/>
  <c r="GL231" i="1"/>
  <c r="GM231" i="1" s="1"/>
  <c r="GH231" i="1"/>
  <c r="GI231" i="1" s="1"/>
  <c r="GD231" i="1"/>
  <c r="GE231" i="1" s="1"/>
  <c r="GR231" i="1"/>
  <c r="FQ6" i="1"/>
  <c r="FS6" i="1" s="1"/>
  <c r="FT6" i="1" s="1"/>
  <c r="FU6" i="1" s="1"/>
  <c r="FV6" i="1" s="1"/>
  <c r="FX6" i="1" s="1"/>
  <c r="GF178" i="1"/>
  <c r="GG178" i="1" s="1"/>
  <c r="GL178" i="1"/>
  <c r="GM178" i="1" s="1"/>
  <c r="GR178" i="1"/>
  <c r="FQ201" i="1"/>
  <c r="FS201" i="1" s="1"/>
  <c r="FT201" i="1" s="1"/>
  <c r="FU201" i="1" s="1"/>
  <c r="FV201" i="1" s="1"/>
  <c r="FX201" i="1" s="1"/>
  <c r="FR262" i="1"/>
  <c r="FS262" i="1" s="1"/>
  <c r="FT262" i="1" s="1"/>
  <c r="FU262" i="1" s="1"/>
  <c r="FV262" i="1" s="1"/>
  <c r="FX262" i="1" s="1"/>
  <c r="GN123" i="1"/>
  <c r="GO123" i="1" s="1"/>
  <c r="GP123" i="1" s="1"/>
  <c r="GS123" i="1" s="1"/>
  <c r="GW123" i="1" s="1"/>
  <c r="GX123" i="1" s="1"/>
  <c r="FQ111" i="1"/>
  <c r="FS111" i="1" s="1"/>
  <c r="FT111" i="1" s="1"/>
  <c r="FU111" i="1" s="1"/>
  <c r="FV111" i="1" s="1"/>
  <c r="FX111" i="1" s="1"/>
  <c r="GT305" i="1"/>
  <c r="GU305" i="1" s="1"/>
  <c r="GV305" i="1" s="1"/>
  <c r="GD305" i="1"/>
  <c r="GE305" i="1" s="1"/>
  <c r="GH305" i="1"/>
  <c r="GI305" i="1" s="1"/>
  <c r="GL305" i="1"/>
  <c r="GM305" i="1" s="1"/>
  <c r="GQ305" i="1"/>
  <c r="GJ305" i="1"/>
  <c r="GK305" i="1" s="1"/>
  <c r="GR305" i="1"/>
  <c r="GJ14" i="1"/>
  <c r="GK14" i="1" s="1"/>
  <c r="GF48" i="1"/>
  <c r="GG48" i="1" s="1"/>
  <c r="GT48" i="1"/>
  <c r="GU48" i="1" s="1"/>
  <c r="GV48" i="1" s="1"/>
  <c r="GD48" i="1"/>
  <c r="GE48" i="1" s="1"/>
  <c r="GJ48" i="1"/>
  <c r="GK48" i="1" s="1"/>
  <c r="GR48" i="1"/>
  <c r="GQ48" i="1"/>
  <c r="GH48" i="1"/>
  <c r="GI48" i="1" s="1"/>
  <c r="FR44" i="1"/>
  <c r="FS44" i="1" s="1"/>
  <c r="FT44" i="1" s="1"/>
  <c r="FU44" i="1" s="1"/>
  <c r="FV44" i="1" s="1"/>
  <c r="FX44" i="1" s="1"/>
  <c r="FR177" i="1"/>
  <c r="FS177" i="1" s="1"/>
  <c r="FT177" i="1" s="1"/>
  <c r="FU177" i="1" s="1"/>
  <c r="FV177" i="1" s="1"/>
  <c r="FX177" i="1" s="1"/>
  <c r="FR84" i="1"/>
  <c r="FS84" i="1" s="1"/>
  <c r="FT84" i="1" s="1"/>
  <c r="FU84" i="1" s="1"/>
  <c r="FV84" i="1" s="1"/>
  <c r="FX84" i="1" s="1"/>
  <c r="FQ230" i="1"/>
  <c r="FS230" i="1" s="1"/>
  <c r="FT230" i="1" s="1"/>
  <c r="FU230" i="1" s="1"/>
  <c r="FV230" i="1" s="1"/>
  <c r="FX230" i="1" s="1"/>
  <c r="FR187" i="1"/>
  <c r="FS187" i="1" s="1"/>
  <c r="FT187" i="1" s="1"/>
  <c r="FU187" i="1" s="1"/>
  <c r="FV187" i="1" s="1"/>
  <c r="FX187" i="1" s="1"/>
  <c r="FQ299" i="1"/>
  <c r="FS299" i="1" s="1"/>
  <c r="FT299" i="1" s="1"/>
  <c r="FU299" i="1" s="1"/>
  <c r="FV299" i="1" s="1"/>
  <c r="FX299" i="1" s="1"/>
  <c r="FQ281" i="1"/>
  <c r="FS281" i="1" s="1"/>
  <c r="FT281" i="1" s="1"/>
  <c r="FU281" i="1" s="1"/>
  <c r="FV281" i="1" s="1"/>
  <c r="FX281" i="1" s="1"/>
  <c r="FR228" i="1"/>
  <c r="FS228" i="1" s="1"/>
  <c r="FT228" i="1" s="1"/>
  <c r="FU228" i="1" s="1"/>
  <c r="FV228" i="1" s="1"/>
  <c r="FX228" i="1" s="1"/>
  <c r="FQ130" i="1"/>
  <c r="FS130" i="1" s="1"/>
  <c r="FT130" i="1" s="1"/>
  <c r="FU130" i="1" s="1"/>
  <c r="FV130" i="1" s="1"/>
  <c r="FX130" i="1" s="1"/>
  <c r="GH117" i="1"/>
  <c r="GI117" i="1" s="1"/>
  <c r="FQ113" i="1"/>
  <c r="FS113" i="1" s="1"/>
  <c r="FT113" i="1" s="1"/>
  <c r="FU113" i="1" s="1"/>
  <c r="FV113" i="1" s="1"/>
  <c r="FX113" i="1" s="1"/>
  <c r="GH259" i="1"/>
  <c r="GI259" i="1" s="1"/>
  <c r="FQ3" i="1"/>
  <c r="FS3" i="1" s="1"/>
  <c r="FT3" i="1" s="1"/>
  <c r="FU3" i="1" s="1"/>
  <c r="FV3" i="1" s="1"/>
  <c r="FX3" i="1" s="1"/>
  <c r="FQ64" i="1"/>
  <c r="FS64" i="1" s="1"/>
  <c r="FT64" i="1" s="1"/>
  <c r="FU64" i="1" s="1"/>
  <c r="FV64" i="1" s="1"/>
  <c r="FX64" i="1" s="1"/>
  <c r="FR36" i="1"/>
  <c r="FS36" i="1" s="1"/>
  <c r="FT36" i="1" s="1"/>
  <c r="FU36" i="1" s="1"/>
  <c r="FV36" i="1" s="1"/>
  <c r="FX36" i="1" s="1"/>
  <c r="FQ272" i="1"/>
  <c r="FS272" i="1" s="1"/>
  <c r="FT272" i="1" s="1"/>
  <c r="FU272" i="1" s="1"/>
  <c r="FV272" i="1" s="1"/>
  <c r="FX272" i="1" s="1"/>
  <c r="FQ63" i="1"/>
  <c r="FS63" i="1" s="1"/>
  <c r="FT63" i="1" s="1"/>
  <c r="FU63" i="1" s="1"/>
  <c r="FV63" i="1" s="1"/>
  <c r="FX63" i="1" s="1"/>
  <c r="GH14" i="1"/>
  <c r="GI14" i="1" s="1"/>
  <c r="FR294" i="1"/>
  <c r="FS294" i="1" s="1"/>
  <c r="FT294" i="1" s="1"/>
  <c r="FU294" i="1" s="1"/>
  <c r="FV294" i="1" s="1"/>
  <c r="FX294" i="1" s="1"/>
  <c r="GR14" i="1"/>
  <c r="FR13" i="1"/>
  <c r="FS13" i="1" s="1"/>
  <c r="FT13" i="1" s="1"/>
  <c r="FU13" i="1" s="1"/>
  <c r="FV13" i="1" s="1"/>
  <c r="FX13" i="1" s="1"/>
  <c r="FQ62" i="1"/>
  <c r="FS62" i="1" s="1"/>
  <c r="FT62" i="1" s="1"/>
  <c r="FU62" i="1" s="1"/>
  <c r="FV62" i="1" s="1"/>
  <c r="FX62" i="1" s="1"/>
  <c r="GF143" i="1"/>
  <c r="GG143" i="1" s="1"/>
  <c r="FQ286" i="1"/>
  <c r="FS286" i="1" s="1"/>
  <c r="FT286" i="1" s="1"/>
  <c r="FU286" i="1" s="1"/>
  <c r="FV286" i="1" s="1"/>
  <c r="FX286" i="1" s="1"/>
  <c r="GQ143" i="1"/>
  <c r="GD143" i="1"/>
  <c r="GE143" i="1" s="1"/>
  <c r="GL143" i="1"/>
  <c r="GM143" i="1" s="1"/>
  <c r="GT143" i="1"/>
  <c r="GU143" i="1" s="1"/>
  <c r="GV143" i="1" s="1"/>
  <c r="GH143" i="1"/>
  <c r="GI143" i="1" s="1"/>
  <c r="GR143" i="1"/>
  <c r="FQ176" i="1"/>
  <c r="FS176" i="1" s="1"/>
  <c r="FT176" i="1" s="1"/>
  <c r="FU176" i="1" s="1"/>
  <c r="FV176" i="1" s="1"/>
  <c r="FX176" i="1" s="1"/>
  <c r="GF106" i="1"/>
  <c r="GG106" i="1" s="1"/>
  <c r="GD14" i="1"/>
  <c r="GE14" i="1" s="1"/>
  <c r="GL14" i="1"/>
  <c r="GM14" i="1" s="1"/>
  <c r="GF14" i="1"/>
  <c r="GG14" i="1" s="1"/>
  <c r="GQ14" i="1"/>
  <c r="FQ32" i="1"/>
  <c r="FS32" i="1" s="1"/>
  <c r="FT32" i="1" s="1"/>
  <c r="FU32" i="1" s="1"/>
  <c r="FV32" i="1" s="1"/>
  <c r="FX32" i="1" s="1"/>
  <c r="FR50" i="1"/>
  <c r="FS50" i="1" s="1"/>
  <c r="FT50" i="1" s="1"/>
  <c r="FU50" i="1" s="1"/>
  <c r="FV50" i="1" s="1"/>
  <c r="FX50" i="1" s="1"/>
  <c r="GQ80" i="1"/>
  <c r="GR80" i="1"/>
  <c r="FQ146" i="1"/>
  <c r="FS146" i="1" s="1"/>
  <c r="FT146" i="1" s="1"/>
  <c r="FU146" i="1" s="1"/>
  <c r="FV146" i="1" s="1"/>
  <c r="FX146" i="1" s="1"/>
  <c r="GF80" i="1"/>
  <c r="GG80" i="1" s="1"/>
  <c r="GT80" i="1"/>
  <c r="GU80" i="1" s="1"/>
  <c r="GV80" i="1" s="1"/>
  <c r="FQ42" i="1"/>
  <c r="FS42" i="1" s="1"/>
  <c r="FT42" i="1" s="1"/>
  <c r="FU42" i="1" s="1"/>
  <c r="FV42" i="1" s="1"/>
  <c r="FX42" i="1" s="1"/>
  <c r="GL80" i="1"/>
  <c r="GM80" i="1" s="1"/>
  <c r="GD80" i="1"/>
  <c r="GE80" i="1" s="1"/>
  <c r="GJ80" i="1"/>
  <c r="GK80" i="1" s="1"/>
  <c r="FQ274" i="1"/>
  <c r="FS274" i="1" s="1"/>
  <c r="FT274" i="1" s="1"/>
  <c r="FU274" i="1" s="1"/>
  <c r="FV274" i="1" s="1"/>
  <c r="FX274" i="1" s="1"/>
  <c r="FR260" i="1"/>
  <c r="FS260" i="1" s="1"/>
  <c r="FT260" i="1" s="1"/>
  <c r="FU260" i="1" s="1"/>
  <c r="FV260" i="1" s="1"/>
  <c r="FX260" i="1" s="1"/>
  <c r="GD259" i="1"/>
  <c r="GE259" i="1" s="1"/>
  <c r="GT259" i="1"/>
  <c r="GU259" i="1" s="1"/>
  <c r="GV259" i="1" s="1"/>
  <c r="FR287" i="1"/>
  <c r="FS287" i="1" s="1"/>
  <c r="FT287" i="1" s="1"/>
  <c r="FU287" i="1" s="1"/>
  <c r="FV287" i="1" s="1"/>
  <c r="FX287" i="1" s="1"/>
  <c r="GQ259" i="1"/>
  <c r="GF259" i="1"/>
  <c r="GG259" i="1" s="1"/>
  <c r="GD199" i="1"/>
  <c r="GE199" i="1" s="1"/>
  <c r="GL259" i="1"/>
  <c r="GM259" i="1" s="1"/>
  <c r="FQ217" i="1"/>
  <c r="FS217" i="1" s="1"/>
  <c r="FT217" i="1" s="1"/>
  <c r="FU217" i="1" s="1"/>
  <c r="FV217" i="1" s="1"/>
  <c r="FX217" i="1" s="1"/>
  <c r="GQ127" i="1"/>
  <c r="GJ162" i="1"/>
  <c r="GK162" i="1" s="1"/>
  <c r="GR127" i="1"/>
  <c r="GQ119" i="1"/>
  <c r="GR119" i="1"/>
  <c r="GH119" i="1"/>
  <c r="GI119" i="1" s="1"/>
  <c r="GL162" i="1"/>
  <c r="GM162" i="1" s="1"/>
  <c r="GR117" i="1"/>
  <c r="GF117" i="1"/>
  <c r="GG117" i="1" s="1"/>
  <c r="GR259" i="1"/>
  <c r="GH127" i="1"/>
  <c r="GI127" i="1" s="1"/>
  <c r="GR162" i="1"/>
  <c r="GL117" i="1"/>
  <c r="GM117" i="1" s="1"/>
  <c r="GL119" i="1"/>
  <c r="GM119" i="1" s="1"/>
  <c r="GF119" i="1"/>
  <c r="GG119" i="1" s="1"/>
  <c r="GQ162" i="1"/>
  <c r="GL127" i="1"/>
  <c r="GM127" i="1" s="1"/>
  <c r="GT117" i="1"/>
  <c r="GU117" i="1" s="1"/>
  <c r="GV117" i="1" s="1"/>
  <c r="GF127" i="1"/>
  <c r="GG127" i="1" s="1"/>
  <c r="GT162" i="1"/>
  <c r="GU162" i="1" s="1"/>
  <c r="GV162" i="1" s="1"/>
  <c r="GH162" i="1"/>
  <c r="GI162" i="1" s="1"/>
  <c r="GQ117" i="1"/>
  <c r="FQ226" i="1"/>
  <c r="FS226" i="1" s="1"/>
  <c r="FT226" i="1" s="1"/>
  <c r="FU226" i="1" s="1"/>
  <c r="FV226" i="1" s="1"/>
  <c r="FX226" i="1" s="1"/>
  <c r="GJ117" i="1"/>
  <c r="GK117" i="1" s="1"/>
  <c r="GT127" i="1"/>
  <c r="GU127" i="1" s="1"/>
  <c r="GV127" i="1" s="1"/>
  <c r="GJ119" i="1"/>
  <c r="GK119" i="1" s="1"/>
  <c r="GT119" i="1"/>
  <c r="GU119" i="1" s="1"/>
  <c r="GV119" i="1" s="1"/>
  <c r="GD162" i="1"/>
  <c r="GE162" i="1" s="1"/>
  <c r="GJ127" i="1"/>
  <c r="GK127" i="1" s="1"/>
  <c r="GJ175" i="1"/>
  <c r="GK175" i="1" s="1"/>
  <c r="FQ24" i="1"/>
  <c r="FS24" i="1" s="1"/>
  <c r="FT24" i="1" s="1"/>
  <c r="FU24" i="1" s="1"/>
  <c r="FV24" i="1" s="1"/>
  <c r="FX24" i="1" s="1"/>
  <c r="GH175" i="1"/>
  <c r="GI175" i="1" s="1"/>
  <c r="GQ175" i="1"/>
  <c r="GF175" i="1"/>
  <c r="GG175" i="1" s="1"/>
  <c r="GR175" i="1"/>
  <c r="GL175" i="1"/>
  <c r="GM175" i="1" s="1"/>
  <c r="FQ47" i="1"/>
  <c r="FS47" i="1" s="1"/>
  <c r="FT47" i="1" s="1"/>
  <c r="FU47" i="1" s="1"/>
  <c r="FV47" i="1" s="1"/>
  <c r="FX47" i="1" s="1"/>
  <c r="GD175" i="1"/>
  <c r="GE175" i="1" s="1"/>
  <c r="FQ38" i="1"/>
  <c r="FS38" i="1" s="1"/>
  <c r="FT38" i="1" s="1"/>
  <c r="FU38" i="1" s="1"/>
  <c r="FV38" i="1" s="1"/>
  <c r="FX38" i="1" s="1"/>
  <c r="GN263" i="1"/>
  <c r="GO263" i="1" s="1"/>
  <c r="GP263" i="1" s="1"/>
  <c r="GS263" i="1" s="1"/>
  <c r="GW263" i="1" s="1"/>
  <c r="GX263" i="1" s="1"/>
  <c r="FR243" i="1"/>
  <c r="FS243" i="1" s="1"/>
  <c r="FT243" i="1" s="1"/>
  <c r="FU243" i="1" s="1"/>
  <c r="FV243" i="1" s="1"/>
  <c r="FX243" i="1" s="1"/>
  <c r="FQ293" i="1"/>
  <c r="FS293" i="1" s="1"/>
  <c r="FT293" i="1" s="1"/>
  <c r="FU293" i="1" s="1"/>
  <c r="FV293" i="1" s="1"/>
  <c r="FX293" i="1" s="1"/>
  <c r="GT100" i="1"/>
  <c r="GU100" i="1" s="1"/>
  <c r="GV100" i="1" s="1"/>
  <c r="FQ198" i="1"/>
  <c r="FS198" i="1" s="1"/>
  <c r="FT198" i="1" s="1"/>
  <c r="FU198" i="1" s="1"/>
  <c r="FV198" i="1" s="1"/>
  <c r="FX198" i="1" s="1"/>
  <c r="GT106" i="1"/>
  <c r="GU106" i="1" s="1"/>
  <c r="GV106" i="1" s="1"/>
  <c r="GL275" i="1"/>
  <c r="GM275" i="1" s="1"/>
  <c r="GL199" i="1"/>
  <c r="GM199" i="1" s="1"/>
  <c r="GT275" i="1"/>
  <c r="GU275" i="1" s="1"/>
  <c r="GV275" i="1" s="1"/>
  <c r="GD275" i="1"/>
  <c r="GE275" i="1" s="1"/>
  <c r="GH275" i="1"/>
  <c r="GI275" i="1" s="1"/>
  <c r="GR275" i="1"/>
  <c r="GR199" i="1"/>
  <c r="GQ275" i="1"/>
  <c r="GJ275" i="1"/>
  <c r="GK275" i="1" s="1"/>
  <c r="GH199" i="1"/>
  <c r="GI199" i="1" s="1"/>
  <c r="GT199" i="1"/>
  <c r="GU199" i="1" s="1"/>
  <c r="GV199" i="1" s="1"/>
  <c r="GQ199" i="1"/>
  <c r="GQ106" i="1"/>
  <c r="GL106" i="1"/>
  <c r="GM106" i="1" s="1"/>
  <c r="GJ199" i="1"/>
  <c r="GK199" i="1" s="1"/>
  <c r="GD106" i="1"/>
  <c r="GE106" i="1" s="1"/>
  <c r="GQ100" i="1"/>
  <c r="GJ106" i="1"/>
  <c r="GK106" i="1" s="1"/>
  <c r="GR106" i="1"/>
  <c r="GD100" i="1"/>
  <c r="GE100" i="1" s="1"/>
  <c r="GR100" i="1"/>
  <c r="GJ100" i="1"/>
  <c r="GK100" i="1" s="1"/>
  <c r="GL100" i="1"/>
  <c r="GM100" i="1" s="1"/>
  <c r="GF100" i="1"/>
  <c r="GG100" i="1" s="1"/>
  <c r="GT95" i="1"/>
  <c r="GU95" i="1" s="1"/>
  <c r="GV95" i="1" s="1"/>
  <c r="FQ29" i="1"/>
  <c r="FS29" i="1" s="1"/>
  <c r="FT29" i="1" s="1"/>
  <c r="FU29" i="1" s="1"/>
  <c r="FV29" i="1" s="1"/>
  <c r="FX29" i="1" s="1"/>
  <c r="GR269" i="1"/>
  <c r="GL269" i="1"/>
  <c r="GM269" i="1" s="1"/>
  <c r="GJ264" i="1"/>
  <c r="GK264" i="1" s="1"/>
  <c r="GR264" i="1"/>
  <c r="FR135" i="1"/>
  <c r="FS135" i="1" s="1"/>
  <c r="FT135" i="1" s="1"/>
  <c r="FU135" i="1" s="1"/>
  <c r="FV135" i="1" s="1"/>
  <c r="FX135" i="1" s="1"/>
  <c r="GJ95" i="1"/>
  <c r="GK95" i="1" s="1"/>
  <c r="FQ149" i="1"/>
  <c r="FS149" i="1" s="1"/>
  <c r="FT149" i="1" s="1"/>
  <c r="FU149" i="1" s="1"/>
  <c r="FV149" i="1" s="1"/>
  <c r="FX149" i="1" s="1"/>
  <c r="GH95" i="1"/>
  <c r="GI95" i="1" s="1"/>
  <c r="GR95" i="1"/>
  <c r="FQ40" i="1"/>
  <c r="FS40" i="1" s="1"/>
  <c r="FT40" i="1" s="1"/>
  <c r="FU40" i="1" s="1"/>
  <c r="FV40" i="1" s="1"/>
  <c r="FX40" i="1" s="1"/>
  <c r="FQ140" i="1"/>
  <c r="FS140" i="1" s="1"/>
  <c r="FT140" i="1" s="1"/>
  <c r="FU140" i="1" s="1"/>
  <c r="FV140" i="1" s="1"/>
  <c r="FX140" i="1" s="1"/>
  <c r="FR288" i="1"/>
  <c r="FS288" i="1" s="1"/>
  <c r="FT288" i="1" s="1"/>
  <c r="FU288" i="1" s="1"/>
  <c r="FV288" i="1" s="1"/>
  <c r="FX288" i="1" s="1"/>
  <c r="FQ43" i="1"/>
  <c r="FS43" i="1" s="1"/>
  <c r="FT43" i="1" s="1"/>
  <c r="FU43" i="1" s="1"/>
  <c r="FV43" i="1" s="1"/>
  <c r="FX43" i="1" s="1"/>
  <c r="GL264" i="1"/>
  <c r="GM264" i="1" s="1"/>
  <c r="GH264" i="1"/>
  <c r="GI264" i="1" s="1"/>
  <c r="FQ9" i="1"/>
  <c r="FS9" i="1" s="1"/>
  <c r="FT9" i="1" s="1"/>
  <c r="FU9" i="1" s="1"/>
  <c r="FV9" i="1" s="1"/>
  <c r="FX9" i="1" s="1"/>
  <c r="GR37" i="1"/>
  <c r="FR89" i="1"/>
  <c r="FS89" i="1" s="1"/>
  <c r="FT89" i="1" s="1"/>
  <c r="FU89" i="1" s="1"/>
  <c r="FV89" i="1" s="1"/>
  <c r="FX89" i="1" s="1"/>
  <c r="FR206" i="1"/>
  <c r="FS206" i="1" s="1"/>
  <c r="FT206" i="1" s="1"/>
  <c r="FU206" i="1" s="1"/>
  <c r="FV206" i="1" s="1"/>
  <c r="FX206" i="1" s="1"/>
  <c r="FQ87" i="1"/>
  <c r="FS87" i="1" s="1"/>
  <c r="FT87" i="1" s="1"/>
  <c r="FU87" i="1" s="1"/>
  <c r="FV87" i="1" s="1"/>
  <c r="FX87" i="1" s="1"/>
  <c r="FR39" i="1"/>
  <c r="FS39" i="1" s="1"/>
  <c r="FT39" i="1" s="1"/>
  <c r="FU39" i="1" s="1"/>
  <c r="FV39" i="1" s="1"/>
  <c r="FX39" i="1" s="1"/>
  <c r="GJ126" i="1"/>
  <c r="GK126" i="1" s="1"/>
  <c r="GR126" i="1"/>
  <c r="FR133" i="1"/>
  <c r="FS133" i="1" s="1"/>
  <c r="FT133" i="1" s="1"/>
  <c r="FU133" i="1" s="1"/>
  <c r="FV133" i="1" s="1"/>
  <c r="FX133" i="1" s="1"/>
  <c r="GT37" i="1"/>
  <c r="GU37" i="1" s="1"/>
  <c r="GV37" i="1" s="1"/>
  <c r="GD238" i="1"/>
  <c r="GE238" i="1" s="1"/>
  <c r="GF238" i="1"/>
  <c r="GG238" i="1" s="1"/>
  <c r="GF269" i="1"/>
  <c r="GG269" i="1" s="1"/>
  <c r="GH37" i="1"/>
  <c r="GI37" i="1" s="1"/>
  <c r="GQ238" i="1"/>
  <c r="GL37" i="1"/>
  <c r="GM37" i="1" s="1"/>
  <c r="GR238" i="1"/>
  <c r="GF264" i="1"/>
  <c r="GG264" i="1" s="1"/>
  <c r="GH238" i="1"/>
  <c r="GI238" i="1" s="1"/>
  <c r="GF37" i="1"/>
  <c r="GG37" i="1" s="1"/>
  <c r="GD37" i="1"/>
  <c r="GE37" i="1" s="1"/>
  <c r="GT264" i="1"/>
  <c r="GU264" i="1" s="1"/>
  <c r="GV264" i="1" s="1"/>
  <c r="GJ238" i="1"/>
  <c r="GK238" i="1" s="1"/>
  <c r="GJ37" i="1"/>
  <c r="GK37" i="1" s="1"/>
  <c r="GL238" i="1"/>
  <c r="GM238" i="1" s="1"/>
  <c r="GD264" i="1"/>
  <c r="GE264" i="1" s="1"/>
  <c r="GT126" i="1"/>
  <c r="GU126" i="1" s="1"/>
  <c r="GV126" i="1" s="1"/>
  <c r="GD126" i="1"/>
  <c r="GE126" i="1" s="1"/>
  <c r="GL126" i="1"/>
  <c r="GM126" i="1" s="1"/>
  <c r="GQ126" i="1"/>
  <c r="GH126" i="1"/>
  <c r="GI126" i="1" s="1"/>
  <c r="FQ12" i="1"/>
  <c r="FS12" i="1" s="1"/>
  <c r="FT12" i="1" s="1"/>
  <c r="FU12" i="1" s="1"/>
  <c r="FV12" i="1" s="1"/>
  <c r="FX12" i="1" s="1"/>
  <c r="FQ186" i="1"/>
  <c r="FS186" i="1" s="1"/>
  <c r="FT186" i="1" s="1"/>
  <c r="FU186" i="1" s="1"/>
  <c r="FV186" i="1" s="1"/>
  <c r="FX186" i="1" s="1"/>
  <c r="FQ58" i="1"/>
  <c r="FS58" i="1" s="1"/>
  <c r="FT58" i="1" s="1"/>
  <c r="FU58" i="1" s="1"/>
  <c r="FV58" i="1" s="1"/>
  <c r="FX58" i="1" s="1"/>
  <c r="FR21" i="1"/>
  <c r="FS21" i="1" s="1"/>
  <c r="FT21" i="1" s="1"/>
  <c r="FU21" i="1" s="1"/>
  <c r="FV21" i="1" s="1"/>
  <c r="FX21" i="1" s="1"/>
  <c r="GH75" i="1"/>
  <c r="GI75" i="1" s="1"/>
  <c r="GL268" i="1"/>
  <c r="GM268" i="1" s="1"/>
  <c r="FQ154" i="1"/>
  <c r="FS154" i="1" s="1"/>
  <c r="FT154" i="1" s="1"/>
  <c r="FU154" i="1" s="1"/>
  <c r="FV154" i="1" s="1"/>
  <c r="FX154" i="1" s="1"/>
  <c r="FQ247" i="1"/>
  <c r="FS247" i="1" s="1"/>
  <c r="FT247" i="1" s="1"/>
  <c r="FU247" i="1" s="1"/>
  <c r="FV247" i="1" s="1"/>
  <c r="FX247" i="1" s="1"/>
  <c r="GJ268" i="1"/>
  <c r="GK268" i="1" s="1"/>
  <c r="GF95" i="1"/>
  <c r="GG95" i="1" s="1"/>
  <c r="GN95" i="1"/>
  <c r="GO95" i="1" s="1"/>
  <c r="GL95" i="1"/>
  <c r="GM95" i="1" s="1"/>
  <c r="GQ95" i="1"/>
  <c r="GD141" i="1"/>
  <c r="GE141" i="1" s="1"/>
  <c r="GH269" i="1"/>
  <c r="GI269" i="1" s="1"/>
  <c r="GQ7" i="1"/>
  <c r="GD7" i="1"/>
  <c r="GE7" i="1" s="1"/>
  <c r="GL7" i="1"/>
  <c r="GM7" i="1" s="1"/>
  <c r="GJ7" i="1"/>
  <c r="GK7" i="1" s="1"/>
  <c r="GH7" i="1"/>
  <c r="GI7" i="1" s="1"/>
  <c r="GR7" i="1"/>
  <c r="GT69" i="1"/>
  <c r="GU69" i="1" s="1"/>
  <c r="GV69" i="1" s="1"/>
  <c r="GT269" i="1"/>
  <c r="GU269" i="1" s="1"/>
  <c r="GV269" i="1" s="1"/>
  <c r="GQ269" i="1"/>
  <c r="GD269" i="1"/>
  <c r="GE269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1" i="1"/>
  <c r="FS211" i="1" s="1"/>
  <c r="FT211" i="1" s="1"/>
  <c r="FU211" i="1" s="1"/>
  <c r="FV211" i="1" s="1"/>
  <c r="FX211" i="1" s="1"/>
  <c r="GR25" i="1"/>
  <c r="GL25" i="1"/>
  <c r="GM25" i="1" s="1"/>
  <c r="GH107" i="1"/>
  <c r="GI107" i="1" s="1"/>
  <c r="GJ107" i="1"/>
  <c r="GK107" i="1" s="1"/>
  <c r="GQ137" i="1"/>
  <c r="GQ168" i="1"/>
  <c r="GP134" i="1"/>
  <c r="GH141" i="1"/>
  <c r="GI141" i="1" s="1"/>
  <c r="GJ141" i="1"/>
  <c r="GK141" i="1" s="1"/>
  <c r="GQ141" i="1"/>
  <c r="GF141" i="1"/>
  <c r="GG141" i="1" s="1"/>
  <c r="GR141" i="1"/>
  <c r="GT141" i="1"/>
  <c r="GU141" i="1" s="1"/>
  <c r="GV141" i="1" s="1"/>
  <c r="GQ55" i="1"/>
  <c r="GD52" i="1"/>
  <c r="GE52" i="1" s="1"/>
  <c r="GH52" i="1"/>
  <c r="GI52" i="1" s="1"/>
  <c r="GT55" i="1"/>
  <c r="GU55" i="1" s="1"/>
  <c r="GV55" i="1" s="1"/>
  <c r="GF65" i="1"/>
  <c r="GG65" i="1" s="1"/>
  <c r="GF52" i="1"/>
  <c r="GG52" i="1" s="1"/>
  <c r="GH55" i="1"/>
  <c r="GI55" i="1" s="1"/>
  <c r="GR52" i="1"/>
  <c r="GR55" i="1"/>
  <c r="GT52" i="1"/>
  <c r="GU52" i="1" s="1"/>
  <c r="GV52" i="1" s="1"/>
  <c r="GL55" i="1"/>
  <c r="GM55" i="1" s="1"/>
  <c r="GJ52" i="1"/>
  <c r="GK52" i="1" s="1"/>
  <c r="GJ55" i="1"/>
  <c r="GK55" i="1" s="1"/>
  <c r="GL52" i="1"/>
  <c r="GM52" i="1" s="1"/>
  <c r="GD55" i="1"/>
  <c r="GE55" i="1" s="1"/>
  <c r="GR75" i="1"/>
  <c r="GH81" i="1"/>
  <c r="GI81" i="1" s="1"/>
  <c r="GQ81" i="1"/>
  <c r="FQ26" i="1"/>
  <c r="FS26" i="1" s="1"/>
  <c r="FT26" i="1" s="1"/>
  <c r="FU26" i="1" s="1"/>
  <c r="FV26" i="1" s="1"/>
  <c r="FX26" i="1" s="1"/>
  <c r="GT81" i="1"/>
  <c r="GU81" i="1" s="1"/>
  <c r="GV81" i="1" s="1"/>
  <c r="FQ101" i="1"/>
  <c r="FS101" i="1" s="1"/>
  <c r="FT101" i="1" s="1"/>
  <c r="FU101" i="1" s="1"/>
  <c r="FV101" i="1" s="1"/>
  <c r="FX101" i="1" s="1"/>
  <c r="GJ249" i="1"/>
  <c r="GK249" i="1" s="1"/>
  <c r="GT91" i="1"/>
  <c r="GU91" i="1" s="1"/>
  <c r="GV91" i="1" s="1"/>
  <c r="GH65" i="1"/>
  <c r="GI65" i="1" s="1"/>
  <c r="FQ23" i="1"/>
  <c r="FS23" i="1" s="1"/>
  <c r="FT23" i="1" s="1"/>
  <c r="FU23" i="1" s="1"/>
  <c r="FV23" i="1" s="1"/>
  <c r="FX23" i="1" s="1"/>
  <c r="GQ91" i="1"/>
  <c r="GQ17" i="1"/>
  <c r="GJ168" i="1"/>
  <c r="GK168" i="1" s="1"/>
  <c r="GH268" i="1"/>
  <c r="GI268" i="1" s="1"/>
  <c r="FR265" i="1"/>
  <c r="FS265" i="1" s="1"/>
  <c r="FT265" i="1" s="1"/>
  <c r="FU265" i="1" s="1"/>
  <c r="FV265" i="1" s="1"/>
  <c r="FX265" i="1" s="1"/>
  <c r="GL81" i="1"/>
  <c r="GM81" i="1" s="1"/>
  <c r="GH131" i="1"/>
  <c r="GI131" i="1" s="1"/>
  <c r="GH91" i="1"/>
  <c r="GI91" i="1" s="1"/>
  <c r="GF91" i="1"/>
  <c r="GG91" i="1" s="1"/>
  <c r="GR168" i="1"/>
  <c r="FR19" i="1"/>
  <c r="FS19" i="1" s="1"/>
  <c r="FT19" i="1" s="1"/>
  <c r="FU19" i="1" s="1"/>
  <c r="FV19" i="1" s="1"/>
  <c r="FX19" i="1" s="1"/>
  <c r="GH168" i="1"/>
  <c r="GI168" i="1" s="1"/>
  <c r="GL91" i="1"/>
  <c r="GM91" i="1" s="1"/>
  <c r="GF168" i="1"/>
  <c r="GG168" i="1" s="1"/>
  <c r="GL131" i="1"/>
  <c r="GM131" i="1" s="1"/>
  <c r="GR91" i="1"/>
  <c r="GD168" i="1"/>
  <c r="GE168" i="1" s="1"/>
  <c r="GF268" i="1"/>
  <c r="GG268" i="1" s="1"/>
  <c r="GL168" i="1"/>
  <c r="GM168" i="1" s="1"/>
  <c r="GT131" i="1"/>
  <c r="GU131" i="1" s="1"/>
  <c r="GV131" i="1" s="1"/>
  <c r="GD131" i="1"/>
  <c r="GE131" i="1" s="1"/>
  <c r="FR157" i="1"/>
  <c r="FS157" i="1" s="1"/>
  <c r="FT157" i="1" s="1"/>
  <c r="FU157" i="1" s="1"/>
  <c r="FV157" i="1" s="1"/>
  <c r="FX157" i="1" s="1"/>
  <c r="GF289" i="1"/>
  <c r="GG289" i="1" s="1"/>
  <c r="GD91" i="1"/>
  <c r="GE91" i="1" s="1"/>
  <c r="GD94" i="1"/>
  <c r="GE94" i="1" s="1"/>
  <c r="GL94" i="1"/>
  <c r="GM94" i="1" s="1"/>
  <c r="GQ10" i="1"/>
  <c r="GJ10" i="1"/>
  <c r="GK10" i="1" s="1"/>
  <c r="GT65" i="1"/>
  <c r="GU65" i="1" s="1"/>
  <c r="GV65" i="1" s="1"/>
  <c r="GR94" i="1"/>
  <c r="GF94" i="1"/>
  <c r="GG94" i="1" s="1"/>
  <c r="GH10" i="1"/>
  <c r="GI10" i="1" s="1"/>
  <c r="GQ65" i="1"/>
  <c r="GT94" i="1"/>
  <c r="GU94" i="1" s="1"/>
  <c r="GV94" i="1" s="1"/>
  <c r="GQ94" i="1"/>
  <c r="GR65" i="1"/>
  <c r="GJ94" i="1"/>
  <c r="GK94" i="1" s="1"/>
  <c r="GR10" i="1"/>
  <c r="GD10" i="1"/>
  <c r="GE10" i="1" s="1"/>
  <c r="GT10" i="1"/>
  <c r="GU10" i="1" s="1"/>
  <c r="GV10" i="1" s="1"/>
  <c r="GF10" i="1"/>
  <c r="GG10" i="1" s="1"/>
  <c r="GJ65" i="1"/>
  <c r="GK65" i="1" s="1"/>
  <c r="GD65" i="1"/>
  <c r="GE65" i="1" s="1"/>
  <c r="GQ249" i="1"/>
  <c r="GH17" i="1"/>
  <c r="GI17" i="1" s="1"/>
  <c r="GN17" i="1"/>
  <c r="GO17" i="1" s="1"/>
  <c r="FR30" i="1"/>
  <c r="FS30" i="1" s="1"/>
  <c r="FT30" i="1" s="1"/>
  <c r="FU30" i="1" s="1"/>
  <c r="FV30" i="1" s="1"/>
  <c r="FX30" i="1" s="1"/>
  <c r="GT220" i="1"/>
  <c r="GU220" i="1" s="1"/>
  <c r="GV220" i="1" s="1"/>
  <c r="GR220" i="1"/>
  <c r="GT249" i="1"/>
  <c r="GU249" i="1" s="1"/>
  <c r="GV249" i="1" s="1"/>
  <c r="GJ17" i="1"/>
  <c r="GK17" i="1" s="1"/>
  <c r="GH220" i="1"/>
  <c r="GI220" i="1" s="1"/>
  <c r="GT17" i="1"/>
  <c r="GU17" i="1" s="1"/>
  <c r="GV17" i="1" s="1"/>
  <c r="GL220" i="1"/>
  <c r="GM220" i="1" s="1"/>
  <c r="GR249" i="1"/>
  <c r="GD249" i="1"/>
  <c r="GE249" i="1" s="1"/>
  <c r="GR17" i="1"/>
  <c r="FQ60" i="1"/>
  <c r="FS60" i="1" s="1"/>
  <c r="FT60" i="1" s="1"/>
  <c r="FU60" i="1" s="1"/>
  <c r="FV60" i="1" s="1"/>
  <c r="FX60" i="1" s="1"/>
  <c r="GD220" i="1"/>
  <c r="GE220" i="1" s="1"/>
  <c r="FR51" i="1"/>
  <c r="FS51" i="1" s="1"/>
  <c r="FT51" i="1" s="1"/>
  <c r="FU51" i="1" s="1"/>
  <c r="FV51" i="1" s="1"/>
  <c r="FX51" i="1" s="1"/>
  <c r="GL249" i="1"/>
  <c r="GM249" i="1" s="1"/>
  <c r="GF17" i="1"/>
  <c r="GG17" i="1" s="1"/>
  <c r="GT182" i="1"/>
  <c r="GU182" i="1" s="1"/>
  <c r="GV182" i="1" s="1"/>
  <c r="GJ220" i="1"/>
  <c r="GK220" i="1" s="1"/>
  <c r="GH249" i="1"/>
  <c r="GI249" i="1" s="1"/>
  <c r="GL17" i="1"/>
  <c r="GM17" i="1" s="1"/>
  <c r="GN182" i="1"/>
  <c r="GO182" i="1" s="1"/>
  <c r="GF220" i="1"/>
  <c r="GG220" i="1" s="1"/>
  <c r="GF137" i="1"/>
  <c r="GG137" i="1" s="1"/>
  <c r="GD107" i="1"/>
  <c r="GE107" i="1" s="1"/>
  <c r="GR131" i="1"/>
  <c r="GH289" i="1"/>
  <c r="GI289" i="1" s="1"/>
  <c r="FR11" i="1"/>
  <c r="FS11" i="1" s="1"/>
  <c r="FT11" i="1" s="1"/>
  <c r="FU11" i="1" s="1"/>
  <c r="FV11" i="1" s="1"/>
  <c r="FX11" i="1" s="1"/>
  <c r="FR239" i="1"/>
  <c r="FS239" i="1" s="1"/>
  <c r="FT239" i="1" s="1"/>
  <c r="FU239" i="1" s="1"/>
  <c r="FV239" i="1" s="1"/>
  <c r="FX239" i="1" s="1"/>
  <c r="GJ131" i="1"/>
  <c r="GK131" i="1" s="1"/>
  <c r="GQ131" i="1"/>
  <c r="GL107" i="1"/>
  <c r="GM107" i="1" s="1"/>
  <c r="GR289" i="1"/>
  <c r="GQ289" i="1"/>
  <c r="GJ137" i="1"/>
  <c r="GK137" i="1" s="1"/>
  <c r="GR137" i="1"/>
  <c r="GH137" i="1"/>
  <c r="GI137" i="1" s="1"/>
  <c r="GL137" i="1"/>
  <c r="GM137" i="1" s="1"/>
  <c r="GQ107" i="1"/>
  <c r="GL289" i="1"/>
  <c r="GM289" i="1" s="1"/>
  <c r="GJ289" i="1"/>
  <c r="GK289" i="1" s="1"/>
  <c r="GT137" i="1"/>
  <c r="GU137" i="1" s="1"/>
  <c r="GV137" i="1" s="1"/>
  <c r="FQ215" i="1"/>
  <c r="FS215" i="1" s="1"/>
  <c r="FT215" i="1" s="1"/>
  <c r="FU215" i="1" s="1"/>
  <c r="FV215" i="1" s="1"/>
  <c r="FX215" i="1" s="1"/>
  <c r="GN137" i="1"/>
  <c r="GO137" i="1" s="1"/>
  <c r="GR107" i="1"/>
  <c r="GF107" i="1"/>
  <c r="GG107" i="1" s="1"/>
  <c r="GF144" i="1"/>
  <c r="GG144" i="1" s="1"/>
  <c r="GD289" i="1"/>
  <c r="GE289" i="1" s="1"/>
  <c r="GF284" i="1"/>
  <c r="GG284" i="1" s="1"/>
  <c r="GD69" i="1"/>
  <c r="GE69" i="1" s="1"/>
  <c r="GD110" i="1"/>
  <c r="GE110" i="1" s="1"/>
  <c r="GL110" i="1"/>
  <c r="GM110" i="1" s="1"/>
  <c r="FR256" i="1"/>
  <c r="FS256" i="1" s="1"/>
  <c r="FT256" i="1" s="1"/>
  <c r="FU256" i="1" s="1"/>
  <c r="FV256" i="1" s="1"/>
  <c r="FX256" i="1" s="1"/>
  <c r="FQ20" i="1"/>
  <c r="FS20" i="1" s="1"/>
  <c r="FT20" i="1" s="1"/>
  <c r="FU20" i="1" s="1"/>
  <c r="FV20" i="1" s="1"/>
  <c r="FX20" i="1" s="1"/>
  <c r="FQ212" i="1"/>
  <c r="FS212" i="1" s="1"/>
  <c r="FT212" i="1" s="1"/>
  <c r="FU212" i="1" s="1"/>
  <c r="FV212" i="1" s="1"/>
  <c r="FX212" i="1" s="1"/>
  <c r="GJ75" i="1"/>
  <c r="GK75" i="1" s="1"/>
  <c r="GD75" i="1"/>
  <c r="GE75" i="1" s="1"/>
  <c r="GH69" i="1"/>
  <c r="GI69" i="1" s="1"/>
  <c r="GF69" i="1"/>
  <c r="GG69" i="1" s="1"/>
  <c r="GQ110" i="1"/>
  <c r="GT75" i="1"/>
  <c r="GU75" i="1" s="1"/>
  <c r="GV75" i="1" s="1"/>
  <c r="GF75" i="1"/>
  <c r="GG75" i="1" s="1"/>
  <c r="GJ69" i="1"/>
  <c r="GK69" i="1" s="1"/>
  <c r="GL69" i="1"/>
  <c r="GM69" i="1" s="1"/>
  <c r="FR205" i="1"/>
  <c r="FS205" i="1" s="1"/>
  <c r="FT205" i="1" s="1"/>
  <c r="FU205" i="1" s="1"/>
  <c r="FV205" i="1" s="1"/>
  <c r="FX205" i="1" s="1"/>
  <c r="FQ45" i="1"/>
  <c r="FS45" i="1" s="1"/>
  <c r="FT45" i="1" s="1"/>
  <c r="FU45" i="1" s="1"/>
  <c r="FV45" i="1" s="1"/>
  <c r="FX45" i="1" s="1"/>
  <c r="FR27" i="1"/>
  <c r="FS27" i="1" s="1"/>
  <c r="FT27" i="1" s="1"/>
  <c r="FU27" i="1" s="1"/>
  <c r="FV27" i="1" s="1"/>
  <c r="FX27" i="1" s="1"/>
  <c r="GJ267" i="1"/>
  <c r="GK267" i="1" s="1"/>
  <c r="GF110" i="1"/>
  <c r="GG110" i="1" s="1"/>
  <c r="GH110" i="1"/>
  <c r="GI110" i="1" s="1"/>
  <c r="GL75" i="1"/>
  <c r="GM75" i="1" s="1"/>
  <c r="GQ69" i="1"/>
  <c r="GR110" i="1"/>
  <c r="GT110" i="1"/>
  <c r="GU110" i="1" s="1"/>
  <c r="GV110" i="1" s="1"/>
  <c r="GT268" i="1"/>
  <c r="GU268" i="1" s="1"/>
  <c r="GV268" i="1" s="1"/>
  <c r="GD268" i="1"/>
  <c r="GE268" i="1" s="1"/>
  <c r="GH121" i="1"/>
  <c r="GI121" i="1" s="1"/>
  <c r="GQ268" i="1"/>
  <c r="GJ258" i="1"/>
  <c r="GK258" i="1" s="1"/>
  <c r="GJ161" i="1"/>
  <c r="GK161" i="1" s="1"/>
  <c r="FQ292" i="1"/>
  <c r="FS292" i="1" s="1"/>
  <c r="FT292" i="1" s="1"/>
  <c r="FU292" i="1" s="1"/>
  <c r="FV292" i="1" s="1"/>
  <c r="FX292" i="1" s="1"/>
  <c r="FQ59" i="1"/>
  <c r="FS59" i="1" s="1"/>
  <c r="FT59" i="1" s="1"/>
  <c r="FU59" i="1" s="1"/>
  <c r="FV59" i="1" s="1"/>
  <c r="FX59" i="1" s="1"/>
  <c r="FQ56" i="1"/>
  <c r="FS56" i="1" s="1"/>
  <c r="FT56" i="1" s="1"/>
  <c r="FU56" i="1" s="1"/>
  <c r="FV56" i="1" s="1"/>
  <c r="FX56" i="1" s="1"/>
  <c r="FQ54" i="1"/>
  <c r="FS54" i="1" s="1"/>
  <c r="FT54" i="1" s="1"/>
  <c r="FU54" i="1" s="1"/>
  <c r="FV54" i="1" s="1"/>
  <c r="FX54" i="1" s="1"/>
  <c r="GL121" i="1"/>
  <c r="GM121" i="1" s="1"/>
  <c r="GH41" i="1"/>
  <c r="GI41" i="1" s="1"/>
  <c r="GR161" i="1"/>
  <c r="GD121" i="1"/>
  <c r="GE121" i="1" s="1"/>
  <c r="GJ121" i="1"/>
  <c r="GK121" i="1" s="1"/>
  <c r="GL41" i="1"/>
  <c r="GM41" i="1" s="1"/>
  <c r="GJ41" i="1"/>
  <c r="GK41" i="1" s="1"/>
  <c r="GQ41" i="1"/>
  <c r="FR5" i="1"/>
  <c r="FS5" i="1" s="1"/>
  <c r="FT5" i="1" s="1"/>
  <c r="FU5" i="1" s="1"/>
  <c r="FV5" i="1" s="1"/>
  <c r="FX5" i="1" s="1"/>
  <c r="GT161" i="1"/>
  <c r="GU161" i="1" s="1"/>
  <c r="GV161" i="1" s="1"/>
  <c r="GQ121" i="1"/>
  <c r="GF121" i="1"/>
  <c r="GG121" i="1" s="1"/>
  <c r="GR41" i="1"/>
  <c r="GF41" i="1"/>
  <c r="GG41" i="1" s="1"/>
  <c r="FR219" i="1"/>
  <c r="FS219" i="1" s="1"/>
  <c r="FT219" i="1" s="1"/>
  <c r="FU219" i="1" s="1"/>
  <c r="FV219" i="1" s="1"/>
  <c r="FX219" i="1" s="1"/>
  <c r="GD161" i="1"/>
  <c r="GE161" i="1" s="1"/>
  <c r="FQ210" i="1"/>
  <c r="FS210" i="1" s="1"/>
  <c r="FT210" i="1" s="1"/>
  <c r="FU210" i="1" s="1"/>
  <c r="FV210" i="1" s="1"/>
  <c r="FX210" i="1" s="1"/>
  <c r="GL161" i="1"/>
  <c r="GM161" i="1" s="1"/>
  <c r="GT284" i="1"/>
  <c r="GU284" i="1" s="1"/>
  <c r="GV284" i="1" s="1"/>
  <c r="FQ196" i="1"/>
  <c r="FS196" i="1" s="1"/>
  <c r="FT196" i="1" s="1"/>
  <c r="FU196" i="1" s="1"/>
  <c r="FV196" i="1" s="1"/>
  <c r="FX196" i="1" s="1"/>
  <c r="GR121" i="1"/>
  <c r="GT41" i="1"/>
  <c r="GU41" i="1" s="1"/>
  <c r="GV41" i="1" s="1"/>
  <c r="GQ161" i="1"/>
  <c r="GF161" i="1"/>
  <c r="GG161" i="1" s="1"/>
  <c r="GH284" i="1"/>
  <c r="GI284" i="1" s="1"/>
  <c r="GQ144" i="1"/>
  <c r="FR158" i="1"/>
  <c r="FS158" i="1" s="1"/>
  <c r="FT158" i="1" s="1"/>
  <c r="FU158" i="1" s="1"/>
  <c r="FV158" i="1" s="1"/>
  <c r="FX158" i="1" s="1"/>
  <c r="GJ182" i="1"/>
  <c r="GK182" i="1" s="1"/>
  <c r="GD182" i="1"/>
  <c r="GE182" i="1" s="1"/>
  <c r="GN81" i="1"/>
  <c r="GO81" i="1" s="1"/>
  <c r="GR81" i="1"/>
  <c r="GR182" i="1"/>
  <c r="GL182" i="1"/>
  <c r="GM182" i="1" s="1"/>
  <c r="GH182" i="1"/>
  <c r="GI182" i="1" s="1"/>
  <c r="GD81" i="1"/>
  <c r="GE81" i="1" s="1"/>
  <c r="GH297" i="1"/>
  <c r="GI297" i="1" s="1"/>
  <c r="GF182" i="1"/>
  <c r="GG182" i="1" s="1"/>
  <c r="GL144" i="1"/>
  <c r="GM144" i="1" s="1"/>
  <c r="GR144" i="1"/>
  <c r="GJ144" i="1"/>
  <c r="GK144" i="1" s="1"/>
  <c r="GD284" i="1"/>
  <c r="GE284" i="1" s="1"/>
  <c r="GJ284" i="1"/>
  <c r="GK284" i="1" s="1"/>
  <c r="GQ284" i="1"/>
  <c r="GT144" i="1"/>
  <c r="GU144" i="1" s="1"/>
  <c r="GV144" i="1" s="1"/>
  <c r="GH144" i="1"/>
  <c r="GI144" i="1" s="1"/>
  <c r="GL284" i="1"/>
  <c r="GM284" i="1" s="1"/>
  <c r="GJ81" i="1"/>
  <c r="GK81" i="1" s="1"/>
  <c r="GF267" i="1"/>
  <c r="GG267" i="1" s="1"/>
  <c r="FR66" i="1"/>
  <c r="FS66" i="1" s="1"/>
  <c r="FT66" i="1" s="1"/>
  <c r="FU66" i="1" s="1"/>
  <c r="FV66" i="1" s="1"/>
  <c r="FX66" i="1" s="1"/>
  <c r="GH267" i="1"/>
  <c r="GI267" i="1" s="1"/>
  <c r="GL267" i="1"/>
  <c r="GM267" i="1" s="1"/>
  <c r="GJ244" i="1"/>
  <c r="GK244" i="1" s="1"/>
  <c r="GR267" i="1"/>
  <c r="GQ267" i="1"/>
  <c r="GD267" i="1"/>
  <c r="GE267" i="1" s="1"/>
  <c r="GR105" i="1"/>
  <c r="GL105" i="1"/>
  <c r="GM105" i="1" s="1"/>
  <c r="GH105" i="1"/>
  <c r="GI105" i="1" s="1"/>
  <c r="GD105" i="1"/>
  <c r="GE105" i="1" s="1"/>
  <c r="GJ105" i="1"/>
  <c r="GK105" i="1" s="1"/>
  <c r="GQ233" i="1"/>
  <c r="GT233" i="1"/>
  <c r="GU233" i="1" s="1"/>
  <c r="GV233" i="1" s="1"/>
  <c r="GF233" i="1"/>
  <c r="GG233" i="1" s="1"/>
  <c r="GR233" i="1"/>
  <c r="GJ233" i="1"/>
  <c r="GK233" i="1" s="1"/>
  <c r="GD233" i="1"/>
  <c r="GE233" i="1" s="1"/>
  <c r="GH233" i="1"/>
  <c r="GI233" i="1" s="1"/>
  <c r="GN64" i="1"/>
  <c r="GO64" i="1" s="1"/>
  <c r="GP64" i="1" s="1"/>
  <c r="GS64" i="1" s="1"/>
  <c r="GW64" i="1" s="1"/>
  <c r="GX64" i="1" s="1"/>
  <c r="GY64" i="1" s="1"/>
  <c r="GZ64" i="1" s="1"/>
  <c r="FR99" i="1"/>
  <c r="FS99" i="1" s="1"/>
  <c r="FT99" i="1" s="1"/>
  <c r="FU99" i="1" s="1"/>
  <c r="FV99" i="1" s="1"/>
  <c r="FX99" i="1" s="1"/>
  <c r="GQ258" i="1"/>
  <c r="GF258" i="1"/>
  <c r="GG258" i="1" s="1"/>
  <c r="GT258" i="1"/>
  <c r="GU258" i="1" s="1"/>
  <c r="GV258" i="1" s="1"/>
  <c r="GR258" i="1"/>
  <c r="GH258" i="1"/>
  <c r="GI258" i="1" s="1"/>
  <c r="FQ28" i="1"/>
  <c r="FS28" i="1" s="1"/>
  <c r="FT28" i="1" s="1"/>
  <c r="FU28" i="1" s="1"/>
  <c r="FV28" i="1" s="1"/>
  <c r="FX28" i="1" s="1"/>
  <c r="GD258" i="1"/>
  <c r="GE258" i="1" s="1"/>
  <c r="GD181" i="1"/>
  <c r="GE181" i="1" s="1"/>
  <c r="GR181" i="1"/>
  <c r="GF181" i="1"/>
  <c r="GG181" i="1" s="1"/>
  <c r="GN92" i="1"/>
  <c r="GO92" i="1" s="1"/>
  <c r="GP92" i="1" s="1"/>
  <c r="GS92" i="1" s="1"/>
  <c r="GW92" i="1" s="1"/>
  <c r="GX92" i="1" s="1"/>
  <c r="GY92" i="1" s="1"/>
  <c r="GZ92" i="1" s="1"/>
  <c r="GF297" i="1"/>
  <c r="GG297" i="1" s="1"/>
  <c r="GQ244" i="1"/>
  <c r="GL297" i="1"/>
  <c r="GM297" i="1" s="1"/>
  <c r="GR297" i="1"/>
  <c r="GR244" i="1"/>
  <c r="GH244" i="1"/>
  <c r="GI244" i="1" s="1"/>
  <c r="GN297" i="1"/>
  <c r="GO297" i="1" s="1"/>
  <c r="GF105" i="1"/>
  <c r="GG105" i="1" s="1"/>
  <c r="GT244" i="1"/>
  <c r="GU244" i="1" s="1"/>
  <c r="GV244" i="1" s="1"/>
  <c r="GQ297" i="1"/>
  <c r="GT297" i="1"/>
  <c r="GU297" i="1" s="1"/>
  <c r="GV297" i="1" s="1"/>
  <c r="GQ105" i="1"/>
  <c r="GD244" i="1"/>
  <c r="GE244" i="1" s="1"/>
  <c r="GJ297" i="1"/>
  <c r="GK297" i="1" s="1"/>
  <c r="GL244" i="1"/>
  <c r="GM244" i="1" s="1"/>
  <c r="GN216" i="1"/>
  <c r="GO216" i="1" s="1"/>
  <c r="GP216" i="1" s="1"/>
  <c r="GS216" i="1" s="1"/>
  <c r="GW216" i="1" s="1"/>
  <c r="GX216" i="1" s="1"/>
  <c r="GY216" i="1" s="1"/>
  <c r="GZ216" i="1" s="1"/>
  <c r="FS232" i="1"/>
  <c r="FT232" i="1" s="1"/>
  <c r="FU232" i="1" s="1"/>
  <c r="FV232" i="1" s="1"/>
  <c r="FX232" i="1" s="1"/>
  <c r="GN173" i="1"/>
  <c r="GO173" i="1" s="1"/>
  <c r="GP173" i="1" s="1"/>
  <c r="GS173" i="1" s="1"/>
  <c r="GW173" i="1" s="1"/>
  <c r="GX173" i="1" s="1"/>
  <c r="GY173" i="1" s="1"/>
  <c r="GZ173" i="1" s="1"/>
  <c r="GR180" i="1"/>
  <c r="GF180" i="1"/>
  <c r="GG180" i="1" s="1"/>
  <c r="GH49" i="1"/>
  <c r="GI49" i="1" s="1"/>
  <c r="GT180" i="1"/>
  <c r="GU180" i="1" s="1"/>
  <c r="GV180" i="1" s="1"/>
  <c r="GJ180" i="1"/>
  <c r="GK180" i="1" s="1"/>
  <c r="GQ49" i="1"/>
  <c r="GD180" i="1"/>
  <c r="GE180" i="1" s="1"/>
  <c r="GL180" i="1"/>
  <c r="GM180" i="1" s="1"/>
  <c r="GR49" i="1"/>
  <c r="GL49" i="1"/>
  <c r="GM49" i="1" s="1"/>
  <c r="GQ180" i="1"/>
  <c r="GF49" i="1"/>
  <c r="GG49" i="1" s="1"/>
  <c r="GD49" i="1"/>
  <c r="GE49" i="1" s="1"/>
  <c r="GT49" i="1"/>
  <c r="GU49" i="1" s="1"/>
  <c r="GV49" i="1" s="1"/>
  <c r="FS137" i="1"/>
  <c r="FT137" i="1" s="1"/>
  <c r="FU137" i="1" s="1"/>
  <c r="FV137" i="1" s="1"/>
  <c r="FX137" i="1" s="1"/>
  <c r="GR61" i="1"/>
  <c r="GJ181" i="1"/>
  <c r="GK181" i="1" s="1"/>
  <c r="GT189" i="1"/>
  <c r="GU189" i="1" s="1"/>
  <c r="GV189" i="1" s="1"/>
  <c r="FQ35" i="1"/>
  <c r="FS35" i="1" s="1"/>
  <c r="FT35" i="1" s="1"/>
  <c r="FU35" i="1" s="1"/>
  <c r="FV35" i="1" s="1"/>
  <c r="FX35" i="1" s="1"/>
  <c r="GN212" i="1"/>
  <c r="GO212" i="1" s="1"/>
  <c r="GP212" i="1" s="1"/>
  <c r="GS212" i="1" s="1"/>
  <c r="GW212" i="1" s="1"/>
  <c r="GX212" i="1" s="1"/>
  <c r="GY212" i="1" s="1"/>
  <c r="GZ212" i="1" s="1"/>
  <c r="GH181" i="1"/>
  <c r="GI181" i="1" s="1"/>
  <c r="GQ181" i="1"/>
  <c r="GL61" i="1"/>
  <c r="GM61" i="1" s="1"/>
  <c r="GT181" i="1"/>
  <c r="GU181" i="1" s="1"/>
  <c r="GV181" i="1" s="1"/>
  <c r="GH61" i="1"/>
  <c r="GI61" i="1" s="1"/>
  <c r="GL189" i="1"/>
  <c r="GM189" i="1" s="1"/>
  <c r="GH189" i="1"/>
  <c r="GI189" i="1" s="1"/>
  <c r="GF189" i="1"/>
  <c r="GG189" i="1" s="1"/>
  <c r="GD204" i="1"/>
  <c r="GE204" i="1" s="1"/>
  <c r="GJ189" i="1"/>
  <c r="GK189" i="1" s="1"/>
  <c r="GD189" i="1"/>
  <c r="GE189" i="1" s="1"/>
  <c r="GR204" i="1"/>
  <c r="GR189" i="1"/>
  <c r="GN73" i="1"/>
  <c r="GO73" i="1" s="1"/>
  <c r="GP73" i="1" s="1"/>
  <c r="GS73" i="1" s="1"/>
  <c r="GW73" i="1" s="1"/>
  <c r="GX73" i="1" s="1"/>
  <c r="GY73" i="1" s="1"/>
  <c r="GZ73" i="1" s="1"/>
  <c r="GP152" i="1"/>
  <c r="GS152" i="1" s="1"/>
  <c r="GW152" i="1" s="1"/>
  <c r="GX152" i="1" s="1"/>
  <c r="GY152" i="1" s="1"/>
  <c r="GZ152" i="1" s="1"/>
  <c r="GN176" i="1"/>
  <c r="GO176" i="1" s="1"/>
  <c r="GP176" i="1" s="1"/>
  <c r="GS176" i="1" s="1"/>
  <c r="GW176" i="1" s="1"/>
  <c r="GX176" i="1" s="1"/>
  <c r="GY176" i="1" s="1"/>
  <c r="GZ176" i="1" s="1"/>
  <c r="GN208" i="1"/>
  <c r="GO208" i="1" s="1"/>
  <c r="GP208" i="1" s="1"/>
  <c r="GS208" i="1" s="1"/>
  <c r="GW208" i="1" s="1"/>
  <c r="GX208" i="1" s="1"/>
  <c r="GY208" i="1" s="1"/>
  <c r="GZ208" i="1" s="1"/>
  <c r="FS197" i="1"/>
  <c r="FT197" i="1" s="1"/>
  <c r="FU197" i="1" s="1"/>
  <c r="FV197" i="1" s="1"/>
  <c r="FX197" i="1" s="1"/>
  <c r="GN82" i="1"/>
  <c r="GO82" i="1" s="1"/>
  <c r="GP82" i="1" s="1"/>
  <c r="GS82" i="1" s="1"/>
  <c r="GW82" i="1" s="1"/>
  <c r="GX82" i="1" s="1"/>
  <c r="GY82" i="1" s="1"/>
  <c r="GZ82" i="1" s="1"/>
  <c r="GT204" i="1"/>
  <c r="GU204" i="1" s="1"/>
  <c r="GV204" i="1" s="1"/>
  <c r="GQ4" i="1"/>
  <c r="GJ4" i="1"/>
  <c r="GK4" i="1" s="1"/>
  <c r="GJ204" i="1"/>
  <c r="GK204" i="1" s="1"/>
  <c r="GF204" i="1"/>
  <c r="GG204" i="1" s="1"/>
  <c r="GN109" i="1"/>
  <c r="GO109" i="1" s="1"/>
  <c r="GP109" i="1" s="1"/>
  <c r="GS109" i="1" s="1"/>
  <c r="GW109" i="1" s="1"/>
  <c r="GX109" i="1" s="1"/>
  <c r="GY109" i="1" s="1"/>
  <c r="GZ109" i="1" s="1"/>
  <c r="GP11" i="1"/>
  <c r="GS11" i="1" s="1"/>
  <c r="GW11" i="1" s="1"/>
  <c r="GX11" i="1" s="1"/>
  <c r="GY11" i="1" s="1"/>
  <c r="GZ11" i="1" s="1"/>
  <c r="GN204" i="1"/>
  <c r="GO204" i="1" s="1"/>
  <c r="GQ204" i="1"/>
  <c r="GN294" i="1"/>
  <c r="GO294" i="1" s="1"/>
  <c r="GP294" i="1" s="1"/>
  <c r="GS294" i="1" s="1"/>
  <c r="GW294" i="1" s="1"/>
  <c r="GX294" i="1" s="1"/>
  <c r="GY294" i="1" s="1"/>
  <c r="GZ294" i="1" s="1"/>
  <c r="GL204" i="1"/>
  <c r="GM204" i="1" s="1"/>
  <c r="GN288" i="1"/>
  <c r="GO288" i="1" s="1"/>
  <c r="GP288" i="1" s="1"/>
  <c r="GS288" i="1" s="1"/>
  <c r="GW288" i="1" s="1"/>
  <c r="GX288" i="1" s="1"/>
  <c r="GY288" i="1" s="1"/>
  <c r="GZ288" i="1" s="1"/>
  <c r="GN115" i="1"/>
  <c r="GO115" i="1" s="1"/>
  <c r="GP115" i="1" s="1"/>
  <c r="GS115" i="1" s="1"/>
  <c r="GW115" i="1" s="1"/>
  <c r="GX115" i="1" s="1"/>
  <c r="GY115" i="1" s="1"/>
  <c r="GZ115" i="1" s="1"/>
  <c r="GN170" i="1"/>
  <c r="GO170" i="1" s="1"/>
  <c r="GP170" i="1" s="1"/>
  <c r="GS170" i="1" s="1"/>
  <c r="GW170" i="1" s="1"/>
  <c r="GX170" i="1" s="1"/>
  <c r="GY170" i="1" s="1"/>
  <c r="GZ170" i="1" s="1"/>
  <c r="GN98" i="1"/>
  <c r="GO98" i="1" s="1"/>
  <c r="GP98" i="1" s="1"/>
  <c r="GS98" i="1" s="1"/>
  <c r="GW98" i="1" s="1"/>
  <c r="GX98" i="1" s="1"/>
  <c r="GY98" i="1" s="1"/>
  <c r="GZ98" i="1" s="1"/>
  <c r="GN63" i="1"/>
  <c r="GO63" i="1" s="1"/>
  <c r="GP63" i="1" s="1"/>
  <c r="GS63" i="1" s="1"/>
  <c r="GW63" i="1" s="1"/>
  <c r="GX63" i="1" s="1"/>
  <c r="GY63" i="1" s="1"/>
  <c r="GZ63" i="1" s="1"/>
  <c r="GD206" i="1"/>
  <c r="GE206" i="1" s="1"/>
  <c r="GR206" i="1"/>
  <c r="GF206" i="1"/>
  <c r="GG206" i="1" s="1"/>
  <c r="GJ206" i="1"/>
  <c r="GK206" i="1" s="1"/>
  <c r="GQ206" i="1"/>
  <c r="GH206" i="1"/>
  <c r="GI206" i="1" s="1"/>
  <c r="GT206" i="1"/>
  <c r="GU206" i="1" s="1"/>
  <c r="GV206" i="1" s="1"/>
  <c r="GN200" i="1"/>
  <c r="GO200" i="1" s="1"/>
  <c r="GP200" i="1" s="1"/>
  <c r="GS200" i="1" s="1"/>
  <c r="GW200" i="1" s="1"/>
  <c r="GX200" i="1" s="1"/>
  <c r="GY200" i="1" s="1"/>
  <c r="GZ200" i="1" s="1"/>
  <c r="GP96" i="1"/>
  <c r="GS96" i="1" s="1"/>
  <c r="GW96" i="1" s="1"/>
  <c r="GX96" i="1" s="1"/>
  <c r="GY96" i="1" s="1"/>
  <c r="GZ96" i="1" s="1"/>
  <c r="GN185" i="1"/>
  <c r="GO185" i="1" s="1"/>
  <c r="GP185" i="1" s="1"/>
  <c r="GS185" i="1" s="1"/>
  <c r="GW185" i="1" s="1"/>
  <c r="GX185" i="1" s="1"/>
  <c r="GY185" i="1" s="1"/>
  <c r="GZ185" i="1" s="1"/>
  <c r="GN154" i="1"/>
  <c r="GO154" i="1" s="1"/>
  <c r="GP154" i="1" s="1"/>
  <c r="GS154" i="1" s="1"/>
  <c r="GW154" i="1" s="1"/>
  <c r="GX154" i="1" s="1"/>
  <c r="GY154" i="1" s="1"/>
  <c r="GZ154" i="1" s="1"/>
  <c r="GN9" i="1"/>
  <c r="GO9" i="1" s="1"/>
  <c r="GP9" i="1" s="1"/>
  <c r="GS9" i="1" s="1"/>
  <c r="GW9" i="1" s="1"/>
  <c r="GX9" i="1" s="1"/>
  <c r="GY9" i="1" s="1"/>
  <c r="GZ9" i="1" s="1"/>
  <c r="FS178" i="1"/>
  <c r="FT178" i="1" s="1"/>
  <c r="FU178" i="1" s="1"/>
  <c r="FV178" i="1" s="1"/>
  <c r="FX178" i="1" s="1"/>
  <c r="GN113" i="1"/>
  <c r="GO113" i="1" s="1"/>
  <c r="GP113" i="1" s="1"/>
  <c r="GS113" i="1" s="1"/>
  <c r="GW113" i="1" s="1"/>
  <c r="GX113" i="1" s="1"/>
  <c r="GY113" i="1" s="1"/>
  <c r="GZ113" i="1" s="1"/>
  <c r="GT61" i="1"/>
  <c r="GU61" i="1" s="1"/>
  <c r="GV61" i="1" s="1"/>
  <c r="GN165" i="1"/>
  <c r="GO165" i="1" s="1"/>
  <c r="GP165" i="1" s="1"/>
  <c r="GS165" i="1" s="1"/>
  <c r="GW165" i="1" s="1"/>
  <c r="GX165" i="1" s="1"/>
  <c r="GY165" i="1" s="1"/>
  <c r="GZ165" i="1" s="1"/>
  <c r="GF61" i="1"/>
  <c r="GG61" i="1" s="1"/>
  <c r="GN290" i="1"/>
  <c r="GO290" i="1" s="1"/>
  <c r="GP290" i="1" s="1"/>
  <c r="GS290" i="1" s="1"/>
  <c r="GW290" i="1" s="1"/>
  <c r="GX290" i="1" s="1"/>
  <c r="GY290" i="1" s="1"/>
  <c r="GZ290" i="1" s="1"/>
  <c r="GN223" i="1"/>
  <c r="GO223" i="1" s="1"/>
  <c r="GP223" i="1" s="1"/>
  <c r="GS223" i="1" s="1"/>
  <c r="GW223" i="1" s="1"/>
  <c r="GX223" i="1" s="1"/>
  <c r="GY223" i="1" s="1"/>
  <c r="GZ223" i="1" s="1"/>
  <c r="GN19" i="1"/>
  <c r="GO19" i="1" s="1"/>
  <c r="GP19" i="1" s="1"/>
  <c r="GS19" i="1" s="1"/>
  <c r="GW19" i="1" s="1"/>
  <c r="GX19" i="1" s="1"/>
  <c r="GY19" i="1" s="1"/>
  <c r="GZ19" i="1" s="1"/>
  <c r="GJ61" i="1"/>
  <c r="GK61" i="1" s="1"/>
  <c r="GQ61" i="1"/>
  <c r="GN195" i="1"/>
  <c r="GO195" i="1" s="1"/>
  <c r="GP195" i="1" s="1"/>
  <c r="GS195" i="1" s="1"/>
  <c r="GW195" i="1" s="1"/>
  <c r="GX195" i="1" s="1"/>
  <c r="GY195" i="1" s="1"/>
  <c r="GZ195" i="1" s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GN257" i="1"/>
  <c r="GO257" i="1" s="1"/>
  <c r="GP257" i="1" s="1"/>
  <c r="GS257" i="1" s="1"/>
  <c r="GW257" i="1" s="1"/>
  <c r="GX257" i="1" s="1"/>
  <c r="GY257" i="1" s="1"/>
  <c r="GZ257" i="1" s="1"/>
  <c r="FS182" i="1"/>
  <c r="FT182" i="1" s="1"/>
  <c r="FU182" i="1" s="1"/>
  <c r="FV182" i="1" s="1"/>
  <c r="FX182" i="1" s="1"/>
  <c r="GN138" i="1"/>
  <c r="GO138" i="1" s="1"/>
  <c r="GP138" i="1" s="1"/>
  <c r="GS138" i="1" s="1"/>
  <c r="GW138" i="1" s="1"/>
  <c r="GX138" i="1" s="1"/>
  <c r="GY138" i="1" s="1"/>
  <c r="GZ138" i="1" s="1"/>
  <c r="FS100" i="1"/>
  <c r="FT100" i="1" s="1"/>
  <c r="FU100" i="1" s="1"/>
  <c r="FV100" i="1" s="1"/>
  <c r="FX100" i="1" s="1"/>
  <c r="GF4" i="1"/>
  <c r="GG4" i="1" s="1"/>
  <c r="GT4" i="1"/>
  <c r="GU4" i="1" s="1"/>
  <c r="GV4" i="1" s="1"/>
  <c r="GL4" i="1"/>
  <c r="GM4" i="1" s="1"/>
  <c r="GH4" i="1"/>
  <c r="GI4" i="1" s="1"/>
  <c r="GD4" i="1"/>
  <c r="GE4" i="1" s="1"/>
  <c r="GN112" i="1"/>
  <c r="GO112" i="1" s="1"/>
  <c r="GP112" i="1" s="1"/>
  <c r="GS112" i="1" s="1"/>
  <c r="GW112" i="1" s="1"/>
  <c r="GX112" i="1" s="1"/>
  <c r="GY112" i="1" s="1"/>
  <c r="GZ112" i="1" s="1"/>
  <c r="GH196" i="1"/>
  <c r="GI196" i="1" s="1"/>
  <c r="GL196" i="1"/>
  <c r="GM196" i="1" s="1"/>
  <c r="GT196" i="1"/>
  <c r="GU196" i="1" s="1"/>
  <c r="GV196" i="1" s="1"/>
  <c r="GD196" i="1"/>
  <c r="GE196" i="1" s="1"/>
  <c r="GQ196" i="1"/>
  <c r="GF196" i="1"/>
  <c r="GG196" i="1" s="1"/>
  <c r="GR196" i="1"/>
  <c r="GJ196" i="1"/>
  <c r="GK196" i="1" s="1"/>
  <c r="GN20" i="1"/>
  <c r="GO20" i="1" s="1"/>
  <c r="GP20" i="1" s="1"/>
  <c r="GS20" i="1" s="1"/>
  <c r="GW20" i="1" s="1"/>
  <c r="GX20" i="1" s="1"/>
  <c r="GY20" i="1" s="1"/>
  <c r="GZ20" i="1" s="1"/>
  <c r="GN15" i="1"/>
  <c r="GO15" i="1" s="1"/>
  <c r="GP15" i="1" s="1"/>
  <c r="GS15" i="1" s="1"/>
  <c r="GW15" i="1" s="1"/>
  <c r="GX15" i="1" s="1"/>
  <c r="GY15" i="1" s="1"/>
  <c r="GZ15" i="1" s="1"/>
  <c r="FS254" i="1"/>
  <c r="FT254" i="1" s="1"/>
  <c r="FU254" i="1" s="1"/>
  <c r="FV254" i="1" s="1"/>
  <c r="FX254" i="1" s="1"/>
  <c r="FS141" i="1"/>
  <c r="FT141" i="1" s="1"/>
  <c r="FU141" i="1" s="1"/>
  <c r="FV141" i="1" s="1"/>
  <c r="FX141" i="1" s="1"/>
  <c r="FS227" i="1"/>
  <c r="FT227" i="1" s="1"/>
  <c r="FU227" i="1" s="1"/>
  <c r="FV227" i="1" s="1"/>
  <c r="FX227" i="1" s="1"/>
  <c r="FS289" i="1"/>
  <c r="FT289" i="1" s="1"/>
  <c r="FU289" i="1" s="1"/>
  <c r="FV289" i="1" s="1"/>
  <c r="FX289" i="1" s="1"/>
  <c r="FS220" i="1"/>
  <c r="FT220" i="1" s="1"/>
  <c r="FU220" i="1" s="1"/>
  <c r="FV220" i="1" s="1"/>
  <c r="FX220" i="1" s="1"/>
  <c r="GN140" i="1"/>
  <c r="GO140" i="1" s="1"/>
  <c r="GP140" i="1" s="1"/>
  <c r="GS140" i="1" s="1"/>
  <c r="GW140" i="1" s="1"/>
  <c r="GX140" i="1" s="1"/>
  <c r="GY140" i="1" s="1"/>
  <c r="GZ140" i="1" s="1"/>
  <c r="GN62" i="1"/>
  <c r="GO62" i="1" s="1"/>
  <c r="GP62" i="1" s="1"/>
  <c r="GS62" i="1" s="1"/>
  <c r="GW62" i="1" s="1"/>
  <c r="GX62" i="1" s="1"/>
  <c r="GY62" i="1" s="1"/>
  <c r="GZ62" i="1" s="1"/>
  <c r="GN300" i="1"/>
  <c r="GO300" i="1" s="1"/>
  <c r="GP300" i="1" s="1"/>
  <c r="GS300" i="1" s="1"/>
  <c r="GW300" i="1" s="1"/>
  <c r="GX300" i="1" s="1"/>
  <c r="GY300" i="1" s="1"/>
  <c r="GZ300" i="1" s="1"/>
  <c r="GL66" i="1"/>
  <c r="GM66" i="1" s="1"/>
  <c r="GR66" i="1"/>
  <c r="GQ66" i="1"/>
  <c r="GH66" i="1"/>
  <c r="GI66" i="1" s="1"/>
  <c r="GD66" i="1"/>
  <c r="GE66" i="1" s="1"/>
  <c r="GJ66" i="1"/>
  <c r="GK66" i="1" s="1"/>
  <c r="GF66" i="1"/>
  <c r="GG66" i="1" s="1"/>
  <c r="GT66" i="1"/>
  <c r="GU66" i="1" s="1"/>
  <c r="GV66" i="1" s="1"/>
  <c r="GN304" i="1"/>
  <c r="GO304" i="1" s="1"/>
  <c r="GP304" i="1" s="1"/>
  <c r="GS304" i="1" s="1"/>
  <c r="GW304" i="1" s="1"/>
  <c r="GX304" i="1" s="1"/>
  <c r="GY304" i="1" s="1"/>
  <c r="GZ304" i="1" s="1"/>
  <c r="GL45" i="1"/>
  <c r="GM45" i="1" s="1"/>
  <c r="GJ45" i="1"/>
  <c r="GK45" i="1" s="1"/>
  <c r="GD45" i="1"/>
  <c r="GE45" i="1" s="1"/>
  <c r="GT45" i="1"/>
  <c r="GU45" i="1" s="1"/>
  <c r="GV45" i="1" s="1"/>
  <c r="GQ45" i="1"/>
  <c r="GR45" i="1"/>
  <c r="GF45" i="1"/>
  <c r="GG45" i="1" s="1"/>
  <c r="GH45" i="1"/>
  <c r="GI45" i="1" s="1"/>
  <c r="FS238" i="1"/>
  <c r="FT238" i="1" s="1"/>
  <c r="FU238" i="1" s="1"/>
  <c r="FV238" i="1" s="1"/>
  <c r="FX238" i="1" s="1"/>
  <c r="FS257" i="1"/>
  <c r="FT257" i="1" s="1"/>
  <c r="FU257" i="1" s="1"/>
  <c r="FV257" i="1" s="1"/>
  <c r="FX257" i="1" s="1"/>
  <c r="GN184" i="1"/>
  <c r="GO184" i="1" s="1"/>
  <c r="GP184" i="1" s="1"/>
  <c r="GS184" i="1" s="1"/>
  <c r="GW184" i="1" s="1"/>
  <c r="GX184" i="1" s="1"/>
  <c r="GY184" i="1" s="1"/>
  <c r="GZ184" i="1" s="1"/>
  <c r="GN229" i="1"/>
  <c r="GO229" i="1" s="1"/>
  <c r="GP229" i="1" s="1"/>
  <c r="GS229" i="1" s="1"/>
  <c r="GW229" i="1" s="1"/>
  <c r="GX229" i="1" s="1"/>
  <c r="GY229" i="1" s="1"/>
  <c r="GZ229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P254" i="1" l="1"/>
  <c r="GS254" i="1" s="1"/>
  <c r="GW254" i="1" s="1"/>
  <c r="GX254" i="1" s="1"/>
  <c r="GY254" i="1" s="1"/>
  <c r="GZ254" i="1" s="1"/>
  <c r="GE6" i="1"/>
  <c r="GN6" i="1"/>
  <c r="GO6" i="1" s="1"/>
  <c r="GP6" i="1" s="1"/>
  <c r="GS6" i="1" s="1"/>
  <c r="GW6" i="1" s="1"/>
  <c r="GX6" i="1" s="1"/>
  <c r="GY6" i="1" s="1"/>
  <c r="GZ6" i="1" s="1"/>
  <c r="GE211" i="1"/>
  <c r="GN211" i="1"/>
  <c r="GO211" i="1" s="1"/>
  <c r="GP211" i="1" s="1"/>
  <c r="GS211" i="1" s="1"/>
  <c r="GW211" i="1" s="1"/>
  <c r="GX211" i="1" s="1"/>
  <c r="GY211" i="1" s="1"/>
  <c r="GZ211" i="1" s="1"/>
  <c r="GE88" i="1"/>
  <c r="GN88" i="1"/>
  <c r="GO88" i="1" s="1"/>
  <c r="GE47" i="1"/>
  <c r="GN47" i="1"/>
  <c r="GO47" i="1" s="1"/>
  <c r="GP47" i="1" s="1"/>
  <c r="GS47" i="1" s="1"/>
  <c r="GW47" i="1" s="1"/>
  <c r="GX47" i="1" s="1"/>
  <c r="GY47" i="1" s="1"/>
  <c r="GZ47" i="1" s="1"/>
  <c r="GE226" i="1"/>
  <c r="GN226" i="1"/>
  <c r="GO226" i="1" s="1"/>
  <c r="GP226" i="1" s="1"/>
  <c r="GS226" i="1" s="1"/>
  <c r="GW226" i="1" s="1"/>
  <c r="GX226" i="1" s="1"/>
  <c r="GY226" i="1" s="1"/>
  <c r="GZ226" i="1" s="1"/>
  <c r="GE50" i="1"/>
  <c r="GN50" i="1"/>
  <c r="GO50" i="1" s="1"/>
  <c r="GP50" i="1" s="1"/>
  <c r="GS50" i="1" s="1"/>
  <c r="GW50" i="1" s="1"/>
  <c r="GX50" i="1" s="1"/>
  <c r="GY50" i="1" s="1"/>
  <c r="GZ50" i="1" s="1"/>
  <c r="GE135" i="1"/>
  <c r="GN135" i="1"/>
  <c r="GO135" i="1" s="1"/>
  <c r="GP135" i="1" s="1"/>
  <c r="GS135" i="1" s="1"/>
  <c r="GW135" i="1" s="1"/>
  <c r="GX135" i="1" s="1"/>
  <c r="GY135" i="1" s="1"/>
  <c r="GZ135" i="1" s="1"/>
  <c r="GE273" i="1"/>
  <c r="GN273" i="1"/>
  <c r="GO273" i="1" s="1"/>
  <c r="GP273" i="1" s="1"/>
  <c r="GS273" i="1" s="1"/>
  <c r="GW273" i="1" s="1"/>
  <c r="GX273" i="1" s="1"/>
  <c r="GY273" i="1" s="1"/>
  <c r="GZ273" i="1" s="1"/>
  <c r="GE60" i="1"/>
  <c r="GN60" i="1"/>
  <c r="GO60" i="1" s="1"/>
  <c r="GP60" i="1" s="1"/>
  <c r="GS60" i="1" s="1"/>
  <c r="GW60" i="1" s="1"/>
  <c r="GX60" i="1" s="1"/>
  <c r="GY60" i="1" s="1"/>
  <c r="GZ60" i="1" s="1"/>
  <c r="GE292" i="1"/>
  <c r="GN292" i="1"/>
  <c r="GO292" i="1" s="1"/>
  <c r="GP292" i="1" s="1"/>
  <c r="GS292" i="1" s="1"/>
  <c r="GW292" i="1" s="1"/>
  <c r="GX292" i="1" s="1"/>
  <c r="GY292" i="1" s="1"/>
  <c r="GZ292" i="1" s="1"/>
  <c r="GE159" i="1"/>
  <c r="GN159" i="1"/>
  <c r="GO159" i="1" s="1"/>
  <c r="GP159" i="1" s="1"/>
  <c r="GS159" i="1" s="1"/>
  <c r="GW159" i="1" s="1"/>
  <c r="GX159" i="1" s="1"/>
  <c r="GY159" i="1" s="1"/>
  <c r="GZ159" i="1" s="1"/>
  <c r="GE302" i="1"/>
  <c r="GN302" i="1"/>
  <c r="GO302" i="1" s="1"/>
  <c r="GP302" i="1" s="1"/>
  <c r="GS302" i="1" s="1"/>
  <c r="GW302" i="1" s="1"/>
  <c r="GX302" i="1" s="1"/>
  <c r="GY302" i="1" s="1"/>
  <c r="GZ302" i="1" s="1"/>
  <c r="GE28" i="1"/>
  <c r="GN28" i="1"/>
  <c r="GO28" i="1" s="1"/>
  <c r="GP28" i="1" s="1"/>
  <c r="GS28" i="1" s="1"/>
  <c r="GW28" i="1" s="1"/>
  <c r="GX28" i="1" s="1"/>
  <c r="GY28" i="1" s="1"/>
  <c r="GZ28" i="1" s="1"/>
  <c r="GE74" i="1"/>
  <c r="GN74" i="1"/>
  <c r="GO74" i="1" s="1"/>
  <c r="GP74" i="1" s="1"/>
  <c r="GS74" i="1" s="1"/>
  <c r="GW74" i="1" s="1"/>
  <c r="GX74" i="1" s="1"/>
  <c r="GY74" i="1" s="1"/>
  <c r="GZ74" i="1" s="1"/>
  <c r="GE57" i="1"/>
  <c r="GN57" i="1"/>
  <c r="GO57" i="1" s="1"/>
  <c r="GP57" i="1" s="1"/>
  <c r="GS57" i="1" s="1"/>
  <c r="GW57" i="1" s="1"/>
  <c r="GX57" i="1" s="1"/>
  <c r="GY57" i="1" s="1"/>
  <c r="GZ57" i="1" s="1"/>
  <c r="GE203" i="1"/>
  <c r="GN203" i="1"/>
  <c r="GO203" i="1" s="1"/>
  <c r="GP203" i="1" s="1"/>
  <c r="GS203" i="1" s="1"/>
  <c r="GW203" i="1" s="1"/>
  <c r="GX203" i="1" s="1"/>
  <c r="GY203" i="1" s="1"/>
  <c r="GZ203" i="1" s="1"/>
  <c r="GE31" i="1"/>
  <c r="GN31" i="1"/>
  <c r="GO31" i="1" s="1"/>
  <c r="GP31" i="1" s="1"/>
  <c r="GS31" i="1" s="1"/>
  <c r="GW31" i="1" s="1"/>
  <c r="GX31" i="1" s="1"/>
  <c r="GY31" i="1" s="1"/>
  <c r="GZ31" i="1" s="1"/>
  <c r="GE276" i="1"/>
  <c r="GN276" i="1"/>
  <c r="GO276" i="1" s="1"/>
  <c r="GP276" i="1" s="1"/>
  <c r="GS276" i="1" s="1"/>
  <c r="GW276" i="1" s="1"/>
  <c r="GX276" i="1" s="1"/>
  <c r="GY276" i="1" s="1"/>
  <c r="GZ276" i="1" s="1"/>
  <c r="GL242" i="1"/>
  <c r="GM242" i="1" s="1"/>
  <c r="GE242" i="1"/>
  <c r="GE35" i="1"/>
  <c r="GN35" i="1"/>
  <c r="GO35" i="1" s="1"/>
  <c r="GP35" i="1" s="1"/>
  <c r="GS35" i="1" s="1"/>
  <c r="GW35" i="1" s="1"/>
  <c r="GX35" i="1" s="1"/>
  <c r="GY35" i="1" s="1"/>
  <c r="GZ35" i="1" s="1"/>
  <c r="GE213" i="1"/>
  <c r="GN213" i="1"/>
  <c r="GO213" i="1" s="1"/>
  <c r="GP213" i="1" s="1"/>
  <c r="GS213" i="1" s="1"/>
  <c r="GW213" i="1" s="1"/>
  <c r="GX213" i="1" s="1"/>
  <c r="GY213" i="1" s="1"/>
  <c r="GZ213" i="1" s="1"/>
  <c r="GE150" i="1"/>
  <c r="GN150" i="1"/>
  <c r="GO150" i="1" s="1"/>
  <c r="GP150" i="1" s="1"/>
  <c r="GS150" i="1" s="1"/>
  <c r="GW150" i="1" s="1"/>
  <c r="GX150" i="1" s="1"/>
  <c r="GY150" i="1" s="1"/>
  <c r="GZ150" i="1" s="1"/>
  <c r="GE255" i="1"/>
  <c r="GN255" i="1"/>
  <c r="GO255" i="1" s="1"/>
  <c r="GP255" i="1" s="1"/>
  <c r="GS255" i="1" s="1"/>
  <c r="GW255" i="1" s="1"/>
  <c r="GX255" i="1" s="1"/>
  <c r="GY255" i="1" s="1"/>
  <c r="GZ255" i="1" s="1"/>
  <c r="GE299" i="1"/>
  <c r="GN299" i="1"/>
  <c r="GO299" i="1" s="1"/>
  <c r="GP299" i="1" s="1"/>
  <c r="GS299" i="1" s="1"/>
  <c r="GW299" i="1" s="1"/>
  <c r="GX299" i="1" s="1"/>
  <c r="GY299" i="1" s="1"/>
  <c r="GZ299" i="1" s="1"/>
  <c r="GE27" i="1"/>
  <c r="GN27" i="1"/>
  <c r="GO27" i="1" s="1"/>
  <c r="GP27" i="1" s="1"/>
  <c r="GS27" i="1" s="1"/>
  <c r="GW27" i="1" s="1"/>
  <c r="GX27" i="1" s="1"/>
  <c r="GY27" i="1" s="1"/>
  <c r="GZ27" i="1" s="1"/>
  <c r="GE156" i="1"/>
  <c r="GN156" i="1"/>
  <c r="GO156" i="1" s="1"/>
  <c r="GP156" i="1" s="1"/>
  <c r="GS156" i="1" s="1"/>
  <c r="GW156" i="1" s="1"/>
  <c r="GX156" i="1" s="1"/>
  <c r="GY156" i="1" s="1"/>
  <c r="GZ156" i="1" s="1"/>
  <c r="GE139" i="1"/>
  <c r="GN139" i="1"/>
  <c r="GO139" i="1" s="1"/>
  <c r="GP139" i="1" s="1"/>
  <c r="GS139" i="1" s="1"/>
  <c r="GW139" i="1" s="1"/>
  <c r="GX139" i="1" s="1"/>
  <c r="GY139" i="1" s="1"/>
  <c r="GZ139" i="1" s="1"/>
  <c r="GE298" i="1"/>
  <c r="GN298" i="1"/>
  <c r="GO298" i="1" s="1"/>
  <c r="GP298" i="1" s="1"/>
  <c r="GS298" i="1" s="1"/>
  <c r="GW298" i="1" s="1"/>
  <c r="GX298" i="1" s="1"/>
  <c r="GY298" i="1" s="1"/>
  <c r="GZ298" i="1" s="1"/>
  <c r="GE157" i="1"/>
  <c r="GN157" i="1"/>
  <c r="GO157" i="1" s="1"/>
  <c r="GP157" i="1" s="1"/>
  <c r="GS157" i="1" s="1"/>
  <c r="GW157" i="1" s="1"/>
  <c r="GX157" i="1" s="1"/>
  <c r="GY157" i="1" s="1"/>
  <c r="GZ157" i="1" s="1"/>
  <c r="GE293" i="1"/>
  <c r="GN293" i="1"/>
  <c r="GO293" i="1" s="1"/>
  <c r="GP293" i="1" s="1"/>
  <c r="GS293" i="1" s="1"/>
  <c r="GW293" i="1" s="1"/>
  <c r="GX293" i="1" s="1"/>
  <c r="GY293" i="1" s="1"/>
  <c r="GZ293" i="1" s="1"/>
  <c r="GE77" i="1"/>
  <c r="GN77" i="1"/>
  <c r="GO77" i="1" s="1"/>
  <c r="GP77" i="1" s="1"/>
  <c r="GS77" i="1" s="1"/>
  <c r="GW77" i="1" s="1"/>
  <c r="GX77" i="1" s="1"/>
  <c r="GY77" i="1" s="1"/>
  <c r="GZ77" i="1" s="1"/>
  <c r="GE215" i="1"/>
  <c r="GN215" i="1"/>
  <c r="GO215" i="1" s="1"/>
  <c r="GP215" i="1" s="1"/>
  <c r="GS215" i="1" s="1"/>
  <c r="GW215" i="1" s="1"/>
  <c r="GX215" i="1" s="1"/>
  <c r="GY215" i="1" s="1"/>
  <c r="GZ215" i="1" s="1"/>
  <c r="GP282" i="1"/>
  <c r="GS282" i="1" s="1"/>
  <c r="GW282" i="1" s="1"/>
  <c r="GX282" i="1" s="1"/>
  <c r="GY282" i="1" s="1"/>
  <c r="GZ282" i="1" s="1"/>
  <c r="GP21" i="1"/>
  <c r="GS21" i="1" s="1"/>
  <c r="GW21" i="1" s="1"/>
  <c r="GX21" i="1" s="1"/>
  <c r="GY21" i="1" s="1"/>
  <c r="GZ21" i="1" s="1"/>
  <c r="GP68" i="1"/>
  <c r="GS68" i="1" s="1"/>
  <c r="GW68" i="1" s="1"/>
  <c r="GX68" i="1" s="1"/>
  <c r="GY68" i="1" s="1"/>
  <c r="GZ68" i="1" s="1"/>
  <c r="GP38" i="1"/>
  <c r="GS38" i="1" s="1"/>
  <c r="GW38" i="1" s="1"/>
  <c r="GX38" i="1" s="1"/>
  <c r="GY38" i="1" s="1"/>
  <c r="GZ38" i="1" s="1"/>
  <c r="GP42" i="1"/>
  <c r="GS42" i="1" s="1"/>
  <c r="GW42" i="1" s="1"/>
  <c r="GX42" i="1" s="1"/>
  <c r="GY42" i="1" s="1"/>
  <c r="GZ42" i="1" s="1"/>
  <c r="FS65" i="1"/>
  <c r="FT65" i="1" s="1"/>
  <c r="FU65" i="1" s="1"/>
  <c r="FV65" i="1" s="1"/>
  <c r="FX65" i="1" s="1"/>
  <c r="GP193" i="1"/>
  <c r="GS193" i="1" s="1"/>
  <c r="GW193" i="1" s="1"/>
  <c r="GX193" i="1" s="1"/>
  <c r="GY193" i="1" s="1"/>
  <c r="GZ193" i="1" s="1"/>
  <c r="FS55" i="1"/>
  <c r="FT55" i="1" s="1"/>
  <c r="FU55" i="1" s="1"/>
  <c r="FV55" i="1" s="1"/>
  <c r="FX55" i="1" s="1"/>
  <c r="FS244" i="1"/>
  <c r="FT244" i="1" s="1"/>
  <c r="FU244" i="1" s="1"/>
  <c r="FV244" i="1" s="1"/>
  <c r="FX244" i="1" s="1"/>
  <c r="FS73" i="1"/>
  <c r="FT73" i="1" s="1"/>
  <c r="FU73" i="1" s="1"/>
  <c r="FV73" i="1" s="1"/>
  <c r="FX73" i="1" s="1"/>
  <c r="GP76" i="1"/>
  <c r="GS76" i="1" s="1"/>
  <c r="GW76" i="1" s="1"/>
  <c r="GX76" i="1" s="1"/>
  <c r="GY76" i="1" s="1"/>
  <c r="GZ76" i="1" s="1"/>
  <c r="FS10" i="1"/>
  <c r="FT10" i="1" s="1"/>
  <c r="FU10" i="1" s="1"/>
  <c r="FV10" i="1" s="1"/>
  <c r="FX10" i="1" s="1"/>
  <c r="GP201" i="1"/>
  <c r="GS201" i="1" s="1"/>
  <c r="GW201" i="1" s="1"/>
  <c r="GX201" i="1" s="1"/>
  <c r="GY201" i="1" s="1"/>
  <c r="GZ201" i="1" s="1"/>
  <c r="FS14" i="1"/>
  <c r="FT14" i="1" s="1"/>
  <c r="FU14" i="1" s="1"/>
  <c r="FV14" i="1" s="1"/>
  <c r="FX14" i="1" s="1"/>
  <c r="GP5" i="1"/>
  <c r="GS5" i="1" s="1"/>
  <c r="GW5" i="1" s="1"/>
  <c r="GX5" i="1" s="1"/>
  <c r="GY5" i="1" s="1"/>
  <c r="GZ5" i="1" s="1"/>
  <c r="FS261" i="1"/>
  <c r="FT261" i="1" s="1"/>
  <c r="FU261" i="1" s="1"/>
  <c r="FV261" i="1" s="1"/>
  <c r="FX261" i="1" s="1"/>
  <c r="FS53" i="1"/>
  <c r="FT53" i="1" s="1"/>
  <c r="FU53" i="1" s="1"/>
  <c r="FV53" i="1" s="1"/>
  <c r="FX53" i="1" s="1"/>
  <c r="GP245" i="1"/>
  <c r="GS245" i="1" s="1"/>
  <c r="GW245" i="1" s="1"/>
  <c r="GX245" i="1" s="1"/>
  <c r="GY245" i="1" s="1"/>
  <c r="GZ245" i="1" s="1"/>
  <c r="GP108" i="1"/>
  <c r="GS108" i="1" s="1"/>
  <c r="GW108" i="1" s="1"/>
  <c r="GX108" i="1" s="1"/>
  <c r="GY108" i="1" s="1"/>
  <c r="GZ108" i="1" s="1"/>
  <c r="GE114" i="1"/>
  <c r="GN114" i="1"/>
  <c r="GO114" i="1" s="1"/>
  <c r="GP114" i="1" s="1"/>
  <c r="GS114" i="1" s="1"/>
  <c r="GW114" i="1" s="1"/>
  <c r="GX114" i="1" s="1"/>
  <c r="GY114" i="1" s="1"/>
  <c r="GZ114" i="1" s="1"/>
  <c r="GE179" i="1"/>
  <c r="GN179" i="1"/>
  <c r="GO179" i="1" s="1"/>
  <c r="GP179" i="1" s="1"/>
  <c r="GS179" i="1" s="1"/>
  <c r="GW179" i="1" s="1"/>
  <c r="GX179" i="1" s="1"/>
  <c r="GY179" i="1" s="1"/>
  <c r="GZ179" i="1" s="1"/>
  <c r="GE116" i="1"/>
  <c r="GN116" i="1"/>
  <c r="GO116" i="1" s="1"/>
  <c r="GP116" i="1" s="1"/>
  <c r="GS116" i="1" s="1"/>
  <c r="GW116" i="1" s="1"/>
  <c r="GX116" i="1" s="1"/>
  <c r="GY116" i="1" s="1"/>
  <c r="GZ116" i="1" s="1"/>
  <c r="GE146" i="1"/>
  <c r="GN146" i="1"/>
  <c r="GO146" i="1" s="1"/>
  <c r="GP146" i="1" s="1"/>
  <c r="GS146" i="1" s="1"/>
  <c r="GW146" i="1" s="1"/>
  <c r="GX146" i="1" s="1"/>
  <c r="GY146" i="1" s="1"/>
  <c r="GZ146" i="1" s="1"/>
  <c r="GE243" i="1"/>
  <c r="GN243" i="1"/>
  <c r="GO243" i="1" s="1"/>
  <c r="GP243" i="1" s="1"/>
  <c r="GS243" i="1" s="1"/>
  <c r="GW243" i="1" s="1"/>
  <c r="GX243" i="1" s="1"/>
  <c r="GY243" i="1" s="1"/>
  <c r="GZ243" i="1" s="1"/>
  <c r="GE153" i="1"/>
  <c r="GN153" i="1"/>
  <c r="GO153" i="1" s="1"/>
  <c r="GP153" i="1" s="1"/>
  <c r="GS153" i="1" s="1"/>
  <c r="GW153" i="1" s="1"/>
  <c r="GX153" i="1" s="1"/>
  <c r="GY153" i="1" s="1"/>
  <c r="GZ153" i="1" s="1"/>
  <c r="GE303" i="1"/>
  <c r="GN303" i="1"/>
  <c r="GO303" i="1" s="1"/>
  <c r="GP303" i="1" s="1"/>
  <c r="GS303" i="1" s="1"/>
  <c r="GW303" i="1" s="1"/>
  <c r="GX303" i="1" s="1"/>
  <c r="GY303" i="1" s="1"/>
  <c r="GZ303" i="1" s="1"/>
  <c r="GE128" i="1"/>
  <c r="GN128" i="1"/>
  <c r="GO128" i="1" s="1"/>
  <c r="GP128" i="1" s="1"/>
  <c r="GS128" i="1" s="1"/>
  <c r="GW128" i="1" s="1"/>
  <c r="GX128" i="1" s="1"/>
  <c r="GY128" i="1" s="1"/>
  <c r="GZ128" i="1" s="1"/>
  <c r="GE230" i="1"/>
  <c r="GN230" i="1"/>
  <c r="GO230" i="1" s="1"/>
  <c r="GP230" i="1" s="1"/>
  <c r="GS230" i="1" s="1"/>
  <c r="GW230" i="1" s="1"/>
  <c r="GX230" i="1" s="1"/>
  <c r="GY230" i="1" s="1"/>
  <c r="GZ230" i="1" s="1"/>
  <c r="GE210" i="1"/>
  <c r="GN210" i="1"/>
  <c r="GO210" i="1" s="1"/>
  <c r="GP210" i="1" s="1"/>
  <c r="GS210" i="1" s="1"/>
  <c r="GW210" i="1" s="1"/>
  <c r="GX210" i="1" s="1"/>
  <c r="GY210" i="1" s="1"/>
  <c r="GZ210" i="1" s="1"/>
  <c r="GE253" i="1"/>
  <c r="GN253" i="1"/>
  <c r="GO253" i="1" s="1"/>
  <c r="GP253" i="1" s="1"/>
  <c r="GS253" i="1" s="1"/>
  <c r="GW253" i="1" s="1"/>
  <c r="GX253" i="1" s="1"/>
  <c r="GY253" i="1" s="1"/>
  <c r="GZ253" i="1" s="1"/>
  <c r="GE192" i="1"/>
  <c r="GN192" i="1"/>
  <c r="GO192" i="1" s="1"/>
  <c r="GP192" i="1" s="1"/>
  <c r="GS192" i="1" s="1"/>
  <c r="GW192" i="1" s="1"/>
  <c r="GX192" i="1" s="1"/>
  <c r="GY192" i="1" s="1"/>
  <c r="GZ192" i="1" s="1"/>
  <c r="GE232" i="1"/>
  <c r="GN232" i="1"/>
  <c r="GO232" i="1" s="1"/>
  <c r="GP232" i="1" s="1"/>
  <c r="GS232" i="1" s="1"/>
  <c r="GW232" i="1" s="1"/>
  <c r="GX232" i="1" s="1"/>
  <c r="GY232" i="1" s="1"/>
  <c r="GZ232" i="1" s="1"/>
  <c r="GE147" i="1"/>
  <c r="GN147" i="1"/>
  <c r="GO147" i="1" s="1"/>
  <c r="GP147" i="1" s="1"/>
  <c r="GS147" i="1" s="1"/>
  <c r="GW147" i="1" s="1"/>
  <c r="GX147" i="1" s="1"/>
  <c r="GY147" i="1" s="1"/>
  <c r="GZ147" i="1" s="1"/>
  <c r="GE72" i="1"/>
  <c r="GN72" i="1"/>
  <c r="GO72" i="1" s="1"/>
  <c r="GP72" i="1" s="1"/>
  <c r="GS72" i="1" s="1"/>
  <c r="GW72" i="1" s="1"/>
  <c r="GX72" i="1" s="1"/>
  <c r="GY72" i="1" s="1"/>
  <c r="GZ72" i="1" s="1"/>
  <c r="GE83" i="1"/>
  <c r="GN83" i="1"/>
  <c r="GO83" i="1" s="1"/>
  <c r="GP83" i="1" s="1"/>
  <c r="GS83" i="1" s="1"/>
  <c r="GW83" i="1" s="1"/>
  <c r="GX83" i="1" s="1"/>
  <c r="GY83" i="1" s="1"/>
  <c r="GZ83" i="1" s="1"/>
  <c r="GE235" i="1"/>
  <c r="GN235" i="1"/>
  <c r="GO235" i="1" s="1"/>
  <c r="GP235" i="1" s="1"/>
  <c r="GS235" i="1" s="1"/>
  <c r="GW235" i="1" s="1"/>
  <c r="GX235" i="1" s="1"/>
  <c r="GY235" i="1" s="1"/>
  <c r="GZ235" i="1" s="1"/>
  <c r="GE90" i="1"/>
  <c r="GN90" i="1"/>
  <c r="GO90" i="1" s="1"/>
  <c r="GP90" i="1" s="1"/>
  <c r="GS90" i="1" s="1"/>
  <c r="GW90" i="1" s="1"/>
  <c r="GX90" i="1" s="1"/>
  <c r="GY90" i="1" s="1"/>
  <c r="GZ90" i="1" s="1"/>
  <c r="GE272" i="1"/>
  <c r="GN272" i="1"/>
  <c r="GO272" i="1" s="1"/>
  <c r="GP272" i="1" s="1"/>
  <c r="GS272" i="1" s="1"/>
  <c r="GW272" i="1" s="1"/>
  <c r="GX272" i="1" s="1"/>
  <c r="GY272" i="1" s="1"/>
  <c r="GZ272" i="1" s="1"/>
  <c r="GE44" i="1"/>
  <c r="GN44" i="1"/>
  <c r="GO44" i="1" s="1"/>
  <c r="GP44" i="1" s="1"/>
  <c r="GS44" i="1" s="1"/>
  <c r="GW44" i="1" s="1"/>
  <c r="GX44" i="1" s="1"/>
  <c r="GY44" i="1" s="1"/>
  <c r="GZ44" i="1" s="1"/>
  <c r="GE252" i="1"/>
  <c r="GN252" i="1"/>
  <c r="GO252" i="1" s="1"/>
  <c r="GP252" i="1" s="1"/>
  <c r="GS252" i="1" s="1"/>
  <c r="GW252" i="1" s="1"/>
  <c r="GX252" i="1" s="1"/>
  <c r="GY252" i="1" s="1"/>
  <c r="GZ252" i="1" s="1"/>
  <c r="GM26" i="1"/>
  <c r="GP26" i="1" s="1"/>
  <c r="GS26" i="1" s="1"/>
  <c r="GW26" i="1" s="1"/>
  <c r="GX26" i="1" s="1"/>
  <c r="GY26" i="1" s="1"/>
  <c r="GZ26" i="1" s="1"/>
  <c r="GN26" i="1"/>
  <c r="GO26" i="1" s="1"/>
  <c r="FS170" i="1"/>
  <c r="FT170" i="1" s="1"/>
  <c r="FU170" i="1" s="1"/>
  <c r="FV170" i="1" s="1"/>
  <c r="FX170" i="1" s="1"/>
  <c r="FS184" i="1"/>
  <c r="FT184" i="1" s="1"/>
  <c r="FU184" i="1" s="1"/>
  <c r="FV184" i="1" s="1"/>
  <c r="FX184" i="1" s="1"/>
  <c r="FS259" i="1"/>
  <c r="FT259" i="1" s="1"/>
  <c r="FU259" i="1" s="1"/>
  <c r="FV259" i="1" s="1"/>
  <c r="FX259" i="1" s="1"/>
  <c r="FS273" i="1"/>
  <c r="FT273" i="1" s="1"/>
  <c r="FU273" i="1" s="1"/>
  <c r="FV273" i="1" s="1"/>
  <c r="FX273" i="1" s="1"/>
  <c r="GP217" i="1"/>
  <c r="GS217" i="1" s="1"/>
  <c r="GW217" i="1" s="1"/>
  <c r="GX217" i="1" s="1"/>
  <c r="GY217" i="1" s="1"/>
  <c r="GZ217" i="1" s="1"/>
  <c r="GP136" i="1"/>
  <c r="GS136" i="1" s="1"/>
  <c r="GW136" i="1" s="1"/>
  <c r="GX136" i="1" s="1"/>
  <c r="GY136" i="1" s="1"/>
  <c r="GZ136" i="1" s="1"/>
  <c r="GP250" i="1"/>
  <c r="GS250" i="1" s="1"/>
  <c r="GW250" i="1" s="1"/>
  <c r="GX250" i="1" s="1"/>
  <c r="GY250" i="1" s="1"/>
  <c r="GZ250" i="1" s="1"/>
  <c r="GP99" i="1"/>
  <c r="GS99" i="1" s="1"/>
  <c r="GW99" i="1" s="1"/>
  <c r="GX99" i="1" s="1"/>
  <c r="GY99" i="1" s="1"/>
  <c r="GZ99" i="1" s="1"/>
  <c r="GP36" i="1"/>
  <c r="GS36" i="1" s="1"/>
  <c r="GW36" i="1" s="1"/>
  <c r="GX36" i="1" s="1"/>
  <c r="GY36" i="1" s="1"/>
  <c r="GZ36" i="1" s="1"/>
  <c r="GP171" i="1"/>
  <c r="GS171" i="1" s="1"/>
  <c r="GW171" i="1" s="1"/>
  <c r="GX171" i="1" s="1"/>
  <c r="GY171" i="1" s="1"/>
  <c r="GZ171" i="1" s="1"/>
  <c r="FS90" i="1"/>
  <c r="FT90" i="1" s="1"/>
  <c r="FU90" i="1" s="1"/>
  <c r="FV90" i="1" s="1"/>
  <c r="FX90" i="1" s="1"/>
  <c r="GP39" i="1"/>
  <c r="GS39" i="1" s="1"/>
  <c r="GW39" i="1" s="1"/>
  <c r="GX39" i="1" s="1"/>
  <c r="GY39" i="1" s="1"/>
  <c r="GZ39" i="1" s="1"/>
  <c r="FS284" i="1"/>
  <c r="FT284" i="1" s="1"/>
  <c r="FU284" i="1" s="1"/>
  <c r="FV284" i="1" s="1"/>
  <c r="FX284" i="1" s="1"/>
  <c r="FS229" i="1"/>
  <c r="FT229" i="1" s="1"/>
  <c r="FU229" i="1" s="1"/>
  <c r="FV229" i="1" s="1"/>
  <c r="FX229" i="1" s="1"/>
  <c r="FS248" i="1"/>
  <c r="FT248" i="1" s="1"/>
  <c r="FU248" i="1" s="1"/>
  <c r="FV248" i="1" s="1"/>
  <c r="FX248" i="1" s="1"/>
  <c r="GE172" i="1"/>
  <c r="GN172" i="1"/>
  <c r="GO172" i="1" s="1"/>
  <c r="GP172" i="1" s="1"/>
  <c r="GS172" i="1" s="1"/>
  <c r="GW172" i="1" s="1"/>
  <c r="GX172" i="1" s="1"/>
  <c r="GY172" i="1" s="1"/>
  <c r="GZ172" i="1" s="1"/>
  <c r="GE248" i="1"/>
  <c r="GN248" i="1"/>
  <c r="GO248" i="1" s="1"/>
  <c r="GP248" i="1" s="1"/>
  <c r="GS248" i="1" s="1"/>
  <c r="GW248" i="1" s="1"/>
  <c r="GX248" i="1" s="1"/>
  <c r="GY248" i="1" s="1"/>
  <c r="GZ248" i="1" s="1"/>
  <c r="GE12" i="1"/>
  <c r="GN12" i="1"/>
  <c r="GO12" i="1" s="1"/>
  <c r="GP12" i="1" s="1"/>
  <c r="GS12" i="1" s="1"/>
  <c r="GW12" i="1" s="1"/>
  <c r="GX12" i="1" s="1"/>
  <c r="GY12" i="1" s="1"/>
  <c r="GZ12" i="1" s="1"/>
  <c r="GE291" i="1"/>
  <c r="GN291" i="1"/>
  <c r="GO291" i="1" s="1"/>
  <c r="GP291" i="1" s="1"/>
  <c r="GS291" i="1" s="1"/>
  <c r="GW291" i="1" s="1"/>
  <c r="GX291" i="1" s="1"/>
  <c r="GY291" i="1" s="1"/>
  <c r="GZ291" i="1" s="1"/>
  <c r="GE174" i="1"/>
  <c r="GN174" i="1"/>
  <c r="GO174" i="1" s="1"/>
  <c r="GP174" i="1" s="1"/>
  <c r="GS174" i="1" s="1"/>
  <c r="GW174" i="1" s="1"/>
  <c r="GX174" i="1" s="1"/>
  <c r="GY174" i="1" s="1"/>
  <c r="GZ174" i="1" s="1"/>
  <c r="GE85" i="1"/>
  <c r="GN85" i="1"/>
  <c r="GO85" i="1" s="1"/>
  <c r="GP85" i="1" s="1"/>
  <c r="GS85" i="1" s="1"/>
  <c r="GW85" i="1" s="1"/>
  <c r="GX85" i="1" s="1"/>
  <c r="GY85" i="1" s="1"/>
  <c r="GZ85" i="1" s="1"/>
  <c r="GE67" i="1"/>
  <c r="GN67" i="1"/>
  <c r="GO67" i="1" s="1"/>
  <c r="GP67" i="1" s="1"/>
  <c r="GS67" i="1" s="1"/>
  <c r="GW67" i="1" s="1"/>
  <c r="GX67" i="1" s="1"/>
  <c r="GY67" i="1" s="1"/>
  <c r="GZ67" i="1" s="1"/>
  <c r="GE265" i="1"/>
  <c r="GN265" i="1"/>
  <c r="GO265" i="1" s="1"/>
  <c r="GE280" i="1"/>
  <c r="GN280" i="1"/>
  <c r="GO280" i="1" s="1"/>
  <c r="GP280" i="1" s="1"/>
  <c r="GS280" i="1" s="1"/>
  <c r="GW280" i="1" s="1"/>
  <c r="GX280" i="1" s="1"/>
  <c r="GY280" i="1" s="1"/>
  <c r="GZ280" i="1" s="1"/>
  <c r="GE219" i="1"/>
  <c r="GN219" i="1"/>
  <c r="GO219" i="1" s="1"/>
  <c r="GP219" i="1" s="1"/>
  <c r="GS219" i="1" s="1"/>
  <c r="GW219" i="1" s="1"/>
  <c r="GX219" i="1" s="1"/>
  <c r="GY219" i="1" s="1"/>
  <c r="GZ219" i="1" s="1"/>
  <c r="GE33" i="1"/>
  <c r="GN33" i="1"/>
  <c r="GO33" i="1" s="1"/>
  <c r="GP33" i="1" s="1"/>
  <c r="GS33" i="1" s="1"/>
  <c r="GW33" i="1" s="1"/>
  <c r="GX33" i="1" s="1"/>
  <c r="GY33" i="1" s="1"/>
  <c r="GZ33" i="1" s="1"/>
  <c r="GE149" i="1"/>
  <c r="GN149" i="1"/>
  <c r="GO149" i="1" s="1"/>
  <c r="GP149" i="1" s="1"/>
  <c r="GS149" i="1" s="1"/>
  <c r="GW149" i="1" s="1"/>
  <c r="GX149" i="1" s="1"/>
  <c r="GY149" i="1" s="1"/>
  <c r="GZ149" i="1" s="1"/>
  <c r="GI86" i="1"/>
  <c r="GN86" i="1"/>
  <c r="GO86" i="1" s="1"/>
  <c r="GP86" i="1" s="1"/>
  <c r="GS86" i="1" s="1"/>
  <c r="GW86" i="1" s="1"/>
  <c r="GX86" i="1" s="1"/>
  <c r="GY86" i="1" s="1"/>
  <c r="GZ86" i="1" s="1"/>
  <c r="GI124" i="1"/>
  <c r="GN124" i="1"/>
  <c r="GO124" i="1" s="1"/>
  <c r="GP124" i="1" s="1"/>
  <c r="GS124" i="1" s="1"/>
  <c r="GW124" i="1" s="1"/>
  <c r="GX124" i="1" s="1"/>
  <c r="GY124" i="1" s="1"/>
  <c r="GZ124" i="1" s="1"/>
  <c r="GE133" i="1"/>
  <c r="GN133" i="1"/>
  <c r="GO133" i="1" s="1"/>
  <c r="GP133" i="1" s="1"/>
  <c r="GS133" i="1" s="1"/>
  <c r="GW133" i="1" s="1"/>
  <c r="GX133" i="1" s="1"/>
  <c r="GY133" i="1" s="1"/>
  <c r="GZ133" i="1" s="1"/>
  <c r="GE103" i="1"/>
  <c r="GN103" i="1"/>
  <c r="GO103" i="1" s="1"/>
  <c r="GP103" i="1" s="1"/>
  <c r="GS103" i="1" s="1"/>
  <c r="GW103" i="1" s="1"/>
  <c r="GX103" i="1" s="1"/>
  <c r="GY103" i="1" s="1"/>
  <c r="GZ103" i="1" s="1"/>
  <c r="GE84" i="1"/>
  <c r="GN84" i="1"/>
  <c r="GO84" i="1" s="1"/>
  <c r="GP84" i="1" s="1"/>
  <c r="GS84" i="1" s="1"/>
  <c r="GW84" i="1" s="1"/>
  <c r="GX84" i="1" s="1"/>
  <c r="GY84" i="1" s="1"/>
  <c r="GZ84" i="1" s="1"/>
  <c r="GE187" i="1"/>
  <c r="GN187" i="1"/>
  <c r="GO187" i="1" s="1"/>
  <c r="GP187" i="1" s="1"/>
  <c r="GS187" i="1" s="1"/>
  <c r="GW187" i="1" s="1"/>
  <c r="GX187" i="1" s="1"/>
  <c r="GY187" i="1" s="1"/>
  <c r="GZ187" i="1" s="1"/>
  <c r="GE237" i="1"/>
  <c r="GN237" i="1"/>
  <c r="GO237" i="1" s="1"/>
  <c r="GP237" i="1" s="1"/>
  <c r="GS237" i="1" s="1"/>
  <c r="GW237" i="1" s="1"/>
  <c r="GX237" i="1" s="1"/>
  <c r="GY237" i="1" s="1"/>
  <c r="GZ237" i="1" s="1"/>
  <c r="GE101" i="1"/>
  <c r="GN101" i="1"/>
  <c r="GO101" i="1" s="1"/>
  <c r="GP101" i="1" s="1"/>
  <c r="GS101" i="1" s="1"/>
  <c r="GW101" i="1" s="1"/>
  <c r="GX101" i="1" s="1"/>
  <c r="GY101" i="1" s="1"/>
  <c r="GZ101" i="1" s="1"/>
  <c r="GI279" i="1"/>
  <c r="GN279" i="1"/>
  <c r="GO279" i="1" s="1"/>
  <c r="GP279" i="1" s="1"/>
  <c r="GS279" i="1" s="1"/>
  <c r="GW279" i="1" s="1"/>
  <c r="GX279" i="1" s="1"/>
  <c r="GY279" i="1" s="1"/>
  <c r="GZ279" i="1" s="1"/>
  <c r="GE23" i="1"/>
  <c r="GN23" i="1"/>
  <c r="GO23" i="1" s="1"/>
  <c r="GP23" i="1" s="1"/>
  <c r="GS23" i="1" s="1"/>
  <c r="GW23" i="1" s="1"/>
  <c r="GX23" i="1" s="1"/>
  <c r="GY23" i="1" s="1"/>
  <c r="GZ23" i="1" s="1"/>
  <c r="GE251" i="1"/>
  <c r="GN251" i="1"/>
  <c r="GO251" i="1" s="1"/>
  <c r="GP251" i="1" s="1"/>
  <c r="GS251" i="1" s="1"/>
  <c r="GW251" i="1" s="1"/>
  <c r="GX251" i="1" s="1"/>
  <c r="GY251" i="1" s="1"/>
  <c r="GZ251" i="1" s="1"/>
  <c r="GE71" i="1"/>
  <c r="GN71" i="1"/>
  <c r="GO71" i="1" s="1"/>
  <c r="GP71" i="1" s="1"/>
  <c r="GS71" i="1" s="1"/>
  <c r="GW71" i="1" s="1"/>
  <c r="GX71" i="1" s="1"/>
  <c r="GY71" i="1" s="1"/>
  <c r="GZ71" i="1" s="1"/>
  <c r="GE278" i="1"/>
  <c r="GN278" i="1"/>
  <c r="GO278" i="1" s="1"/>
  <c r="GP278" i="1" s="1"/>
  <c r="GS278" i="1" s="1"/>
  <c r="GW278" i="1" s="1"/>
  <c r="GX278" i="1" s="1"/>
  <c r="GY278" i="1" s="1"/>
  <c r="GZ278" i="1" s="1"/>
  <c r="GI51" i="1"/>
  <c r="GN51" i="1"/>
  <c r="GO51" i="1" s="1"/>
  <c r="GP51" i="1" s="1"/>
  <c r="GS51" i="1" s="1"/>
  <c r="GW51" i="1" s="1"/>
  <c r="GX51" i="1" s="1"/>
  <c r="GY51" i="1" s="1"/>
  <c r="GZ51" i="1" s="1"/>
  <c r="GE122" i="1"/>
  <c r="GN122" i="1"/>
  <c r="GO122" i="1" s="1"/>
  <c r="GP122" i="1" s="1"/>
  <c r="GS122" i="1" s="1"/>
  <c r="GW122" i="1" s="1"/>
  <c r="GX122" i="1" s="1"/>
  <c r="GY122" i="1" s="1"/>
  <c r="GZ122" i="1" s="1"/>
  <c r="GE186" i="1"/>
  <c r="GN186" i="1"/>
  <c r="GO186" i="1" s="1"/>
  <c r="GP186" i="1" s="1"/>
  <c r="GS186" i="1" s="1"/>
  <c r="GW186" i="1" s="1"/>
  <c r="GX186" i="1" s="1"/>
  <c r="GY186" i="1" s="1"/>
  <c r="GZ186" i="1" s="1"/>
  <c r="GE271" i="1"/>
  <c r="GN271" i="1"/>
  <c r="GO271" i="1" s="1"/>
  <c r="GP271" i="1" s="1"/>
  <c r="GS271" i="1" s="1"/>
  <c r="GE120" i="1"/>
  <c r="GN120" i="1"/>
  <c r="GO120" i="1" s="1"/>
  <c r="GP120" i="1" s="1"/>
  <c r="GS120" i="1" s="1"/>
  <c r="GW120" i="1" s="1"/>
  <c r="GX120" i="1" s="1"/>
  <c r="GY120" i="1" s="1"/>
  <c r="GZ120" i="1" s="1"/>
  <c r="GE296" i="1"/>
  <c r="GN296" i="1"/>
  <c r="GO296" i="1" s="1"/>
  <c r="GP296" i="1" s="1"/>
  <c r="GS296" i="1" s="1"/>
  <c r="GW296" i="1" s="1"/>
  <c r="GX296" i="1" s="1"/>
  <c r="GY296" i="1" s="1"/>
  <c r="GZ296" i="1" s="1"/>
  <c r="GI163" i="1"/>
  <c r="GN163" i="1"/>
  <c r="GO163" i="1" s="1"/>
  <c r="GP163" i="1" s="1"/>
  <c r="GS163" i="1" s="1"/>
  <c r="GW163" i="1" s="1"/>
  <c r="GX163" i="1" s="1"/>
  <c r="GY163" i="1" s="1"/>
  <c r="GZ163" i="1" s="1"/>
  <c r="GE8" i="1"/>
  <c r="GN8" i="1"/>
  <c r="GO8" i="1" s="1"/>
  <c r="GP8" i="1" s="1"/>
  <c r="GS8" i="1" s="1"/>
  <c r="GW8" i="1" s="1"/>
  <c r="GX8" i="1" s="1"/>
  <c r="GY8" i="1" s="1"/>
  <c r="GZ8" i="1" s="1"/>
  <c r="GE256" i="1"/>
  <c r="GN256" i="1"/>
  <c r="GO256" i="1" s="1"/>
  <c r="GE89" i="1"/>
  <c r="GL89" i="1"/>
  <c r="GK158" i="1"/>
  <c r="GN158" i="1"/>
  <c r="GO158" i="1" s="1"/>
  <c r="GP158" i="1" s="1"/>
  <c r="GS158" i="1" s="1"/>
  <c r="GW158" i="1" s="1"/>
  <c r="GX158" i="1" s="1"/>
  <c r="GY158" i="1" s="1"/>
  <c r="GZ158" i="1" s="1"/>
  <c r="GP236" i="1"/>
  <c r="GS236" i="1" s="1"/>
  <c r="GW236" i="1" s="1"/>
  <c r="GX236" i="1" s="1"/>
  <c r="GY236" i="1" s="1"/>
  <c r="GZ236" i="1" s="1"/>
  <c r="GP266" i="1"/>
  <c r="GS266" i="1" s="1"/>
  <c r="GW266" i="1" s="1"/>
  <c r="GX266" i="1" s="1"/>
  <c r="GY266" i="1" s="1"/>
  <c r="GZ266" i="1" s="1"/>
  <c r="GP225" i="1"/>
  <c r="GS225" i="1" s="1"/>
  <c r="GW225" i="1" s="1"/>
  <c r="GX225" i="1" s="1"/>
  <c r="GY225" i="1" s="1"/>
  <c r="GZ225" i="1" s="1"/>
  <c r="GW271" i="1"/>
  <c r="GX271" i="1" s="1"/>
  <c r="GY271" i="1" s="1"/>
  <c r="GZ271" i="1" s="1"/>
  <c r="GE70" i="1"/>
  <c r="GN70" i="1"/>
  <c r="GO70" i="1" s="1"/>
  <c r="GP70" i="1" s="1"/>
  <c r="GS70" i="1" s="1"/>
  <c r="GW70" i="1" s="1"/>
  <c r="GX70" i="1" s="1"/>
  <c r="GY70" i="1" s="1"/>
  <c r="GZ70" i="1" s="1"/>
  <c r="GE118" i="1"/>
  <c r="GN118" i="1"/>
  <c r="GO118" i="1" s="1"/>
  <c r="GP118" i="1" s="1"/>
  <c r="GS118" i="1" s="1"/>
  <c r="GW118" i="1" s="1"/>
  <c r="GX118" i="1" s="1"/>
  <c r="GY118" i="1" s="1"/>
  <c r="GZ118" i="1" s="1"/>
  <c r="GE274" i="1"/>
  <c r="GN274" i="1"/>
  <c r="GO274" i="1" s="1"/>
  <c r="GP274" i="1" s="1"/>
  <c r="GS274" i="1" s="1"/>
  <c r="GW274" i="1" s="1"/>
  <c r="GX274" i="1" s="1"/>
  <c r="GY274" i="1" s="1"/>
  <c r="GZ274" i="1" s="1"/>
  <c r="GI295" i="1"/>
  <c r="GN295" i="1"/>
  <c r="GO295" i="1" s="1"/>
  <c r="GP295" i="1" s="1"/>
  <c r="GS295" i="1" s="1"/>
  <c r="GW295" i="1" s="1"/>
  <c r="GX295" i="1" s="1"/>
  <c r="GY295" i="1" s="1"/>
  <c r="GZ295" i="1" s="1"/>
  <c r="GE191" i="1"/>
  <c r="GN191" i="1"/>
  <c r="GO191" i="1" s="1"/>
  <c r="GP191" i="1" s="1"/>
  <c r="GS191" i="1" s="1"/>
  <c r="GW191" i="1" s="1"/>
  <c r="GX191" i="1" s="1"/>
  <c r="GY191" i="1" s="1"/>
  <c r="GZ191" i="1" s="1"/>
  <c r="GE207" i="1"/>
  <c r="GN207" i="1"/>
  <c r="GO207" i="1" s="1"/>
  <c r="GP207" i="1" s="1"/>
  <c r="GS207" i="1" s="1"/>
  <c r="GW207" i="1" s="1"/>
  <c r="GX207" i="1" s="1"/>
  <c r="GY207" i="1" s="1"/>
  <c r="GZ207" i="1" s="1"/>
  <c r="GE29" i="1"/>
  <c r="GN29" i="1"/>
  <c r="GO29" i="1" s="1"/>
  <c r="GP29" i="1" s="1"/>
  <c r="GS29" i="1" s="1"/>
  <c r="GW29" i="1" s="1"/>
  <c r="GX29" i="1" s="1"/>
  <c r="GY29" i="1" s="1"/>
  <c r="GZ29" i="1" s="1"/>
  <c r="GE261" i="1"/>
  <c r="GN261" i="1"/>
  <c r="GO261" i="1" s="1"/>
  <c r="GP261" i="1" s="1"/>
  <c r="GS261" i="1" s="1"/>
  <c r="GW261" i="1" s="1"/>
  <c r="GX261" i="1" s="1"/>
  <c r="GY261" i="1" s="1"/>
  <c r="GZ261" i="1" s="1"/>
  <c r="GE224" i="1"/>
  <c r="GN224" i="1"/>
  <c r="GO224" i="1" s="1"/>
  <c r="GP224" i="1" s="1"/>
  <c r="GS224" i="1" s="1"/>
  <c r="GW224" i="1" s="1"/>
  <c r="GX224" i="1" s="1"/>
  <c r="GY224" i="1" s="1"/>
  <c r="GZ224" i="1" s="1"/>
  <c r="GK177" i="1"/>
  <c r="GN177" i="1"/>
  <c r="GO177" i="1" s="1"/>
  <c r="GP177" i="1" s="1"/>
  <c r="GS177" i="1" s="1"/>
  <c r="GW177" i="1" s="1"/>
  <c r="GX177" i="1" s="1"/>
  <c r="GY177" i="1" s="1"/>
  <c r="GZ177" i="1" s="1"/>
  <c r="GM22" i="1"/>
  <c r="GN22" i="1"/>
  <c r="GO22" i="1" s="1"/>
  <c r="GP22" i="1" s="1"/>
  <c r="GS22" i="1" s="1"/>
  <c r="GW22" i="1" s="1"/>
  <c r="GX22" i="1" s="1"/>
  <c r="GY22" i="1" s="1"/>
  <c r="GZ22" i="1" s="1"/>
  <c r="GE188" i="1"/>
  <c r="GN188" i="1"/>
  <c r="GO188" i="1" s="1"/>
  <c r="GP188" i="1" s="1"/>
  <c r="GS188" i="1" s="1"/>
  <c r="GW188" i="1" s="1"/>
  <c r="GX188" i="1" s="1"/>
  <c r="GY188" i="1" s="1"/>
  <c r="GZ188" i="1" s="1"/>
  <c r="GE240" i="1"/>
  <c r="GN240" i="1"/>
  <c r="GO240" i="1" s="1"/>
  <c r="GP240" i="1" s="1"/>
  <c r="GS240" i="1" s="1"/>
  <c r="GW240" i="1" s="1"/>
  <c r="GX240" i="1" s="1"/>
  <c r="GY240" i="1" s="1"/>
  <c r="GZ240" i="1" s="1"/>
  <c r="GE59" i="1"/>
  <c r="GN59" i="1"/>
  <c r="GO59" i="1" s="1"/>
  <c r="GP59" i="1" s="1"/>
  <c r="GS59" i="1" s="1"/>
  <c r="GW59" i="1" s="1"/>
  <c r="GX59" i="1" s="1"/>
  <c r="GY59" i="1" s="1"/>
  <c r="GZ59" i="1" s="1"/>
  <c r="GK130" i="1"/>
  <c r="GN130" i="1"/>
  <c r="GO130" i="1" s="1"/>
  <c r="GP130" i="1" s="1"/>
  <c r="GS130" i="1" s="1"/>
  <c r="GW130" i="1" s="1"/>
  <c r="GX130" i="1" s="1"/>
  <c r="GY130" i="1" s="1"/>
  <c r="GZ130" i="1" s="1"/>
  <c r="GI3" i="1"/>
  <c r="GN3" i="1"/>
  <c r="GO3" i="1" s="1"/>
  <c r="GI169" i="1"/>
  <c r="GN169" i="1"/>
  <c r="GO169" i="1" s="1"/>
  <c r="GP169" i="1" s="1"/>
  <c r="GS169" i="1" s="1"/>
  <c r="GW169" i="1" s="1"/>
  <c r="GX169" i="1" s="1"/>
  <c r="GY169" i="1" s="1"/>
  <c r="GZ169" i="1" s="1"/>
  <c r="GE97" i="1"/>
  <c r="GN97" i="1"/>
  <c r="GO97" i="1" s="1"/>
  <c r="GP97" i="1" s="1"/>
  <c r="GS97" i="1" s="1"/>
  <c r="GW97" i="1" s="1"/>
  <c r="GX97" i="1" s="1"/>
  <c r="GY97" i="1" s="1"/>
  <c r="GZ97" i="1" s="1"/>
  <c r="GE164" i="1"/>
  <c r="GN164" i="1"/>
  <c r="GO164" i="1" s="1"/>
  <c r="GP164" i="1" s="1"/>
  <c r="GS164" i="1" s="1"/>
  <c r="GW164" i="1" s="1"/>
  <c r="GX164" i="1" s="1"/>
  <c r="GY164" i="1" s="1"/>
  <c r="GZ164" i="1" s="1"/>
  <c r="GK283" i="1"/>
  <c r="GN283" i="1"/>
  <c r="GO283" i="1" s="1"/>
  <c r="GP283" i="1" s="1"/>
  <c r="GS283" i="1" s="1"/>
  <c r="GW283" i="1" s="1"/>
  <c r="GX283" i="1" s="1"/>
  <c r="GY283" i="1" s="1"/>
  <c r="GZ283" i="1" s="1"/>
  <c r="GE277" i="1"/>
  <c r="GN277" i="1"/>
  <c r="GO277" i="1" s="1"/>
  <c r="GM79" i="1"/>
  <c r="GN79" i="1"/>
  <c r="GO79" i="1" s="1"/>
  <c r="GP79" i="1" s="1"/>
  <c r="GS79" i="1" s="1"/>
  <c r="GW79" i="1" s="1"/>
  <c r="GX79" i="1" s="1"/>
  <c r="GY79" i="1" s="1"/>
  <c r="GZ79" i="1" s="1"/>
  <c r="GN247" i="1"/>
  <c r="GO247" i="1" s="1"/>
  <c r="GP247" i="1" s="1"/>
  <c r="GS247" i="1" s="1"/>
  <c r="GW247" i="1" s="1"/>
  <c r="GX247" i="1" s="1"/>
  <c r="GY247" i="1" s="1"/>
  <c r="GZ247" i="1" s="1"/>
  <c r="GP160" i="1"/>
  <c r="GS160" i="1" s="1"/>
  <c r="GW160" i="1" s="1"/>
  <c r="GX160" i="1" s="1"/>
  <c r="GY160" i="1" s="1"/>
  <c r="GZ160" i="1" s="1"/>
  <c r="FS249" i="1"/>
  <c r="FT249" i="1" s="1"/>
  <c r="FU249" i="1" s="1"/>
  <c r="FV249" i="1" s="1"/>
  <c r="FX249" i="1" s="1"/>
  <c r="FS71" i="1"/>
  <c r="FT71" i="1" s="1"/>
  <c r="FU71" i="1" s="1"/>
  <c r="FV71" i="1" s="1"/>
  <c r="FX71" i="1" s="1"/>
  <c r="FS225" i="1"/>
  <c r="FT225" i="1" s="1"/>
  <c r="FU225" i="1" s="1"/>
  <c r="FV225" i="1" s="1"/>
  <c r="FX225" i="1" s="1"/>
  <c r="GP183" i="1"/>
  <c r="GS183" i="1" s="1"/>
  <c r="GW183" i="1" s="1"/>
  <c r="GX183" i="1" s="1"/>
  <c r="GY183" i="1" s="1"/>
  <c r="GZ183" i="1" s="1"/>
  <c r="GP142" i="1"/>
  <c r="GS142" i="1" s="1"/>
  <c r="GW142" i="1" s="1"/>
  <c r="GX142" i="1" s="1"/>
  <c r="GY142" i="1" s="1"/>
  <c r="GZ142" i="1" s="1"/>
  <c r="GP190" i="1"/>
  <c r="GS190" i="1" s="1"/>
  <c r="GW190" i="1" s="1"/>
  <c r="GX190" i="1" s="1"/>
  <c r="GY190" i="1" s="1"/>
  <c r="GZ190" i="1" s="1"/>
  <c r="FS124" i="1"/>
  <c r="FT124" i="1" s="1"/>
  <c r="FU124" i="1" s="1"/>
  <c r="FV124" i="1" s="1"/>
  <c r="FX124" i="1" s="1"/>
  <c r="FS142" i="1"/>
  <c r="FT142" i="1" s="1"/>
  <c r="FU142" i="1" s="1"/>
  <c r="FV142" i="1" s="1"/>
  <c r="FX142" i="1" s="1"/>
  <c r="FS241" i="1"/>
  <c r="FT241" i="1" s="1"/>
  <c r="FU241" i="1" s="1"/>
  <c r="FV241" i="1" s="1"/>
  <c r="FX241" i="1" s="1"/>
  <c r="FS41" i="1"/>
  <c r="FT41" i="1" s="1"/>
  <c r="FU41" i="1" s="1"/>
  <c r="FV41" i="1" s="1"/>
  <c r="FX41" i="1" s="1"/>
  <c r="FS169" i="1"/>
  <c r="FT169" i="1" s="1"/>
  <c r="FU169" i="1" s="1"/>
  <c r="FV169" i="1" s="1"/>
  <c r="FX169" i="1" s="1"/>
  <c r="GN222" i="1"/>
  <c r="GO222" i="1" s="1"/>
  <c r="GP222" i="1" s="1"/>
  <c r="GS222" i="1" s="1"/>
  <c r="GW222" i="1" s="1"/>
  <c r="GX222" i="1" s="1"/>
  <c r="GY222" i="1" s="1"/>
  <c r="GZ222" i="1" s="1"/>
  <c r="FS61" i="1"/>
  <c r="FT61" i="1" s="1"/>
  <c r="FU61" i="1" s="1"/>
  <c r="FV61" i="1" s="1"/>
  <c r="FX61" i="1" s="1"/>
  <c r="FS67" i="1"/>
  <c r="FT67" i="1" s="1"/>
  <c r="FU67" i="1" s="1"/>
  <c r="FV67" i="1" s="1"/>
  <c r="FX67" i="1" s="1"/>
  <c r="FS139" i="1"/>
  <c r="FT139" i="1" s="1"/>
  <c r="FU139" i="1" s="1"/>
  <c r="FV139" i="1" s="1"/>
  <c r="FX139" i="1" s="1"/>
  <c r="FS252" i="1"/>
  <c r="FT252" i="1" s="1"/>
  <c r="FU252" i="1" s="1"/>
  <c r="FV252" i="1" s="1"/>
  <c r="FX252" i="1" s="1"/>
  <c r="FS102" i="1"/>
  <c r="FT102" i="1" s="1"/>
  <c r="FU102" i="1" s="1"/>
  <c r="FV102" i="1" s="1"/>
  <c r="FX102" i="1" s="1"/>
  <c r="GN148" i="1"/>
  <c r="GO148" i="1" s="1"/>
  <c r="GP148" i="1" s="1"/>
  <c r="GS148" i="1" s="1"/>
  <c r="GW148" i="1" s="1"/>
  <c r="GX148" i="1" s="1"/>
  <c r="GY148" i="1" s="1"/>
  <c r="GZ148" i="1" s="1"/>
  <c r="GN228" i="1"/>
  <c r="GO228" i="1" s="1"/>
  <c r="GP228" i="1" s="1"/>
  <c r="GS228" i="1" s="1"/>
  <c r="GW228" i="1" s="1"/>
  <c r="GX228" i="1" s="1"/>
  <c r="GY228" i="1" s="1"/>
  <c r="GZ228" i="1" s="1"/>
  <c r="GP286" i="1"/>
  <c r="GS286" i="1" s="1"/>
  <c r="GW286" i="1" s="1"/>
  <c r="GX286" i="1" s="1"/>
  <c r="GY286" i="1" s="1"/>
  <c r="GZ286" i="1" s="1"/>
  <c r="GN285" i="1"/>
  <c r="GO285" i="1" s="1"/>
  <c r="GP285" i="1" s="1"/>
  <c r="GS285" i="1" s="1"/>
  <c r="GW285" i="1" s="1"/>
  <c r="GX285" i="1" s="1"/>
  <c r="GY285" i="1" s="1"/>
  <c r="GZ285" i="1" s="1"/>
  <c r="GN262" i="1"/>
  <c r="GO262" i="1" s="1"/>
  <c r="GP262" i="1" s="1"/>
  <c r="GS262" i="1" s="1"/>
  <c r="GW262" i="1" s="1"/>
  <c r="GX262" i="1" s="1"/>
  <c r="GY262" i="1" s="1"/>
  <c r="GZ262" i="1" s="1"/>
  <c r="GN16" i="1"/>
  <c r="GO16" i="1" s="1"/>
  <c r="GP16" i="1" s="1"/>
  <c r="GS16" i="1" s="1"/>
  <c r="GW16" i="1" s="1"/>
  <c r="GX16" i="1" s="1"/>
  <c r="GY16" i="1" s="1"/>
  <c r="GZ16" i="1" s="1"/>
  <c r="GN111" i="1"/>
  <c r="GO111" i="1" s="1"/>
  <c r="GP111" i="1" s="1"/>
  <c r="GS111" i="1" s="1"/>
  <c r="GW111" i="1" s="1"/>
  <c r="GX111" i="1" s="1"/>
  <c r="GY111" i="1" s="1"/>
  <c r="GZ111" i="1" s="1"/>
  <c r="GN218" i="1"/>
  <c r="GO218" i="1" s="1"/>
  <c r="GP218" i="1" s="1"/>
  <c r="GS218" i="1" s="1"/>
  <c r="GW218" i="1" s="1"/>
  <c r="GX218" i="1" s="1"/>
  <c r="GY218" i="1" s="1"/>
  <c r="GZ218" i="1" s="1"/>
  <c r="GN227" i="1"/>
  <c r="GO227" i="1" s="1"/>
  <c r="GP227" i="1" s="1"/>
  <c r="GS227" i="1" s="1"/>
  <c r="GW227" i="1" s="1"/>
  <c r="GX227" i="1" s="1"/>
  <c r="GY227" i="1" s="1"/>
  <c r="GZ227" i="1" s="1"/>
  <c r="GN202" i="1"/>
  <c r="GO202" i="1" s="1"/>
  <c r="GP202" i="1" s="1"/>
  <c r="GS202" i="1" s="1"/>
  <c r="GW202" i="1" s="1"/>
  <c r="GX202" i="1" s="1"/>
  <c r="GY202" i="1" s="1"/>
  <c r="GZ202" i="1" s="1"/>
  <c r="GN125" i="1"/>
  <c r="GO125" i="1" s="1"/>
  <c r="GP125" i="1" s="1"/>
  <c r="GS125" i="1" s="1"/>
  <c r="GW125" i="1" s="1"/>
  <c r="GX125" i="1" s="1"/>
  <c r="GY125" i="1" s="1"/>
  <c r="GZ125" i="1" s="1"/>
  <c r="GN78" i="1"/>
  <c r="GO78" i="1" s="1"/>
  <c r="GP78" i="1" s="1"/>
  <c r="GS78" i="1" s="1"/>
  <c r="GW78" i="1" s="1"/>
  <c r="GX78" i="1" s="1"/>
  <c r="GY78" i="1" s="1"/>
  <c r="GZ78" i="1" s="1"/>
  <c r="GN102" i="1"/>
  <c r="GO102" i="1" s="1"/>
  <c r="GP102" i="1" s="1"/>
  <c r="GS102" i="1" s="1"/>
  <c r="GW102" i="1" s="1"/>
  <c r="GX102" i="1" s="1"/>
  <c r="GY102" i="1" s="1"/>
  <c r="GZ102" i="1" s="1"/>
  <c r="GN214" i="1"/>
  <c r="GO214" i="1" s="1"/>
  <c r="GP214" i="1" s="1"/>
  <c r="GS214" i="1" s="1"/>
  <c r="GW214" i="1" s="1"/>
  <c r="GX214" i="1" s="1"/>
  <c r="GY214" i="1" s="1"/>
  <c r="GZ214" i="1" s="1"/>
  <c r="GN34" i="1"/>
  <c r="GO34" i="1" s="1"/>
  <c r="GP34" i="1" s="1"/>
  <c r="GS34" i="1" s="1"/>
  <c r="GW34" i="1" s="1"/>
  <c r="GX34" i="1" s="1"/>
  <c r="GY34" i="1" s="1"/>
  <c r="GZ34" i="1" s="1"/>
  <c r="GN167" i="1"/>
  <c r="GO167" i="1" s="1"/>
  <c r="GP167" i="1" s="1"/>
  <c r="GS167" i="1" s="1"/>
  <c r="GW167" i="1" s="1"/>
  <c r="GX167" i="1" s="1"/>
  <c r="GY167" i="1" s="1"/>
  <c r="GZ167" i="1" s="1"/>
  <c r="GN58" i="1"/>
  <c r="GO58" i="1" s="1"/>
  <c r="GP58" i="1" s="1"/>
  <c r="GS58" i="1" s="1"/>
  <c r="GW58" i="1" s="1"/>
  <c r="GX58" i="1" s="1"/>
  <c r="GY58" i="1" s="1"/>
  <c r="GZ58" i="1" s="1"/>
  <c r="GN151" i="1"/>
  <c r="GO151" i="1" s="1"/>
  <c r="GP151" i="1" s="1"/>
  <c r="GS151" i="1" s="1"/>
  <c r="GW151" i="1" s="1"/>
  <c r="GX151" i="1" s="1"/>
  <c r="GY151" i="1" s="1"/>
  <c r="GZ151" i="1" s="1"/>
  <c r="GN260" i="1"/>
  <c r="GO260" i="1" s="1"/>
  <c r="GP260" i="1" s="1"/>
  <c r="GS260" i="1" s="1"/>
  <c r="GW260" i="1" s="1"/>
  <c r="GX260" i="1" s="1"/>
  <c r="GY260" i="1" s="1"/>
  <c r="GZ260" i="1" s="1"/>
  <c r="GN166" i="1"/>
  <c r="GO166" i="1" s="1"/>
  <c r="GP166" i="1" s="1"/>
  <c r="GS166" i="1" s="1"/>
  <c r="GW166" i="1" s="1"/>
  <c r="GX166" i="1" s="1"/>
  <c r="GY166" i="1" s="1"/>
  <c r="GZ166" i="1" s="1"/>
  <c r="GP24" i="1"/>
  <c r="GS24" i="1" s="1"/>
  <c r="GW24" i="1" s="1"/>
  <c r="GX24" i="1" s="1"/>
  <c r="GY24" i="1" s="1"/>
  <c r="GZ24" i="1" s="1"/>
  <c r="FS162" i="1"/>
  <c r="FT162" i="1" s="1"/>
  <c r="FU162" i="1" s="1"/>
  <c r="FV162" i="1" s="1"/>
  <c r="FX162" i="1" s="1"/>
  <c r="FS91" i="1"/>
  <c r="FT91" i="1" s="1"/>
  <c r="FU91" i="1" s="1"/>
  <c r="FV91" i="1" s="1"/>
  <c r="FX91" i="1" s="1"/>
  <c r="FS108" i="1"/>
  <c r="FT108" i="1" s="1"/>
  <c r="FU108" i="1" s="1"/>
  <c r="FV108" i="1" s="1"/>
  <c r="FX108" i="1" s="1"/>
  <c r="GN197" i="1"/>
  <c r="GO197" i="1" s="1"/>
  <c r="GP197" i="1" s="1"/>
  <c r="GS197" i="1" s="1"/>
  <c r="GW197" i="1" s="1"/>
  <c r="GX197" i="1" s="1"/>
  <c r="GY197" i="1" s="1"/>
  <c r="GZ197" i="1" s="1"/>
  <c r="GP32" i="1"/>
  <c r="GS32" i="1" s="1"/>
  <c r="GW32" i="1" s="1"/>
  <c r="GX32" i="1" s="1"/>
  <c r="GY32" i="1" s="1"/>
  <c r="GZ32" i="1" s="1"/>
  <c r="GN56" i="1"/>
  <c r="GO56" i="1" s="1"/>
  <c r="GP56" i="1" s="1"/>
  <c r="GS56" i="1" s="1"/>
  <c r="GW56" i="1" s="1"/>
  <c r="GX56" i="1" s="1"/>
  <c r="GY56" i="1" s="1"/>
  <c r="GZ56" i="1" s="1"/>
  <c r="GN54" i="1"/>
  <c r="GO54" i="1" s="1"/>
  <c r="GP54" i="1" s="1"/>
  <c r="GS54" i="1" s="1"/>
  <c r="GW54" i="1" s="1"/>
  <c r="GX54" i="1" s="1"/>
  <c r="GY54" i="1" s="1"/>
  <c r="GZ54" i="1" s="1"/>
  <c r="GN198" i="1"/>
  <c r="GO198" i="1" s="1"/>
  <c r="GP198" i="1" s="1"/>
  <c r="GS198" i="1" s="1"/>
  <c r="GW198" i="1" s="1"/>
  <c r="GX198" i="1" s="1"/>
  <c r="GY198" i="1" s="1"/>
  <c r="GZ198" i="1" s="1"/>
  <c r="FS266" i="1"/>
  <c r="FT266" i="1" s="1"/>
  <c r="FU266" i="1" s="1"/>
  <c r="FV266" i="1" s="1"/>
  <c r="FX266" i="1" s="1"/>
  <c r="FS192" i="1"/>
  <c r="FT192" i="1" s="1"/>
  <c r="FU192" i="1" s="1"/>
  <c r="FV192" i="1" s="1"/>
  <c r="FX192" i="1" s="1"/>
  <c r="FS253" i="1"/>
  <c r="FT253" i="1" s="1"/>
  <c r="FU253" i="1" s="1"/>
  <c r="FV253" i="1" s="1"/>
  <c r="FX253" i="1" s="1"/>
  <c r="FS164" i="1"/>
  <c r="FT164" i="1" s="1"/>
  <c r="FU164" i="1" s="1"/>
  <c r="FV164" i="1" s="1"/>
  <c r="FX164" i="1" s="1"/>
  <c r="FS16" i="1"/>
  <c r="FT16" i="1" s="1"/>
  <c r="FU16" i="1" s="1"/>
  <c r="FV16" i="1" s="1"/>
  <c r="FX16" i="1" s="1"/>
  <c r="FS194" i="1"/>
  <c r="FT194" i="1" s="1"/>
  <c r="FU194" i="1" s="1"/>
  <c r="FV194" i="1" s="1"/>
  <c r="FX194" i="1" s="1"/>
  <c r="FS33" i="1"/>
  <c r="FT33" i="1" s="1"/>
  <c r="FU33" i="1" s="1"/>
  <c r="FV33" i="1" s="1"/>
  <c r="FX33" i="1" s="1"/>
  <c r="FS127" i="1"/>
  <c r="FT127" i="1" s="1"/>
  <c r="FU127" i="1" s="1"/>
  <c r="FV127" i="1" s="1"/>
  <c r="FX127" i="1" s="1"/>
  <c r="FS152" i="1"/>
  <c r="FT152" i="1" s="1"/>
  <c r="FU152" i="1" s="1"/>
  <c r="FV152" i="1" s="1"/>
  <c r="FX152" i="1" s="1"/>
  <c r="FS277" i="1"/>
  <c r="FT277" i="1" s="1"/>
  <c r="FU277" i="1" s="1"/>
  <c r="FV277" i="1" s="1"/>
  <c r="FX277" i="1" s="1"/>
  <c r="FS22" i="1"/>
  <c r="FT22" i="1" s="1"/>
  <c r="FU22" i="1" s="1"/>
  <c r="FV22" i="1" s="1"/>
  <c r="FX22" i="1" s="1"/>
  <c r="GN287" i="1"/>
  <c r="GO287" i="1" s="1"/>
  <c r="GP287" i="1" s="1"/>
  <c r="GS287" i="1" s="1"/>
  <c r="GW287" i="1" s="1"/>
  <c r="GX287" i="1" s="1"/>
  <c r="GY287" i="1" s="1"/>
  <c r="GZ287" i="1" s="1"/>
  <c r="GN87" i="1"/>
  <c r="GO87" i="1" s="1"/>
  <c r="GP87" i="1" s="1"/>
  <c r="GS87" i="1" s="1"/>
  <c r="GW87" i="1" s="1"/>
  <c r="GX87" i="1" s="1"/>
  <c r="GY87" i="1" s="1"/>
  <c r="GZ87" i="1" s="1"/>
  <c r="GN155" i="1"/>
  <c r="GO155" i="1" s="1"/>
  <c r="GP155" i="1" s="1"/>
  <c r="GS155" i="1" s="1"/>
  <c r="GW155" i="1" s="1"/>
  <c r="GX155" i="1" s="1"/>
  <c r="GY155" i="1" s="1"/>
  <c r="GZ155" i="1" s="1"/>
  <c r="FS208" i="1"/>
  <c r="FT208" i="1" s="1"/>
  <c r="FU208" i="1" s="1"/>
  <c r="FV208" i="1" s="1"/>
  <c r="FX208" i="1" s="1"/>
  <c r="FS172" i="1"/>
  <c r="FT172" i="1" s="1"/>
  <c r="FU172" i="1" s="1"/>
  <c r="FV172" i="1" s="1"/>
  <c r="FX172" i="1" s="1"/>
  <c r="FS155" i="1"/>
  <c r="FT155" i="1" s="1"/>
  <c r="FU155" i="1" s="1"/>
  <c r="FV155" i="1" s="1"/>
  <c r="FX155" i="1" s="1"/>
  <c r="FS233" i="1"/>
  <c r="FT233" i="1" s="1"/>
  <c r="FU233" i="1" s="1"/>
  <c r="FV233" i="1" s="1"/>
  <c r="FX233" i="1" s="1"/>
  <c r="FS255" i="1"/>
  <c r="FT255" i="1" s="1"/>
  <c r="FU255" i="1" s="1"/>
  <c r="FV255" i="1" s="1"/>
  <c r="FX255" i="1" s="1"/>
  <c r="FS298" i="1"/>
  <c r="FT298" i="1" s="1"/>
  <c r="FU298" i="1" s="1"/>
  <c r="FV298" i="1" s="1"/>
  <c r="FX298" i="1" s="1"/>
  <c r="FS98" i="1"/>
  <c r="FT98" i="1" s="1"/>
  <c r="FU98" i="1" s="1"/>
  <c r="FV98" i="1" s="1"/>
  <c r="FX98" i="1" s="1"/>
  <c r="FS150" i="1"/>
  <c r="FT150" i="1" s="1"/>
  <c r="FU150" i="1" s="1"/>
  <c r="FV150" i="1" s="1"/>
  <c r="FX150" i="1" s="1"/>
  <c r="FS93" i="1"/>
  <c r="FT93" i="1" s="1"/>
  <c r="FU93" i="1" s="1"/>
  <c r="FV93" i="1" s="1"/>
  <c r="FX93" i="1" s="1"/>
  <c r="FS159" i="1"/>
  <c r="FT159" i="1" s="1"/>
  <c r="FU159" i="1" s="1"/>
  <c r="FV159" i="1" s="1"/>
  <c r="FX159" i="1" s="1"/>
  <c r="GN281" i="1"/>
  <c r="GO281" i="1" s="1"/>
  <c r="GP281" i="1" s="1"/>
  <c r="GS281" i="1" s="1"/>
  <c r="GW281" i="1" s="1"/>
  <c r="GX281" i="1" s="1"/>
  <c r="GY281" i="1" s="1"/>
  <c r="GZ281" i="1" s="1"/>
  <c r="GN46" i="1"/>
  <c r="GO46" i="1" s="1"/>
  <c r="GP46" i="1" s="1"/>
  <c r="GS46" i="1" s="1"/>
  <c r="GW46" i="1" s="1"/>
  <c r="GX46" i="1" s="1"/>
  <c r="GY46" i="1" s="1"/>
  <c r="GZ46" i="1" s="1"/>
  <c r="GN239" i="1"/>
  <c r="GO239" i="1" s="1"/>
  <c r="GP239" i="1" s="1"/>
  <c r="GS239" i="1" s="1"/>
  <c r="GW239" i="1" s="1"/>
  <c r="GX239" i="1" s="1"/>
  <c r="GY239" i="1" s="1"/>
  <c r="GZ239" i="1" s="1"/>
  <c r="GN221" i="1"/>
  <c r="GO221" i="1" s="1"/>
  <c r="GP221" i="1" s="1"/>
  <c r="GS221" i="1" s="1"/>
  <c r="GW221" i="1" s="1"/>
  <c r="GX221" i="1" s="1"/>
  <c r="GY221" i="1" s="1"/>
  <c r="GZ221" i="1" s="1"/>
  <c r="GN30" i="1"/>
  <c r="GO30" i="1" s="1"/>
  <c r="GP30" i="1" s="1"/>
  <c r="GS30" i="1" s="1"/>
  <c r="GW30" i="1" s="1"/>
  <c r="GX30" i="1" s="1"/>
  <c r="GY30" i="1" s="1"/>
  <c r="GZ30" i="1" s="1"/>
  <c r="GN205" i="1"/>
  <c r="GO205" i="1" s="1"/>
  <c r="GP205" i="1" s="1"/>
  <c r="GS205" i="1" s="1"/>
  <c r="GW205" i="1" s="1"/>
  <c r="GX205" i="1" s="1"/>
  <c r="GY205" i="1" s="1"/>
  <c r="GZ205" i="1" s="1"/>
  <c r="FS300" i="1"/>
  <c r="FT300" i="1" s="1"/>
  <c r="FU300" i="1" s="1"/>
  <c r="FV300" i="1" s="1"/>
  <c r="FX300" i="1" s="1"/>
  <c r="FS104" i="1"/>
  <c r="FT104" i="1" s="1"/>
  <c r="FU104" i="1" s="1"/>
  <c r="FV104" i="1" s="1"/>
  <c r="FX104" i="1" s="1"/>
  <c r="FS296" i="1"/>
  <c r="FT296" i="1" s="1"/>
  <c r="FU296" i="1" s="1"/>
  <c r="FV296" i="1" s="1"/>
  <c r="FX296" i="1" s="1"/>
  <c r="FS145" i="1"/>
  <c r="FT145" i="1" s="1"/>
  <c r="FU145" i="1" s="1"/>
  <c r="FV145" i="1" s="1"/>
  <c r="FX145" i="1" s="1"/>
  <c r="FS7" i="1"/>
  <c r="FT7" i="1" s="1"/>
  <c r="FU7" i="1" s="1"/>
  <c r="FV7" i="1" s="1"/>
  <c r="FX7" i="1" s="1"/>
  <c r="FS223" i="1"/>
  <c r="FT223" i="1" s="1"/>
  <c r="FU223" i="1" s="1"/>
  <c r="FV223" i="1" s="1"/>
  <c r="FX223" i="1" s="1"/>
  <c r="FS4" i="1"/>
  <c r="FT4" i="1" s="1"/>
  <c r="FU4" i="1" s="1"/>
  <c r="FV4" i="1" s="1"/>
  <c r="FX4" i="1" s="1"/>
  <c r="FS304" i="1"/>
  <c r="FT304" i="1" s="1"/>
  <c r="FU304" i="1" s="1"/>
  <c r="FV304" i="1" s="1"/>
  <c r="FX304" i="1" s="1"/>
  <c r="GL40" i="1"/>
  <c r="GN43" i="1"/>
  <c r="GO43" i="1" s="1"/>
  <c r="GP43" i="1" s="1"/>
  <c r="GS43" i="1" s="1"/>
  <c r="GW43" i="1" s="1"/>
  <c r="GX43" i="1" s="1"/>
  <c r="GY43" i="1" s="1"/>
  <c r="GZ43" i="1" s="1"/>
  <c r="GN246" i="1"/>
  <c r="GO246" i="1" s="1"/>
  <c r="GP246" i="1" s="1"/>
  <c r="GS246" i="1" s="1"/>
  <c r="GW246" i="1" s="1"/>
  <c r="GX246" i="1" s="1"/>
  <c r="GY246" i="1" s="1"/>
  <c r="GZ246" i="1" s="1"/>
  <c r="GL194" i="1"/>
  <c r="GN301" i="1"/>
  <c r="GO301" i="1" s="1"/>
  <c r="GP301" i="1" s="1"/>
  <c r="GS301" i="1" s="1"/>
  <c r="GW301" i="1" s="1"/>
  <c r="GX301" i="1" s="1"/>
  <c r="GY301" i="1" s="1"/>
  <c r="GZ301" i="1" s="1"/>
  <c r="GN241" i="1"/>
  <c r="GO241" i="1" s="1"/>
  <c r="GP241" i="1" s="1"/>
  <c r="GS241" i="1" s="1"/>
  <c r="GW241" i="1" s="1"/>
  <c r="GX241" i="1" s="1"/>
  <c r="GY241" i="1" s="1"/>
  <c r="GZ241" i="1" s="1"/>
  <c r="GN244" i="1"/>
  <c r="GO244" i="1" s="1"/>
  <c r="GP244" i="1" s="1"/>
  <c r="GS244" i="1" s="1"/>
  <c r="GW244" i="1" s="1"/>
  <c r="GX244" i="1" s="1"/>
  <c r="GY244" i="1" s="1"/>
  <c r="GZ244" i="1" s="1"/>
  <c r="GN259" i="1"/>
  <c r="GO259" i="1" s="1"/>
  <c r="GP259" i="1" s="1"/>
  <c r="GS259" i="1" s="1"/>
  <c r="GW259" i="1" s="1"/>
  <c r="GX259" i="1" s="1"/>
  <c r="GY259" i="1" s="1"/>
  <c r="GZ259" i="1" s="1"/>
  <c r="GN141" i="1"/>
  <c r="GO141" i="1" s="1"/>
  <c r="GP141" i="1" s="1"/>
  <c r="GS141" i="1" s="1"/>
  <c r="GW141" i="1" s="1"/>
  <c r="GX141" i="1" s="1"/>
  <c r="GY141" i="1" s="1"/>
  <c r="GZ141" i="1" s="1"/>
  <c r="GN18" i="1"/>
  <c r="GO18" i="1" s="1"/>
  <c r="GP18" i="1" s="1"/>
  <c r="GS18" i="1" s="1"/>
  <c r="GW18" i="1" s="1"/>
  <c r="GX18" i="1" s="1"/>
  <c r="GY18" i="1" s="1"/>
  <c r="GZ18" i="1" s="1"/>
  <c r="GN161" i="1"/>
  <c r="GO161" i="1" s="1"/>
  <c r="GP161" i="1" s="1"/>
  <c r="GS161" i="1" s="1"/>
  <c r="GW161" i="1" s="1"/>
  <c r="GX161" i="1" s="1"/>
  <c r="GY161" i="1" s="1"/>
  <c r="GZ161" i="1" s="1"/>
  <c r="GN14" i="1"/>
  <c r="GO14" i="1" s="1"/>
  <c r="GP14" i="1" s="1"/>
  <c r="GS14" i="1" s="1"/>
  <c r="GW14" i="1" s="1"/>
  <c r="GX14" i="1" s="1"/>
  <c r="GY14" i="1" s="1"/>
  <c r="GZ14" i="1" s="1"/>
  <c r="GN269" i="1"/>
  <c r="GO269" i="1" s="1"/>
  <c r="GP269" i="1" s="1"/>
  <c r="GS269" i="1" s="1"/>
  <c r="GW269" i="1" s="1"/>
  <c r="GX269" i="1" s="1"/>
  <c r="GY269" i="1" s="1"/>
  <c r="GZ269" i="1" s="1"/>
  <c r="GN233" i="1"/>
  <c r="GO233" i="1" s="1"/>
  <c r="GP233" i="1" s="1"/>
  <c r="GS233" i="1" s="1"/>
  <c r="GW233" i="1" s="1"/>
  <c r="GX233" i="1" s="1"/>
  <c r="GY233" i="1" s="1"/>
  <c r="GZ233" i="1" s="1"/>
  <c r="GN189" i="1"/>
  <c r="GO189" i="1" s="1"/>
  <c r="GP189" i="1" s="1"/>
  <c r="GS189" i="1" s="1"/>
  <c r="GW189" i="1" s="1"/>
  <c r="GX189" i="1" s="1"/>
  <c r="GY189" i="1" s="1"/>
  <c r="GZ189" i="1" s="1"/>
  <c r="GN41" i="1"/>
  <c r="GO41" i="1" s="1"/>
  <c r="GP41" i="1" s="1"/>
  <c r="GS41" i="1" s="1"/>
  <c r="GW41" i="1" s="1"/>
  <c r="GX41" i="1" s="1"/>
  <c r="GY41" i="1" s="1"/>
  <c r="GZ41" i="1" s="1"/>
  <c r="GN209" i="1"/>
  <c r="GO209" i="1" s="1"/>
  <c r="GP209" i="1" s="1"/>
  <c r="GS209" i="1" s="1"/>
  <c r="GW209" i="1" s="1"/>
  <c r="GX209" i="1" s="1"/>
  <c r="GY209" i="1" s="1"/>
  <c r="GZ209" i="1" s="1"/>
  <c r="GN234" i="1"/>
  <c r="GO234" i="1" s="1"/>
  <c r="GP234" i="1" s="1"/>
  <c r="GS234" i="1" s="1"/>
  <c r="GW234" i="1" s="1"/>
  <c r="GX234" i="1" s="1"/>
  <c r="GY234" i="1" s="1"/>
  <c r="GZ234" i="1" s="1"/>
  <c r="GN178" i="1"/>
  <c r="GO178" i="1" s="1"/>
  <c r="GP178" i="1" s="1"/>
  <c r="GS178" i="1" s="1"/>
  <c r="GW178" i="1" s="1"/>
  <c r="GX178" i="1" s="1"/>
  <c r="GY178" i="1" s="1"/>
  <c r="GZ178" i="1" s="1"/>
  <c r="GN53" i="1"/>
  <c r="GO53" i="1" s="1"/>
  <c r="GP53" i="1" s="1"/>
  <c r="GS53" i="1" s="1"/>
  <c r="GW53" i="1" s="1"/>
  <c r="GX53" i="1" s="1"/>
  <c r="GY53" i="1" s="1"/>
  <c r="GZ53" i="1" s="1"/>
  <c r="GN231" i="1"/>
  <c r="GO231" i="1" s="1"/>
  <c r="GP231" i="1" s="1"/>
  <c r="GS231" i="1" s="1"/>
  <c r="GW231" i="1" s="1"/>
  <c r="GX231" i="1" s="1"/>
  <c r="GY231" i="1" s="1"/>
  <c r="GZ231" i="1" s="1"/>
  <c r="GN305" i="1"/>
  <c r="GO305" i="1" s="1"/>
  <c r="GP305" i="1" s="1"/>
  <c r="GS305" i="1" s="1"/>
  <c r="GW305" i="1" s="1"/>
  <c r="GX305" i="1" s="1"/>
  <c r="GY305" i="1" s="1"/>
  <c r="GZ305" i="1" s="1"/>
  <c r="GY123" i="1"/>
  <c r="GZ123" i="1" s="1"/>
  <c r="GN48" i="1"/>
  <c r="GO48" i="1" s="1"/>
  <c r="GP48" i="1" s="1"/>
  <c r="GS48" i="1" s="1"/>
  <c r="GW48" i="1" s="1"/>
  <c r="GX48" i="1" s="1"/>
  <c r="GY48" i="1" s="1"/>
  <c r="GZ48" i="1" s="1"/>
  <c r="GN80" i="1"/>
  <c r="GO80" i="1" s="1"/>
  <c r="GP80" i="1" s="1"/>
  <c r="GS80" i="1" s="1"/>
  <c r="GW80" i="1" s="1"/>
  <c r="GX80" i="1" s="1"/>
  <c r="GY80" i="1" s="1"/>
  <c r="GZ80" i="1" s="1"/>
  <c r="GN143" i="1"/>
  <c r="GO143" i="1" s="1"/>
  <c r="GP143" i="1" s="1"/>
  <c r="GS143" i="1" s="1"/>
  <c r="GW143" i="1" s="1"/>
  <c r="GX143" i="1" s="1"/>
  <c r="GY143" i="1" s="1"/>
  <c r="GZ143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119" i="1"/>
  <c r="GO119" i="1" s="1"/>
  <c r="GP119" i="1" s="1"/>
  <c r="GS119" i="1" s="1"/>
  <c r="GW119" i="1" s="1"/>
  <c r="GX119" i="1" s="1"/>
  <c r="GY119" i="1" s="1"/>
  <c r="GZ119" i="1" s="1"/>
  <c r="GN117" i="1"/>
  <c r="GO117" i="1" s="1"/>
  <c r="GP117" i="1" s="1"/>
  <c r="GS117" i="1" s="1"/>
  <c r="GW117" i="1" s="1"/>
  <c r="GX117" i="1" s="1"/>
  <c r="GY117" i="1" s="1"/>
  <c r="GZ117" i="1" s="1"/>
  <c r="GN175" i="1"/>
  <c r="GO175" i="1" s="1"/>
  <c r="GP175" i="1" s="1"/>
  <c r="GS175" i="1" s="1"/>
  <c r="GW175" i="1" s="1"/>
  <c r="GX175" i="1" s="1"/>
  <c r="GY175" i="1" s="1"/>
  <c r="GZ175" i="1" s="1"/>
  <c r="GN199" i="1"/>
  <c r="GO199" i="1" s="1"/>
  <c r="GP199" i="1" s="1"/>
  <c r="GS199" i="1" s="1"/>
  <c r="GW199" i="1" s="1"/>
  <c r="GX199" i="1" s="1"/>
  <c r="GY199" i="1" s="1"/>
  <c r="GZ199" i="1" s="1"/>
  <c r="GN275" i="1"/>
  <c r="GO275" i="1" s="1"/>
  <c r="GP275" i="1" s="1"/>
  <c r="GS275" i="1" s="1"/>
  <c r="GW275" i="1" s="1"/>
  <c r="GX275" i="1" s="1"/>
  <c r="GY275" i="1" s="1"/>
  <c r="GZ275" i="1" s="1"/>
  <c r="GN106" i="1"/>
  <c r="GO106" i="1" s="1"/>
  <c r="GP106" i="1" s="1"/>
  <c r="GS106" i="1" s="1"/>
  <c r="GW106" i="1" s="1"/>
  <c r="GX106" i="1" s="1"/>
  <c r="GY106" i="1" s="1"/>
  <c r="GZ106" i="1" s="1"/>
  <c r="GN100" i="1"/>
  <c r="GO100" i="1" s="1"/>
  <c r="GP100" i="1" s="1"/>
  <c r="GS100" i="1" s="1"/>
  <c r="GW100" i="1" s="1"/>
  <c r="GX100" i="1" s="1"/>
  <c r="GY100" i="1" s="1"/>
  <c r="GZ100" i="1" s="1"/>
  <c r="GY263" i="1"/>
  <c r="GZ263" i="1" s="1"/>
  <c r="GN264" i="1"/>
  <c r="GO264" i="1" s="1"/>
  <c r="GP264" i="1" s="1"/>
  <c r="GS264" i="1" s="1"/>
  <c r="GW264" i="1" s="1"/>
  <c r="GX264" i="1" s="1"/>
  <c r="GY264" i="1" s="1"/>
  <c r="GZ264" i="1" s="1"/>
  <c r="GN126" i="1"/>
  <c r="GO126" i="1" s="1"/>
  <c r="GP126" i="1" s="1"/>
  <c r="GS126" i="1" s="1"/>
  <c r="GW126" i="1" s="1"/>
  <c r="GX126" i="1" s="1"/>
  <c r="GY126" i="1" s="1"/>
  <c r="GZ126" i="1" s="1"/>
  <c r="GN238" i="1"/>
  <c r="GO238" i="1" s="1"/>
  <c r="GP238" i="1" s="1"/>
  <c r="GS238" i="1" s="1"/>
  <c r="GW238" i="1" s="1"/>
  <c r="GX238" i="1" s="1"/>
  <c r="GY238" i="1" s="1"/>
  <c r="GZ238" i="1" s="1"/>
  <c r="GN37" i="1"/>
  <c r="GO37" i="1" s="1"/>
  <c r="GP37" i="1" s="1"/>
  <c r="GS37" i="1" s="1"/>
  <c r="GW37" i="1" s="1"/>
  <c r="GX37" i="1" s="1"/>
  <c r="GY37" i="1" s="1"/>
  <c r="GZ37" i="1" s="1"/>
  <c r="GP95" i="1"/>
  <c r="GS95" i="1" s="1"/>
  <c r="GW95" i="1" s="1"/>
  <c r="GX95" i="1" s="1"/>
  <c r="GY95" i="1" s="1"/>
  <c r="GZ95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68" i="1"/>
  <c r="GO268" i="1" s="1"/>
  <c r="GP268" i="1" s="1"/>
  <c r="GS268" i="1" s="1"/>
  <c r="GW268" i="1" s="1"/>
  <c r="GX268" i="1" s="1"/>
  <c r="GY268" i="1" s="1"/>
  <c r="GZ268" i="1" s="1"/>
  <c r="GN55" i="1"/>
  <c r="GO55" i="1" s="1"/>
  <c r="GP55" i="1" s="1"/>
  <c r="GS55" i="1" s="1"/>
  <c r="GW55" i="1" s="1"/>
  <c r="GX55" i="1" s="1"/>
  <c r="GY55" i="1" s="1"/>
  <c r="GZ55" i="1" s="1"/>
  <c r="GN168" i="1"/>
  <c r="GO168" i="1" s="1"/>
  <c r="GP168" i="1" s="1"/>
  <c r="GS168" i="1" s="1"/>
  <c r="GW168" i="1" s="1"/>
  <c r="GX168" i="1" s="1"/>
  <c r="GY168" i="1" s="1"/>
  <c r="GZ168" i="1" s="1"/>
  <c r="GN52" i="1"/>
  <c r="GO52" i="1" s="1"/>
  <c r="GP52" i="1" s="1"/>
  <c r="GS52" i="1" s="1"/>
  <c r="GW52" i="1" s="1"/>
  <c r="GX52" i="1" s="1"/>
  <c r="GY52" i="1" s="1"/>
  <c r="GZ52" i="1" s="1"/>
  <c r="GS134" i="1"/>
  <c r="GW134" i="1" s="1"/>
  <c r="GX134" i="1" s="1"/>
  <c r="GN91" i="1"/>
  <c r="GO91" i="1" s="1"/>
  <c r="GP91" i="1" s="1"/>
  <c r="GS91" i="1" s="1"/>
  <c r="GW91" i="1" s="1"/>
  <c r="GX91" i="1" s="1"/>
  <c r="GY91" i="1" s="1"/>
  <c r="GZ91" i="1" s="1"/>
  <c r="GN10" i="1"/>
  <c r="GO10" i="1" s="1"/>
  <c r="GP10" i="1" s="1"/>
  <c r="GS10" i="1" s="1"/>
  <c r="GW10" i="1" s="1"/>
  <c r="GX10" i="1" s="1"/>
  <c r="GY10" i="1" s="1"/>
  <c r="GZ10" i="1" s="1"/>
  <c r="GN65" i="1"/>
  <c r="GO65" i="1" s="1"/>
  <c r="GP65" i="1" s="1"/>
  <c r="GS65" i="1" s="1"/>
  <c r="GW65" i="1" s="1"/>
  <c r="GX65" i="1" s="1"/>
  <c r="GY65" i="1" s="1"/>
  <c r="GZ65" i="1" s="1"/>
  <c r="GN107" i="1"/>
  <c r="GO107" i="1" s="1"/>
  <c r="GP107" i="1" s="1"/>
  <c r="GS107" i="1" s="1"/>
  <c r="GW107" i="1" s="1"/>
  <c r="GX107" i="1" s="1"/>
  <c r="GY107" i="1" s="1"/>
  <c r="GZ107" i="1" s="1"/>
  <c r="GN289" i="1"/>
  <c r="GO289" i="1" s="1"/>
  <c r="GP289" i="1" s="1"/>
  <c r="GS289" i="1" s="1"/>
  <c r="GW289" i="1" s="1"/>
  <c r="GX289" i="1" s="1"/>
  <c r="GY289" i="1" s="1"/>
  <c r="GZ289" i="1" s="1"/>
  <c r="GN249" i="1"/>
  <c r="GO249" i="1" s="1"/>
  <c r="GP249" i="1" s="1"/>
  <c r="GS249" i="1" s="1"/>
  <c r="GW249" i="1" s="1"/>
  <c r="GX249" i="1" s="1"/>
  <c r="GY249" i="1" s="1"/>
  <c r="GZ249" i="1" s="1"/>
  <c r="GN94" i="1"/>
  <c r="GO94" i="1" s="1"/>
  <c r="GP94" i="1" s="1"/>
  <c r="GS94" i="1" s="1"/>
  <c r="GW94" i="1" s="1"/>
  <c r="GX94" i="1" s="1"/>
  <c r="GY94" i="1" s="1"/>
  <c r="GZ94" i="1" s="1"/>
  <c r="GP137" i="1"/>
  <c r="GS137" i="1" s="1"/>
  <c r="GW137" i="1" s="1"/>
  <c r="GX137" i="1" s="1"/>
  <c r="GY137" i="1" s="1"/>
  <c r="GZ137" i="1" s="1"/>
  <c r="GP17" i="1"/>
  <c r="GS17" i="1" s="1"/>
  <c r="GW17" i="1" s="1"/>
  <c r="GX17" i="1" s="1"/>
  <c r="GY17" i="1" s="1"/>
  <c r="GZ17" i="1" s="1"/>
  <c r="GN220" i="1"/>
  <c r="GO220" i="1" s="1"/>
  <c r="GP220" i="1" s="1"/>
  <c r="GS220" i="1" s="1"/>
  <c r="GW220" i="1" s="1"/>
  <c r="GX220" i="1" s="1"/>
  <c r="GY220" i="1" s="1"/>
  <c r="GZ220" i="1" s="1"/>
  <c r="GN131" i="1"/>
  <c r="GO131" i="1" s="1"/>
  <c r="GP131" i="1" s="1"/>
  <c r="GS131" i="1" s="1"/>
  <c r="GW131" i="1" s="1"/>
  <c r="GX131" i="1" s="1"/>
  <c r="GY131" i="1" s="1"/>
  <c r="GZ131" i="1" s="1"/>
  <c r="GN110" i="1"/>
  <c r="GO110" i="1" s="1"/>
  <c r="GP110" i="1" s="1"/>
  <c r="GS110" i="1" s="1"/>
  <c r="GW110" i="1" s="1"/>
  <c r="GX110" i="1" s="1"/>
  <c r="GY110" i="1" s="1"/>
  <c r="GZ110" i="1" s="1"/>
  <c r="GN267" i="1"/>
  <c r="GO267" i="1" s="1"/>
  <c r="GP267" i="1" s="1"/>
  <c r="GS267" i="1" s="1"/>
  <c r="GW267" i="1" s="1"/>
  <c r="GX267" i="1" s="1"/>
  <c r="GY267" i="1" s="1"/>
  <c r="GZ267" i="1" s="1"/>
  <c r="GP81" i="1"/>
  <c r="GS81" i="1" s="1"/>
  <c r="GW81" i="1" s="1"/>
  <c r="GX81" i="1" s="1"/>
  <c r="GY81" i="1" s="1"/>
  <c r="GZ81" i="1" s="1"/>
  <c r="GN69" i="1"/>
  <c r="GO69" i="1" s="1"/>
  <c r="GP69" i="1" s="1"/>
  <c r="GS69" i="1" s="1"/>
  <c r="GW69" i="1" s="1"/>
  <c r="GX69" i="1" s="1"/>
  <c r="GY69" i="1" s="1"/>
  <c r="GZ69" i="1" s="1"/>
  <c r="GN75" i="1"/>
  <c r="GO75" i="1" s="1"/>
  <c r="GP75" i="1" s="1"/>
  <c r="GS75" i="1" s="1"/>
  <c r="GW75" i="1" s="1"/>
  <c r="GX75" i="1" s="1"/>
  <c r="GY75" i="1" s="1"/>
  <c r="GZ75" i="1" s="1"/>
  <c r="GN121" i="1"/>
  <c r="GO121" i="1" s="1"/>
  <c r="GP121" i="1" s="1"/>
  <c r="GS121" i="1" s="1"/>
  <c r="GW121" i="1" s="1"/>
  <c r="GX121" i="1" s="1"/>
  <c r="GY121" i="1" s="1"/>
  <c r="GZ121" i="1" s="1"/>
  <c r="GP182" i="1"/>
  <c r="GS182" i="1" s="1"/>
  <c r="GW182" i="1" s="1"/>
  <c r="GX182" i="1" s="1"/>
  <c r="GY182" i="1" s="1"/>
  <c r="GZ182" i="1" s="1"/>
  <c r="GN144" i="1"/>
  <c r="GO144" i="1" s="1"/>
  <c r="GP144" i="1" s="1"/>
  <c r="GS144" i="1" s="1"/>
  <c r="GW144" i="1" s="1"/>
  <c r="GX144" i="1" s="1"/>
  <c r="GY144" i="1" s="1"/>
  <c r="GZ144" i="1" s="1"/>
  <c r="GN284" i="1"/>
  <c r="GO284" i="1" s="1"/>
  <c r="GP284" i="1" s="1"/>
  <c r="GS284" i="1" s="1"/>
  <c r="GW284" i="1" s="1"/>
  <c r="GX284" i="1" s="1"/>
  <c r="GY284" i="1" s="1"/>
  <c r="GZ284" i="1" s="1"/>
  <c r="GN258" i="1"/>
  <c r="GO258" i="1" s="1"/>
  <c r="GP258" i="1" s="1"/>
  <c r="GS258" i="1" s="1"/>
  <c r="GW258" i="1" s="1"/>
  <c r="GX258" i="1" s="1"/>
  <c r="GY258" i="1" s="1"/>
  <c r="GZ258" i="1" s="1"/>
  <c r="GN105" i="1"/>
  <c r="GO105" i="1" s="1"/>
  <c r="GP105" i="1" s="1"/>
  <c r="GS105" i="1" s="1"/>
  <c r="GW105" i="1" s="1"/>
  <c r="GX105" i="1" s="1"/>
  <c r="GY105" i="1" s="1"/>
  <c r="GZ105" i="1" s="1"/>
  <c r="GP297" i="1"/>
  <c r="GS297" i="1" s="1"/>
  <c r="GW297" i="1" s="1"/>
  <c r="GX297" i="1" s="1"/>
  <c r="GY297" i="1" s="1"/>
  <c r="GZ297" i="1" s="1"/>
  <c r="GN180" i="1"/>
  <c r="GO180" i="1" s="1"/>
  <c r="GP180" i="1" s="1"/>
  <c r="GS180" i="1" s="1"/>
  <c r="GW180" i="1" s="1"/>
  <c r="GX180" i="1" s="1"/>
  <c r="GY180" i="1" s="1"/>
  <c r="GZ180" i="1" s="1"/>
  <c r="GN49" i="1"/>
  <c r="GO49" i="1" s="1"/>
  <c r="GP49" i="1" s="1"/>
  <c r="GS49" i="1" s="1"/>
  <c r="GW49" i="1" s="1"/>
  <c r="GX49" i="1" s="1"/>
  <c r="GY49" i="1" s="1"/>
  <c r="GZ49" i="1" s="1"/>
  <c r="GP204" i="1"/>
  <c r="GS204" i="1" s="1"/>
  <c r="GW204" i="1" s="1"/>
  <c r="GX204" i="1" s="1"/>
  <c r="GY204" i="1" s="1"/>
  <c r="GZ204" i="1" s="1"/>
  <c r="GN181" i="1"/>
  <c r="GO181" i="1" s="1"/>
  <c r="GP181" i="1" s="1"/>
  <c r="GS181" i="1" s="1"/>
  <c r="GW181" i="1" s="1"/>
  <c r="GX181" i="1" s="1"/>
  <c r="GY181" i="1" s="1"/>
  <c r="GZ181" i="1" s="1"/>
  <c r="GN61" i="1"/>
  <c r="GO61" i="1" s="1"/>
  <c r="GP61" i="1" s="1"/>
  <c r="GS61" i="1" s="1"/>
  <c r="GW61" i="1" s="1"/>
  <c r="GX61" i="1" s="1"/>
  <c r="GY61" i="1" s="1"/>
  <c r="GZ61" i="1" s="1"/>
  <c r="GN206" i="1"/>
  <c r="GO206" i="1" s="1"/>
  <c r="GP206" i="1" s="1"/>
  <c r="GS206" i="1" s="1"/>
  <c r="GW206" i="1" s="1"/>
  <c r="GX206" i="1" s="1"/>
  <c r="GY206" i="1" s="1"/>
  <c r="GZ206" i="1" s="1"/>
  <c r="GN242" i="1"/>
  <c r="GO242" i="1" s="1"/>
  <c r="GP242" i="1" s="1"/>
  <c r="GS242" i="1" s="1"/>
  <c r="GW242" i="1" s="1"/>
  <c r="GX242" i="1" s="1"/>
  <c r="GY242" i="1" s="1"/>
  <c r="GZ242" i="1" s="1"/>
  <c r="GP88" i="1"/>
  <c r="GS88" i="1" s="1"/>
  <c r="GW88" i="1" s="1"/>
  <c r="GX88" i="1" s="1"/>
  <c r="GY88" i="1" s="1"/>
  <c r="GZ88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Y270" i="1"/>
  <c r="GZ270" i="1" s="1"/>
  <c r="GN45" i="1"/>
  <c r="GO45" i="1" s="1"/>
  <c r="GP45" i="1" s="1"/>
  <c r="GS45" i="1" s="1"/>
  <c r="GW45" i="1" s="1"/>
  <c r="GX45" i="1" s="1"/>
  <c r="GY45" i="1" s="1"/>
  <c r="GZ45" i="1" s="1"/>
  <c r="GN66" i="1"/>
  <c r="GO66" i="1" s="1"/>
  <c r="GP66" i="1" s="1"/>
  <c r="GS66" i="1" s="1"/>
  <c r="GW66" i="1" s="1"/>
  <c r="GX66" i="1" s="1"/>
  <c r="GY66" i="1" s="1"/>
  <c r="GZ66" i="1" s="1"/>
  <c r="GN196" i="1"/>
  <c r="GO196" i="1" s="1"/>
  <c r="GP196" i="1" s="1"/>
  <c r="GS196" i="1" s="1"/>
  <c r="GW196" i="1" s="1"/>
  <c r="GX196" i="1" s="1"/>
  <c r="GY196" i="1" s="1"/>
  <c r="GZ196" i="1" s="1"/>
  <c r="GN2" i="1"/>
  <c r="GO2" i="1" s="1"/>
  <c r="GP2" i="1" s="1"/>
  <c r="GS2" i="1" s="1"/>
  <c r="GP256" i="1" l="1"/>
  <c r="GS256" i="1" s="1"/>
  <c r="GW256" i="1" s="1"/>
  <c r="GX256" i="1" s="1"/>
  <c r="GY256" i="1" s="1"/>
  <c r="GZ256" i="1" s="1"/>
  <c r="GP3" i="1"/>
  <c r="GS3" i="1" s="1"/>
  <c r="GW3" i="1" s="1"/>
  <c r="GX3" i="1" s="1"/>
  <c r="GY3" i="1" s="1"/>
  <c r="GZ3" i="1" s="1"/>
  <c r="GP265" i="1"/>
  <c r="GS265" i="1" s="1"/>
  <c r="GW265" i="1" s="1"/>
  <c r="GX265" i="1" s="1"/>
  <c r="GY265" i="1" s="1"/>
  <c r="GZ265" i="1" s="1"/>
  <c r="GP277" i="1"/>
  <c r="GS277" i="1" s="1"/>
  <c r="GW277" i="1" s="1"/>
  <c r="GX277" i="1" s="1"/>
  <c r="GY277" i="1" s="1"/>
  <c r="GZ277" i="1" s="1"/>
  <c r="GM89" i="1"/>
  <c r="GN89" i="1"/>
  <c r="GO89" i="1" s="1"/>
  <c r="GP89" i="1" s="1"/>
  <c r="GS89" i="1" s="1"/>
  <c r="GW89" i="1" s="1"/>
  <c r="GX89" i="1" s="1"/>
  <c r="GY89" i="1" s="1"/>
  <c r="GZ89" i="1" s="1"/>
  <c r="GM40" i="1"/>
  <c r="GN40" i="1"/>
  <c r="GO40" i="1" s="1"/>
  <c r="GP40" i="1" s="1"/>
  <c r="GS40" i="1" s="1"/>
  <c r="GW40" i="1" s="1"/>
  <c r="GX40" i="1" s="1"/>
  <c r="GY40" i="1" s="1"/>
  <c r="GZ40" i="1" s="1"/>
  <c r="GM194" i="1"/>
  <c r="GN194" i="1"/>
  <c r="GO194" i="1" s="1"/>
  <c r="GP194" i="1" s="1"/>
  <c r="GS194" i="1" s="1"/>
  <c r="GW194" i="1" s="1"/>
  <c r="GX194" i="1" s="1"/>
  <c r="GY194" i="1" s="1"/>
  <c r="GZ194" i="1" s="1"/>
  <c r="GY134" i="1"/>
  <c r="GZ134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</calcChain>
</file>

<file path=xl/sharedStrings.xml><?xml version="1.0" encoding="utf-8"?>
<sst xmlns="http://schemas.openxmlformats.org/spreadsheetml/2006/main" count="2028" uniqueCount="990">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</sst>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5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file:///F:\School%20n%20WBTPTA\WBTPTA\salaryRemodified\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ile:///F:\School%20n%20WBTPTA\WBTPTA\salaryRemodified\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22822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61490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60294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60294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71100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60294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61510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  <cell r="J127">
            <v>34471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61490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71100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28284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46920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51784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60294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34471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60274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45704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34425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05"/>
  <sheetViews>
    <sheetView tabSelected="1" topLeftCell="C1" workbookViewId="0">
      <pane ySplit="1" topLeftCell="A121" activePane="bottomLeft" state="frozen"/>
      <selection pane="bottomLeft" activeCell="C145" sqref="C145"/>
    </sheetView>
  </sheetViews>
  <sheetFormatPr defaultRowHeight="14.4" x14ac:dyDescent="0.3"/>
  <cols>
    <col min="1" max="1" width="4" bestFit="1" customWidth="1"/>
    <col min="2" max="2" width="21" bestFit="1" customWidth="1"/>
    <col min="3" max="3" width="33" bestFit="1" customWidth="1"/>
    <col min="4" max="4" width="48.44140625" bestFit="1" customWidth="1"/>
    <col min="5" max="5" width="12.6640625" bestFit="1" customWidth="1"/>
    <col min="6" max="6" width="4.109375" bestFit="1" customWidth="1"/>
    <col min="7" max="7" width="10.44140625" bestFit="1" customWidth="1"/>
    <col min="8" max="8" width="6.44140625" bestFit="1" customWidth="1"/>
    <col min="9" max="9" width="6.33203125" bestFit="1" customWidth="1"/>
    <col min="10" max="10" width="10.88671875" bestFit="1" customWidth="1"/>
    <col min="11" max="11" width="9" bestFit="1" customWidth="1"/>
    <col min="12" max="12" width="10.109375" bestFit="1" customWidth="1"/>
    <col min="13" max="13" width="10.5546875" bestFit="1" customWidth="1"/>
    <col min="14" max="14" width="9.44140625" bestFit="1" customWidth="1"/>
    <col min="15" max="15" width="11.33203125" bestFit="1" customWidth="1"/>
    <col min="16" max="16" width="9.88671875" bestFit="1" customWidth="1"/>
    <col min="17" max="17" width="10.109375" bestFit="1" customWidth="1"/>
    <col min="18" max="18" width="11" bestFit="1" customWidth="1"/>
    <col min="19" max="19" width="12.88671875" bestFit="1" customWidth="1"/>
    <col min="20" max="20" width="9.44140625" bestFit="1" customWidth="1"/>
    <col min="21" max="21" width="7.5546875" bestFit="1" customWidth="1"/>
    <col min="22" max="22" width="8.6640625" bestFit="1" customWidth="1"/>
    <col min="23" max="23" width="9.109375" bestFit="1" customWidth="1"/>
    <col min="24" max="24" width="8" bestFit="1" customWidth="1"/>
    <col min="25" max="25" width="9.88671875" bestFit="1" customWidth="1"/>
    <col min="26" max="26" width="8.44140625" bestFit="1" customWidth="1"/>
    <col min="27" max="27" width="8.6640625" bestFit="1" customWidth="1"/>
    <col min="28" max="28" width="9.5546875" bestFit="1" customWidth="1"/>
    <col min="29" max="29" width="11.44140625" bestFit="1" customWidth="1"/>
    <col min="30" max="30" width="9.109375" bestFit="1" customWidth="1"/>
    <col min="31" max="31" width="7.33203125" bestFit="1" customWidth="1"/>
    <col min="32" max="32" width="8.44140625" bestFit="1" customWidth="1"/>
    <col min="33" max="33" width="8.88671875" bestFit="1" customWidth="1"/>
    <col min="34" max="34" width="7.6640625" bestFit="1" customWidth="1"/>
    <col min="35" max="35" width="9.5546875" bestFit="1" customWidth="1"/>
    <col min="36" max="36" width="8.109375" bestFit="1" customWidth="1"/>
    <col min="37" max="37" width="8.44140625" bestFit="1" customWidth="1"/>
    <col min="38" max="38" width="9.33203125" bestFit="1" customWidth="1"/>
    <col min="39" max="39" width="11.109375" bestFit="1" customWidth="1"/>
    <col min="40" max="40" width="9.44140625" bestFit="1" customWidth="1"/>
    <col min="41" max="41" width="7.5546875" bestFit="1" customWidth="1"/>
    <col min="42" max="42" width="8.6640625" bestFit="1" customWidth="1"/>
    <col min="43" max="43" width="9.109375" bestFit="1" customWidth="1"/>
    <col min="44" max="44" width="8" bestFit="1" customWidth="1"/>
    <col min="45" max="45" width="9.88671875" bestFit="1" customWidth="1"/>
    <col min="46" max="46" width="8.44140625" bestFit="1" customWidth="1"/>
    <col min="47" max="47" width="8.6640625" bestFit="1" customWidth="1"/>
    <col min="48" max="48" width="9.5546875" bestFit="1" customWidth="1"/>
    <col min="49" max="49" width="11.44140625" bestFit="1" customWidth="1"/>
    <col min="50" max="50" width="8.6640625" bestFit="1" customWidth="1"/>
    <col min="51" max="51" width="6.88671875" bestFit="1" customWidth="1"/>
    <col min="52" max="52" width="6.6640625" bestFit="1" customWidth="1"/>
    <col min="53" max="53" width="8" bestFit="1" customWidth="1"/>
    <col min="54" max="54" width="8.44140625" bestFit="1" customWidth="1"/>
    <col min="55" max="55" width="7.33203125" bestFit="1" customWidth="1"/>
    <col min="56" max="56" width="9.109375" bestFit="1" customWidth="1"/>
    <col min="57" max="57" width="7.6640625" bestFit="1" customWidth="1"/>
    <col min="58" max="58" width="8" bestFit="1" customWidth="1"/>
    <col min="59" max="59" width="8.88671875" bestFit="1" customWidth="1"/>
    <col min="60" max="60" width="10.6640625" bestFit="1" customWidth="1"/>
    <col min="61" max="61" width="11.33203125" bestFit="1" customWidth="1"/>
    <col min="62" max="62" width="9.44140625" bestFit="1" customWidth="1"/>
    <col min="63" max="63" width="10.5546875" bestFit="1" customWidth="1"/>
    <col min="64" max="64" width="11" bestFit="1" customWidth="1"/>
    <col min="65" max="65" width="9.88671875" bestFit="1" customWidth="1"/>
    <col min="66" max="66" width="11.6640625" bestFit="1" customWidth="1"/>
    <col min="67" max="67" width="10.33203125" bestFit="1" customWidth="1"/>
    <col min="68" max="68" width="10.5546875" bestFit="1" customWidth="1"/>
    <col min="69" max="69" width="11.44140625" bestFit="1" customWidth="1"/>
    <col min="70" max="70" width="13.44140625" bestFit="1" customWidth="1"/>
    <col min="71" max="71" width="15.33203125" bestFit="1" customWidth="1"/>
    <col min="72" max="72" width="13.44140625" bestFit="1" customWidth="1"/>
    <col min="73" max="73" width="14.5546875" bestFit="1" customWidth="1"/>
    <col min="74" max="74" width="15" bestFit="1" customWidth="1"/>
    <col min="75" max="75" width="13.88671875" bestFit="1" customWidth="1"/>
    <col min="76" max="76" width="15.6640625" bestFit="1" customWidth="1"/>
    <col min="77" max="77" width="14.33203125" bestFit="1" customWidth="1"/>
    <col min="78" max="78" width="14.5546875" bestFit="1" customWidth="1"/>
    <col min="79" max="79" width="15.44140625" bestFit="1" customWidth="1"/>
    <col min="80" max="80" width="17.44140625" bestFit="1" customWidth="1"/>
    <col min="81" max="81" width="12.33203125" bestFit="1" customWidth="1"/>
    <col min="82" max="82" width="10.44140625" bestFit="1" customWidth="1"/>
    <col min="83" max="83" width="11.5546875" bestFit="1" customWidth="1"/>
    <col min="84" max="84" width="12" bestFit="1" customWidth="1"/>
    <col min="85" max="85" width="10.88671875" bestFit="1" customWidth="1"/>
    <col min="86" max="86" width="12.6640625" bestFit="1" customWidth="1"/>
    <col min="87" max="87" width="11.33203125" bestFit="1" customWidth="1"/>
    <col min="88" max="88" width="11.5546875" bestFit="1" customWidth="1"/>
    <col min="89" max="89" width="12.44140625" bestFit="1" customWidth="1"/>
    <col min="90" max="90" width="14.44140625" bestFit="1" customWidth="1"/>
    <col min="91" max="91" width="14.6640625" bestFit="1" customWidth="1"/>
    <col min="92" max="92" width="12.6640625" bestFit="1" customWidth="1"/>
    <col min="93" max="93" width="14" bestFit="1" customWidth="1"/>
    <col min="94" max="94" width="14.44140625" bestFit="1" customWidth="1"/>
    <col min="95" max="95" width="13.33203125" bestFit="1" customWidth="1"/>
    <col min="96" max="96" width="15.109375" bestFit="1" customWidth="1"/>
    <col min="97" max="97" width="13.6640625" bestFit="1" customWidth="1"/>
    <col min="98" max="98" width="14" bestFit="1" customWidth="1"/>
    <col min="99" max="99" width="14.88671875" bestFit="1" customWidth="1"/>
    <col min="100" max="100" width="16.6640625" bestFit="1" customWidth="1"/>
    <col min="101" max="101" width="14.5546875" bestFit="1" customWidth="1"/>
    <col min="102" max="102" width="12.5546875" bestFit="1" customWidth="1"/>
    <col min="103" max="103" width="13.88671875" bestFit="1" customWidth="1"/>
    <col min="104" max="104" width="14.33203125" bestFit="1" customWidth="1"/>
    <col min="105" max="105" width="13.109375" bestFit="1" customWidth="1"/>
    <col min="106" max="106" width="15" bestFit="1" customWidth="1"/>
    <col min="107" max="107" width="13.5546875" bestFit="1" customWidth="1"/>
    <col min="108" max="108" width="13.88671875" bestFit="1" customWidth="1"/>
    <col min="109" max="109" width="14.6640625" bestFit="1" customWidth="1"/>
    <col min="110" max="110" width="16.5546875" bestFit="1" customWidth="1"/>
    <col min="111" max="111" width="12" bestFit="1" customWidth="1"/>
    <col min="112" max="112" width="10.109375" bestFit="1" customWidth="1"/>
    <col min="113" max="113" width="11.33203125" bestFit="1" customWidth="1"/>
    <col min="114" max="114" width="11.6640625" bestFit="1" customWidth="1"/>
    <col min="115" max="115" width="10.5546875" bestFit="1" customWidth="1"/>
    <col min="116" max="116" width="12.44140625" bestFit="1" customWidth="1"/>
    <col min="117" max="117" width="11" bestFit="1" customWidth="1"/>
    <col min="118" max="118" width="11.33203125" bestFit="1" customWidth="1"/>
    <col min="119" max="119" width="12.109375" bestFit="1" customWidth="1"/>
    <col min="120" max="120" width="14.109375" bestFit="1" customWidth="1"/>
    <col min="121" max="121" width="13.109375" bestFit="1" customWidth="1"/>
    <col min="122" max="122" width="11.109375" bestFit="1" customWidth="1"/>
    <col min="123" max="123" width="12.33203125" bestFit="1" customWidth="1"/>
    <col min="124" max="124" width="12.6640625" bestFit="1" customWidth="1"/>
    <col min="125" max="125" width="11.5546875" bestFit="1" customWidth="1"/>
    <col min="126" max="126" width="13.5546875" bestFit="1" customWidth="1"/>
    <col min="127" max="127" width="12" bestFit="1" customWidth="1"/>
    <col min="128" max="128" width="12.33203125" bestFit="1" customWidth="1"/>
    <col min="129" max="129" width="13.33203125" bestFit="1" customWidth="1"/>
    <col min="130" max="130" width="15.109375" bestFit="1" customWidth="1"/>
    <col min="131" max="131" width="12" bestFit="1" customWidth="1"/>
    <col min="132" max="134" width="10.5546875" bestFit="1" customWidth="1"/>
    <col min="135" max="135" width="7.33203125" customWidth="1"/>
    <col min="136" max="136" width="11.6640625" customWidth="1"/>
    <col min="137" max="137" width="13.88671875" customWidth="1"/>
    <col min="138" max="138" width="10.88671875" customWidth="1"/>
    <col min="139" max="139" width="13.33203125" customWidth="1"/>
    <col min="140" max="140" width="13.109375" customWidth="1"/>
    <col min="141" max="141" width="10.5546875" customWidth="1"/>
    <col min="142" max="143" width="11.5546875" customWidth="1"/>
    <col min="144" max="144" width="8.33203125" bestFit="1" customWidth="1"/>
    <col min="145" max="145" width="10.44140625" bestFit="1" customWidth="1"/>
    <col min="146" max="146" width="18.33203125" bestFit="1" customWidth="1"/>
    <col min="147" max="147" width="14.5546875" bestFit="1" customWidth="1"/>
    <col min="148" max="148" width="12.44140625" bestFit="1" customWidth="1"/>
    <col min="149" max="149" width="9.33203125" bestFit="1" customWidth="1"/>
    <col min="150" max="150" width="9.5546875" bestFit="1" customWidth="1"/>
    <col min="151" max="151" width="15.33203125" bestFit="1" customWidth="1"/>
    <col min="152" max="152" width="3" bestFit="1" customWidth="1"/>
    <col min="153" max="153" width="2.88671875" bestFit="1" customWidth="1"/>
    <col min="154" max="154" width="4.44140625" bestFit="1" customWidth="1"/>
    <col min="155" max="155" width="4" bestFit="1" customWidth="1"/>
    <col min="156" max="156" width="3.88671875" bestFit="1" customWidth="1"/>
    <col min="157" max="157" width="10.88671875" bestFit="1" customWidth="1"/>
    <col min="158" max="158" width="9.6640625" bestFit="1" customWidth="1"/>
    <col min="159" max="159" width="8.109375" bestFit="1" customWidth="1"/>
    <col min="160" max="160" width="10.5546875" bestFit="1" customWidth="1"/>
    <col min="161" max="161" width="9" bestFit="1" customWidth="1"/>
    <col min="162" max="162" width="8.33203125" bestFit="1" customWidth="1"/>
    <col min="163" max="163" width="18.109375" bestFit="1" customWidth="1"/>
    <col min="164" max="164" width="10.33203125" bestFit="1" customWidth="1"/>
    <col min="165" max="165" width="15.5546875" bestFit="1" customWidth="1"/>
    <col min="166" max="166" width="18.5546875" bestFit="1" customWidth="1"/>
    <col min="167" max="167" width="14.109375" bestFit="1" customWidth="1"/>
    <col min="168" max="168" width="7" bestFit="1" customWidth="1"/>
    <col min="169" max="169" width="8.44140625" bestFit="1" customWidth="1"/>
    <col min="170" max="170" width="12.44140625" bestFit="1" customWidth="1"/>
    <col min="171" max="171" width="9.109375" bestFit="1" customWidth="1"/>
    <col min="172" max="172" width="14.5546875" bestFit="1" customWidth="1"/>
    <col min="173" max="173" width="17.6640625" bestFit="1" customWidth="1"/>
    <col min="174" max="175" width="18.5546875" bestFit="1" customWidth="1"/>
    <col min="176" max="176" width="7.33203125" bestFit="1" customWidth="1"/>
    <col min="177" max="177" width="8.33203125" bestFit="1" customWidth="1"/>
    <col min="178" max="178" width="11.5546875" bestFit="1" customWidth="1"/>
    <col min="179" max="179" width="3.6640625" bestFit="1" customWidth="1"/>
    <col min="180" max="180" width="7.33203125" bestFit="1" customWidth="1"/>
    <col min="181" max="181" width="11.44140625" bestFit="1" customWidth="1"/>
    <col min="182" max="182" width="12.33203125" bestFit="1" customWidth="1"/>
    <col min="183" max="183" width="17" bestFit="1" customWidth="1"/>
    <col min="184" max="184" width="22.44140625" bestFit="1" customWidth="1"/>
    <col min="185" max="185" width="16.6640625" bestFit="1" customWidth="1"/>
    <col min="186" max="186" width="7.6640625" bestFit="1" customWidth="1"/>
    <col min="187" max="187" width="10.6640625" bestFit="1" customWidth="1"/>
    <col min="188" max="188" width="12.88671875" bestFit="1" customWidth="1"/>
    <col min="189" max="189" width="16" bestFit="1" customWidth="1"/>
    <col min="190" max="190" width="9.109375" bestFit="1" customWidth="1"/>
    <col min="191" max="191" width="12.109375" bestFit="1" customWidth="1"/>
    <col min="192" max="192" width="9" bestFit="1" customWidth="1"/>
    <col min="193" max="193" width="12" bestFit="1" customWidth="1"/>
    <col min="194" max="194" width="6" bestFit="1" customWidth="1"/>
    <col min="195" max="195" width="8.88671875" bestFit="1" customWidth="1"/>
    <col min="196" max="196" width="7" bestFit="1" customWidth="1"/>
    <col min="197" max="197" width="9.33203125" bestFit="1" customWidth="1"/>
    <col min="198" max="198" width="11.88671875" bestFit="1" customWidth="1"/>
    <col min="199" max="200" width="4.44140625" bestFit="1" customWidth="1"/>
    <col min="201" max="201" width="6" bestFit="1" customWidth="1"/>
    <col min="202" max="202" width="4.44140625" bestFit="1" customWidth="1"/>
    <col min="203" max="203" width="6.109375" bestFit="1" customWidth="1"/>
    <col min="204" max="204" width="4.44140625" bestFit="1" customWidth="1"/>
    <col min="205" max="205" width="11.109375" bestFit="1" customWidth="1"/>
    <col min="206" max="206" width="20.6640625" bestFit="1" customWidth="1"/>
    <col min="207" max="207" width="8.44140625" bestFit="1" customWidth="1"/>
    <col min="208" max="208" width="14.33203125" bestFit="1" customWidth="1"/>
  </cols>
  <sheetData>
    <row r="1" spans="1:208" x14ac:dyDescent="0.3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959</v>
      </c>
      <c r="G1" t="s">
        <v>872</v>
      </c>
      <c r="H1" t="s">
        <v>706</v>
      </c>
      <c r="I1" t="s">
        <v>960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707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976</v>
      </c>
      <c r="EB1" t="s">
        <v>977</v>
      </c>
      <c r="EC1" t="s">
        <v>978</v>
      </c>
      <c r="ED1" t="s">
        <v>979</v>
      </c>
      <c r="EE1" t="s">
        <v>980</v>
      </c>
      <c r="EF1" t="s">
        <v>981</v>
      </c>
      <c r="EG1" t="s">
        <v>982</v>
      </c>
      <c r="EH1" t="s">
        <v>983</v>
      </c>
      <c r="EI1" t="s">
        <v>984</v>
      </c>
      <c r="EJ1" t="s">
        <v>985</v>
      </c>
      <c r="EK1" t="s">
        <v>986</v>
      </c>
      <c r="EL1" t="s">
        <v>987</v>
      </c>
      <c r="EM1" t="s">
        <v>988</v>
      </c>
      <c r="EN1" t="s">
        <v>123</v>
      </c>
      <c r="EO1" t="s">
        <v>710</v>
      </c>
      <c r="EP1" t="s">
        <v>711</v>
      </c>
      <c r="EQ1" t="s">
        <v>713</v>
      </c>
      <c r="ER1" t="s">
        <v>731</v>
      </c>
      <c r="ES1" t="s">
        <v>708</v>
      </c>
      <c r="ET1" t="s">
        <v>709</v>
      </c>
      <c r="EU1" t="s">
        <v>712</v>
      </c>
      <c r="EV1" t="s">
        <v>714</v>
      </c>
      <c r="EW1" t="s">
        <v>729</v>
      </c>
      <c r="EX1" t="s">
        <v>715</v>
      </c>
      <c r="EY1" t="s">
        <v>716</v>
      </c>
      <c r="EZ1" t="s">
        <v>717</v>
      </c>
      <c r="FA1" t="s">
        <v>718</v>
      </c>
      <c r="FB1" t="s">
        <v>719</v>
      </c>
      <c r="FC1" t="s">
        <v>720</v>
      </c>
      <c r="FD1" t="s">
        <v>721</v>
      </c>
      <c r="FE1" t="s">
        <v>732</v>
      </c>
      <c r="FF1" t="s">
        <v>734</v>
      </c>
      <c r="FG1" t="s">
        <v>733</v>
      </c>
      <c r="FH1" t="s">
        <v>722</v>
      </c>
      <c r="FI1" t="s">
        <v>723</v>
      </c>
      <c r="FJ1" t="s">
        <v>724</v>
      </c>
      <c r="FK1" t="s">
        <v>725</v>
      </c>
      <c r="FL1" t="s">
        <v>726</v>
      </c>
      <c r="FM1" t="s">
        <v>727</v>
      </c>
      <c r="FN1" t="s">
        <v>728</v>
      </c>
      <c r="FO1" t="s">
        <v>735</v>
      </c>
      <c r="FP1" t="s">
        <v>736</v>
      </c>
      <c r="FQ1" t="s">
        <v>737</v>
      </c>
      <c r="FR1" t="s">
        <v>738</v>
      </c>
      <c r="FS1" t="s">
        <v>739</v>
      </c>
      <c r="FT1" t="s">
        <v>740</v>
      </c>
      <c r="FU1" t="s">
        <v>742</v>
      </c>
      <c r="FV1" t="s">
        <v>741</v>
      </c>
      <c r="FW1" t="s">
        <v>730</v>
      </c>
      <c r="FX1" t="s">
        <v>743</v>
      </c>
      <c r="FY1" t="s">
        <v>744</v>
      </c>
      <c r="FZ1" t="s">
        <v>858</v>
      </c>
      <c r="GA1" t="s">
        <v>857</v>
      </c>
      <c r="GB1" t="s">
        <v>834</v>
      </c>
      <c r="GC1" t="s">
        <v>835</v>
      </c>
      <c r="GD1" t="s">
        <v>836</v>
      </c>
      <c r="GE1" t="s">
        <v>837</v>
      </c>
      <c r="GF1" t="s">
        <v>961</v>
      </c>
      <c r="GG1" t="s">
        <v>962</v>
      </c>
      <c r="GH1" t="s">
        <v>838</v>
      </c>
      <c r="GI1" t="s">
        <v>839</v>
      </c>
      <c r="GJ1" t="s">
        <v>840</v>
      </c>
      <c r="GK1" t="s">
        <v>841</v>
      </c>
      <c r="GL1" t="s">
        <v>842</v>
      </c>
      <c r="GM1" t="s">
        <v>843</v>
      </c>
      <c r="GN1" t="s">
        <v>844</v>
      </c>
      <c r="GO1" t="s">
        <v>845</v>
      </c>
      <c r="GP1" t="s">
        <v>849</v>
      </c>
      <c r="GQ1" t="s">
        <v>846</v>
      </c>
      <c r="GR1" t="s">
        <v>847</v>
      </c>
      <c r="GS1" t="s">
        <v>848</v>
      </c>
      <c r="GT1" t="s">
        <v>850</v>
      </c>
      <c r="GU1" t="s">
        <v>851</v>
      </c>
      <c r="GV1" t="s">
        <v>852</v>
      </c>
      <c r="GW1" t="s">
        <v>853</v>
      </c>
      <c r="GX1" t="s">
        <v>854</v>
      </c>
      <c r="GY1" t="s">
        <v>855</v>
      </c>
      <c r="GZ1" t="s">
        <v>856</v>
      </c>
    </row>
    <row r="2" spans="1:208" x14ac:dyDescent="0.3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956</v>
      </c>
      <c r="G2" t="s">
        <v>873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5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>O2-P2-Q2-R2</f>
        <v>38116</v>
      </c>
      <c r="T2">
        <f>_xlfn.XLOOKUP(B2,'[2]april-2025'!$A:$A,'[2]april-2025'!$C:$C,0,0)</f>
        <v>31600</v>
      </c>
      <c r="U2">
        <f t="shared" ref="U2:U66" si="4">T2*0.18</f>
        <v>5688</v>
      </c>
      <c r="V2">
        <f t="shared" ref="V2:V66" si="5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6">IF($F2="YES",0,IF(Y2&gt;40000,200,IF(Y2&gt;25000,150,IF(Y2&gt;15000,130,IF(Y2&gt;10000,110,0)))))</f>
        <v>200</v>
      </c>
      <c r="AC2">
        <f t="shared" ref="AC2:AC66" si="7">Y2-Z2-AA2-AB2</f>
        <v>39380</v>
      </c>
      <c r="AD2">
        <f>_xlfn.XLOOKUP(B2,'[3]may-2025'!$A:$A,'[3]may-2025'!$C:$C,0,0)</f>
        <v>31600</v>
      </c>
      <c r="AE2">
        <f t="shared" ref="AE2:AE66" si="8">AD2*0.18</f>
        <v>5688</v>
      </c>
      <c r="AF2">
        <f t="shared" ref="AF2:AF66" si="9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0">IF($F2="YES",0,IF(AI2&gt;40000,200,IF(AI2&gt;25000,150,IF(AI2&gt;15000,130,IF(AI2&gt;10000,110,0)))))</f>
        <v>200</v>
      </c>
      <c r="AM2">
        <f t="shared" ref="AM2:AM66" si="11">AI2-AJ2-AK2-AL2</f>
        <v>39380</v>
      </c>
      <c r="AN2">
        <f>_xlfn.XLOOKUP(B2,'[4]june-2025'!$A:$A,'[4]june-2025'!$C:$C,0,0)</f>
        <v>31600</v>
      </c>
      <c r="AO2">
        <f t="shared" ref="AO2:AO66" si="12">AN2*0.18</f>
        <v>5688</v>
      </c>
      <c r="AP2">
        <f t="shared" ref="AP2:AP66" si="13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4">IF($F2="YES",0,IF(AS2&gt;40000,200,IF(AS2&gt;25000,150,IF(AS2&gt;15000,130,IF(AS2&gt;10000,110,0)))))</f>
        <v>200</v>
      </c>
      <c r="AW2">
        <f t="shared" ref="AW2:AW66" si="15">AS2-AT2-AU2-AV2</f>
        <v>39380</v>
      </c>
      <c r="AX2">
        <f>_xlfn.XLOOKUP(B2,'[5]july-2025'!$A:$A,'[5]july-2025'!$C:$C,0,0)</f>
        <v>32500</v>
      </c>
      <c r="AY2">
        <f t="shared" ref="AY2:AY66" si="16">AX2*0.18</f>
        <v>5850</v>
      </c>
      <c r="AZ2">
        <v>0</v>
      </c>
      <c r="BA2">
        <f t="shared" ref="BA2:BA66" si="17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5" si="18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19">IF($F2="YES",0,IF(BD2&gt;40000,200,IF(BD2&gt;25000,150,IF(BD2&gt;15000,130,IF(BD2&gt;10000,110,0)))))</f>
        <v>200</v>
      </c>
      <c r="BH2">
        <f t="shared" ref="BH2:BH66" si="20">BD2-BE2-BF2-BG2</f>
        <v>40550</v>
      </c>
      <c r="BI2">
        <f>_xlfn.XLOOKUP(B2,'[6]august-2025'!$A:$A,'[6]august-2025'!$C:$C,0,0)</f>
        <v>32500</v>
      </c>
      <c r="BJ2">
        <f t="shared" ref="BJ2:BJ66" si="21">BI2*0.18</f>
        <v>5850</v>
      </c>
      <c r="BK2">
        <f t="shared" ref="BK2:BK66" si="22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3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5" si="24">IF($F2="YES",0,IF(BN2&gt;40000,200,IF(BN2&gt;25000,150,IF(BN2&gt;15000,130,IF(BN2&gt;10000,110,0)))))</f>
        <v>200</v>
      </c>
      <c r="BR2">
        <f t="shared" ref="BR2:BR65" si="25">BN2-BO2-BP2-BQ2</f>
        <v>40550</v>
      </c>
      <c r="BS2">
        <f>_xlfn.XLOOKUP(B2,'[7]september-2025'!$A:$A,'[7]september-2025'!$C:$C,0,0)</f>
        <v>32500</v>
      </c>
      <c r="BT2">
        <f t="shared" ref="BT2:BT66" si="26">BS2*0.18</f>
        <v>5850</v>
      </c>
      <c r="BU2">
        <f t="shared" ref="BU2:BU66" si="27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5" si="28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29">IF($F2="YES",0,IF(BX2&gt;40000,200,IF(BX2&gt;25000,150,IF(BX2&gt;15000,130,IF(BX2&gt;10000,110,0)))))</f>
        <v>200</v>
      </c>
      <c r="CB2">
        <f t="shared" ref="CB2:CB66" si="30">BX2-BY2-BZ2-CA2</f>
        <v>40550</v>
      </c>
      <c r="CC2">
        <f>_xlfn.XLOOKUP(B2,'[8]october-2025'!$A:$A,'[8]october-2025'!$C:$C,0,0)</f>
        <v>32500</v>
      </c>
      <c r="CD2">
        <f t="shared" ref="CD2:CD66" si="31">CC2*0.18</f>
        <v>5850</v>
      </c>
      <c r="CE2">
        <f t="shared" ref="CE2:CE66" si="32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5" si="33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4">IF($F2="YES",0,IF(CH2&gt;40000,200,IF(CH2&gt;25000,150,IF(CH2&gt;15000,130,IF(CH2&gt;10000,110,0)))))</f>
        <v>200</v>
      </c>
      <c r="CL2">
        <f t="shared" ref="CL2:CL66" si="35">CH2-CI2-CJ2-CK2</f>
        <v>40550</v>
      </c>
      <c r="CM2">
        <f>_xlfn.XLOOKUP(B2,'[9]november-2025'!$A:$A,'[9]november-2025'!$C:$C,0,0)</f>
        <v>32500</v>
      </c>
      <c r="CN2">
        <f t="shared" ref="CN2:CN66" si="36">CM2*0.18</f>
        <v>5850</v>
      </c>
      <c r="CO2">
        <f t="shared" ref="CO2:CO66" si="37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5" si="38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39">IF($F2="YES",0,IF(CR2&gt;40000,200,IF(CR2&gt;25000,150,IF(CR2&gt;15000,130,IF(CR2&gt;10000,110,0)))))</f>
        <v>200</v>
      </c>
      <c r="CV2">
        <f t="shared" ref="CV2:CV66" si="40">CR2-CS2-CT2-CU2</f>
        <v>40550</v>
      </c>
      <c r="CW2">
        <f>_xlfn.XLOOKUP(B2,'[10]december-2025'!$A:$A,'[10]december-2025'!$C:$C,0,0)</f>
        <v>32500</v>
      </c>
      <c r="CX2">
        <f t="shared" ref="CX2:CX66" si="41">ROUND(CW2*0.18,0)</f>
        <v>5850</v>
      </c>
      <c r="CY2">
        <f t="shared" ref="CY2:CY66" si="42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5" si="43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4">IF($F2="YES",0,IF(DB2&gt;40000,200,IF(DB2&gt;25000,150,IF(DB2&gt;15000,130,IF(DB2&gt;10000,110,0)))))</f>
        <v>200</v>
      </c>
      <c r="DF2">
        <f t="shared" ref="DF2:DF66" si="45">DB2-DC2-DD2-DE2</f>
        <v>40550</v>
      </c>
      <c r="DG2">
        <f>_xlfn.XLOOKUP(B2,'[11]january-2026'!$A:$A,'[11]january-2026'!$C:$C,0,0)</f>
        <v>32500</v>
      </c>
      <c r="DH2">
        <f t="shared" ref="DH2:DH66" si="46">DG2*0.18</f>
        <v>5850</v>
      </c>
      <c r="DI2">
        <f t="shared" ref="DI2:DI66" si="47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5" si="48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49">IF($F2="YES",0,IF(DL2&gt;40000,200,IF(DL2&gt;25000,150,IF(DL2&gt;15000,130,IF(DL2&gt;10000,110,0)))))</f>
        <v>200</v>
      </c>
      <c r="DP2">
        <f t="shared" ref="DP2:DP66" si="50">DL2-DM2-DN2-DO2</f>
        <v>40550</v>
      </c>
      <c r="DQ2">
        <f>_xlfn.XLOOKUP(B2,'[12]february-2026'!$A:$A,'[12]february-2026'!$C:$C,0,0)</f>
        <v>32500</v>
      </c>
      <c r="DR2">
        <f t="shared" ref="DR2:DR66" si="51">DQ2*0.18</f>
        <v>5850</v>
      </c>
      <c r="DS2">
        <f t="shared" ref="DS2:DS66" si="52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5" si="53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4">IF($F2="YES",0,IF(DV2&gt;40000,200,IF(DV2&gt;25000,150,IF(DV2&gt;15000,130,IF(DV2&gt;10000,110,0)))))</f>
        <v>200</v>
      </c>
      <c r="DZ2">
        <f t="shared" ref="DZ2:DZ66" si="55">DV2-DW2-DX2-DY2</f>
        <v>40550</v>
      </c>
      <c r="EA2">
        <f>_xlfn.XLOOKUP(B2,'[1]march-2025'!$A:$A,'[1]march-2025'!$J:$J,0,0)</f>
        <v>0</v>
      </c>
      <c r="EB2">
        <f>_xlfn.XLOOKUP(B2,'[2]april-2025'!$A:$A,'[2]april-2025'!$J:$J,0,0)</f>
        <v>0</v>
      </c>
      <c r="EC2">
        <f>_xlfn.XLOOKUP(B2,'[3]may-2025'!$A:$A,'[3]may-2025'!$J:$J,0,0)</f>
        <v>0</v>
      </c>
      <c r="ED2">
        <f>_xlfn.XLOOKUP(B2,'[4]june-2025'!$A:$A,'[4]june-2025'!$J:$J,0,0)</f>
        <v>0</v>
      </c>
      <c r="EE2">
        <f>_xlfn.XLOOKUP(B2,'[5]july-2025'!$A:$A,'[5]july-2025'!$J:$J,0,0)</f>
        <v>0</v>
      </c>
      <c r="EF2">
        <f>_xlfn.XLOOKUP(B2,'[6]august-2025'!$A:$A,'[6]august-2025'!$J:$J,0,0)</f>
        <v>0</v>
      </c>
      <c r="EG2">
        <f>_xlfn.XLOOKUP(B2,'[7]september-2025'!$A:$A,'[7]september-2025'!$J:$J,0,0)</f>
        <v>0</v>
      </c>
      <c r="EH2">
        <f>_xlfn.XLOOKUP(B2,'[8]october-2025'!$A:$A,'[8]october-2025'!$J:$J,0,0)</f>
        <v>0</v>
      </c>
      <c r="EI2">
        <f>_xlfn.XLOOKUP(C2,'[9]november-2025'!$A:$A,'[9]november-2025'!$J:$J,0,0)</f>
        <v>0</v>
      </c>
      <c r="EJ2">
        <f>_xlfn.XLOOKUP(B2,'[10]december-2025'!$A:$A,'[10]december-2025'!$J:$J,0,0)</f>
        <v>0</v>
      </c>
      <c r="EK2">
        <f>_xlfn.XLOOKUP(B2,'[11]january-2026'!$A:$A,'[11]january-2026'!$J:$J,0,0)</f>
        <v>0</v>
      </c>
      <c r="EL2">
        <f>_xlfn.XLOOKUP(B2,'[12]february-2026'!$A:$A,'[12]february-2026'!$J:$J,0,0)</f>
        <v>0</v>
      </c>
      <c r="EM2">
        <f>SUM(EA2:EL2)</f>
        <v>0</v>
      </c>
      <c r="EN2">
        <f t="shared" ref="EN2:EN65" si="56">DV2+DL2+DB2+CR2+CH2+BX2+BN2+BD2+AS2+AI2+Y2+O2+H2+I2</f>
        <v>513856</v>
      </c>
      <c r="EO2">
        <f t="shared" ref="EO2:EO65" si="57">DY2+DO2+DE2+CU2+CK2+CA2+BQ2+BG2+AV2+AL2+AB2+R2</f>
        <v>2400</v>
      </c>
      <c r="EP2">
        <f t="shared" ref="EP2:EP66" si="58">IF(EN2&gt;0,50000,0)</f>
        <v>50000</v>
      </c>
      <c r="EQ2">
        <v>0</v>
      </c>
      <c r="ER2">
        <f>EN2-EO2-EP2+EM2</f>
        <v>461456</v>
      </c>
      <c r="ES2">
        <f t="shared" ref="ES2:ES65" si="59">DW2+DM2+DC2+CS2+CI2+BY2+BO2+BE2+AT2+AJ2+Z2+P2</f>
        <v>24000</v>
      </c>
      <c r="ET2">
        <f t="shared" ref="ET2:ET65" si="60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6" si="61">SUM(ES2:FD2)</f>
        <v>24000</v>
      </c>
      <c r="FF2">
        <f t="shared" ref="FF2:FF66" si="62">IF(FE2&gt;=150000,150000,FE2)</f>
        <v>24000</v>
      </c>
      <c r="FG2">
        <f t="shared" ref="FG2:FG66" si="63">ER2-FF2</f>
        <v>437456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5" si="64">SUM(FH2:FN2)+(IF(F2="YES",50000,0))</f>
        <v>0</v>
      </c>
      <c r="FP2">
        <f t="shared" ref="FP2:FP66" si="65">FG2-FO2</f>
        <v>437456</v>
      </c>
      <c r="FQ2">
        <f t="shared" ref="FQ2:FQ66" si="66">ROUND(IF(FP2&gt;0,IF(FP2&gt;500000,12500,(FP2-250000)*0.05),0),0)</f>
        <v>9373</v>
      </c>
      <c r="FR2">
        <f t="shared" ref="FR2:FR66" si="67">IF(ROUND(IF(FP2&gt;0,IF(FP2&gt;1000000,25000,(FP2-500000)*0.2),0),0)&lt;0,0,ROUND(IF(FP2&gt;0,IF(FP2&gt;1000000,25000,(FP2-500000)*0.2),0),0))</f>
        <v>0</v>
      </c>
      <c r="FS2">
        <f t="shared" ref="FS2:FS66" si="68">FQ2+FR2</f>
        <v>9373</v>
      </c>
      <c r="FT2">
        <f t="shared" ref="FT2:FT66" si="69">IF(FS2&lt;12500,0,FS2)</f>
        <v>0</v>
      </c>
      <c r="FU2">
        <f t="shared" ref="FU2:FU66" si="70">FT2*0.04</f>
        <v>0</v>
      </c>
      <c r="FV2">
        <f t="shared" ref="FV2:FV66" si="71">ROUND(FU2+FT2,0)</f>
        <v>0</v>
      </c>
      <c r="FW2">
        <v>0</v>
      </c>
      <c r="FX2">
        <f t="shared" ref="FX2:FX66" si="72">FV2-FW2</f>
        <v>0</v>
      </c>
      <c r="FY2" t="b">
        <f t="shared" ref="FY2:FY66" si="73">IF(EN2&gt;500000,TRUE,FALSE)</f>
        <v>1</v>
      </c>
      <c r="FZ2">
        <f t="shared" ref="FZ2:FZ66" ca="1" si="74">IF(FY2,RANDBETWEEN(500,1000),RANDBETWEEN(1000,3000))</f>
        <v>707</v>
      </c>
      <c r="GA2">
        <f t="shared" ref="GA2:GA66" ca="1" si="75">EN2+FZ2</f>
        <v>514563</v>
      </c>
      <c r="GB2">
        <f t="shared" ref="GB2:GB66" si="76">IF(EN2&gt;0,75000,0)</f>
        <v>75000</v>
      </c>
      <c r="GC2">
        <f t="shared" ref="GC2:GC66" ca="1" si="77">GA2-GB2</f>
        <v>439563</v>
      </c>
      <c r="GD2">
        <f t="shared" ref="GD2:GD66" ca="1" si="78">IF(GC2&gt;2400000,GC2-2400000,0)</f>
        <v>0</v>
      </c>
      <c r="GE2">
        <f t="shared" ref="GE2:GE66" ca="1" si="79">GD2*0.3</f>
        <v>0</v>
      </c>
      <c r="GF2">
        <f t="shared" ref="GF2:GF66" ca="1" si="80">IF(GC2&gt;2000000,GC2-2000000,0)</f>
        <v>0</v>
      </c>
      <c r="GG2">
        <f t="shared" ref="GG2:GG66" ca="1" si="81">GF2*0.25</f>
        <v>0</v>
      </c>
      <c r="GH2">
        <f t="shared" ref="GH2:GH66" ca="1" si="82">IF(GC2&gt;1600000,GC2-1600000-GD2,0)</f>
        <v>0</v>
      </c>
      <c r="GI2">
        <f t="shared" ref="GI2:GI66" ca="1" si="83">GH2*0.2</f>
        <v>0</v>
      </c>
      <c r="GJ2">
        <f t="shared" ref="GJ2:GJ65" ca="1" si="84">IF(GC2&gt;1200000,GC2-1200000-IF(F2="YES",50000,0)-GH2,0)</f>
        <v>0</v>
      </c>
      <c r="GK2">
        <f t="shared" ref="GK2:GK66" ca="1" si="85">GJ2*0.15</f>
        <v>0</v>
      </c>
      <c r="GL2">
        <f t="shared" ref="GL2:GL66" ca="1" si="86">IF(GC2&gt;800000,GC2-800000-GD2-GH2-GJ2,0)</f>
        <v>0</v>
      </c>
      <c r="GM2">
        <f t="shared" ref="GM2:GM66" ca="1" si="87">GL2*0.1</f>
        <v>0</v>
      </c>
      <c r="GN2">
        <f t="shared" ref="GN2:GN66" ca="1" si="88">IF(GC2&gt;400000,GC2-400000-GD2-GH2-GJ2-GL2,0)</f>
        <v>39563</v>
      </c>
      <c r="GO2">
        <f t="shared" ref="GO2:GO66" ca="1" si="89">GN2*0.05</f>
        <v>1978.15</v>
      </c>
      <c r="GP2">
        <f t="shared" ref="GP2:GP66" ca="1" si="90">ROUND(GE2+GG2+GI2+GK2+GM2+GO2,0)</f>
        <v>1978</v>
      </c>
      <c r="GQ2">
        <f t="shared" ref="GQ2:GQ66" ca="1" si="91">IF(GC2&gt;1200000,GC2,0)</f>
        <v>0</v>
      </c>
      <c r="GR2">
        <f t="shared" ref="GR2:GR66" ca="1" si="92">IF(GC2&gt;1200000,GQ2-1200000,0)</f>
        <v>0</v>
      </c>
      <c r="GS2">
        <f t="shared" ref="GS2:GS66" ca="1" si="93">IF(GC2&lt;1200001,MIN(GP2,60000),0)</f>
        <v>1978</v>
      </c>
      <c r="GT2">
        <f t="shared" ref="GT2:GT66" ca="1" si="94">IF(GC2&gt;1200000,GP2-GR2,0)</f>
        <v>0</v>
      </c>
      <c r="GU2" t="b">
        <f t="shared" ref="GU2:GU66" ca="1" si="95">IF(GT2&gt;0,TRUE,FALSE)</f>
        <v>0</v>
      </c>
      <c r="GV2">
        <f t="shared" ref="GV2:GV66" ca="1" si="96">IF(GU2,GT2,0)</f>
        <v>0</v>
      </c>
      <c r="GW2">
        <f t="shared" ref="GW2:GW66" ca="1" si="97">GS2+GV2</f>
        <v>1978</v>
      </c>
      <c r="GX2">
        <f t="shared" ref="GX2:GX66" ca="1" si="98">ROUND(GP2-GW2,0)</f>
        <v>0</v>
      </c>
      <c r="GY2">
        <f t="shared" ref="GY2:GY66" ca="1" si="99">GX2*0.04</f>
        <v>0</v>
      </c>
      <c r="GZ2">
        <f t="shared" ref="GZ2:GZ66" ca="1" si="100">ROUNDUP(GX2+GY2,0)</f>
        <v>0</v>
      </c>
    </row>
    <row r="3" spans="1:208" x14ac:dyDescent="0.3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956</v>
      </c>
      <c r="G3" t="s">
        <v>874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1">IF($F3="YES",0,IF(O3&gt;40000,200,IF(O3&gt;25000,150,IF(O3&gt;15000,130,IF(O3&gt;10000,110,0)))))</f>
        <v>150</v>
      </c>
      <c r="S3">
        <f t="shared" ref="S3:S66" si="102">O3-P3-Q3-R3</f>
        <v>36532</v>
      </c>
      <c r="T3">
        <f>_xlfn.XLOOKUP(B3,'[2]april-2025'!$A:$A,'[2]april-2025'!$C:$C,0,0)</f>
        <v>30700</v>
      </c>
      <c r="U3">
        <f t="shared" si="4"/>
        <v>5526</v>
      </c>
      <c r="V3">
        <f t="shared" si="5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ref="Y3:Y66" si="103">IF(T3&gt;0,SUM(T3:X3),0)</f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6"/>
        <v>150</v>
      </c>
      <c r="AC3">
        <f t="shared" si="7"/>
        <v>37760</v>
      </c>
      <c r="AD3">
        <f>_xlfn.XLOOKUP(B3,'[3]may-2025'!$A:$A,'[3]may-2025'!$C:$C,0,0)</f>
        <v>30700</v>
      </c>
      <c r="AE3">
        <f t="shared" si="8"/>
        <v>5526</v>
      </c>
      <c r="AF3">
        <f t="shared" si="9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ref="AI3:AI66" si="104">IF(AD3&gt;0,SUM(AD3:AH3),0)</f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0"/>
        <v>150</v>
      </c>
      <c r="AM3">
        <f t="shared" si="11"/>
        <v>37760</v>
      </c>
      <c r="AN3">
        <f>_xlfn.XLOOKUP(B3,'[4]june-2025'!$A:$A,'[4]june-2025'!$C:$C,0,0)</f>
        <v>30700</v>
      </c>
      <c r="AO3">
        <f t="shared" si="12"/>
        <v>5526</v>
      </c>
      <c r="AP3">
        <f t="shared" si="13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ref="AS3:AS66" si="105">IF(AN3&gt;0,SUM(AN3:AR3),0)</f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4"/>
        <v>150</v>
      </c>
      <c r="AW3">
        <f t="shared" si="15"/>
        <v>37760</v>
      </c>
      <c r="AX3">
        <f>_xlfn.XLOOKUP(B3,'[5]july-2025'!$A:$A,'[5]july-2025'!$C:$C,0,0)</f>
        <v>31600</v>
      </c>
      <c r="AY3">
        <f t="shared" si="16"/>
        <v>5688</v>
      </c>
      <c r="AZ3">
        <v>0</v>
      </c>
      <c r="BA3">
        <f t="shared" si="17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18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19"/>
        <v>200</v>
      </c>
      <c r="BH3">
        <f t="shared" si="20"/>
        <v>38880</v>
      </c>
      <c r="BI3">
        <f>_xlfn.XLOOKUP(B3,'[6]august-2025'!$A:$A,'[6]august-2025'!$C:$C,0,0)</f>
        <v>31600</v>
      </c>
      <c r="BJ3">
        <f t="shared" si="21"/>
        <v>5688</v>
      </c>
      <c r="BK3">
        <f t="shared" si="22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3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4"/>
        <v>200</v>
      </c>
      <c r="BR3">
        <f t="shared" si="25"/>
        <v>38880</v>
      </c>
      <c r="BS3">
        <f>_xlfn.XLOOKUP(B3,'[7]september-2025'!$A:$A,'[7]september-2025'!$C:$C,0,0)</f>
        <v>31600</v>
      </c>
      <c r="BT3">
        <f t="shared" si="26"/>
        <v>5688</v>
      </c>
      <c r="BU3">
        <f t="shared" si="27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28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29"/>
        <v>200</v>
      </c>
      <c r="CB3">
        <f t="shared" si="30"/>
        <v>38880</v>
      </c>
      <c r="CC3">
        <f>_xlfn.XLOOKUP(B3,'[8]october-2025'!$A:$A,'[8]october-2025'!$C:$C,0,0)</f>
        <v>31600</v>
      </c>
      <c r="CD3">
        <f t="shared" si="31"/>
        <v>5688</v>
      </c>
      <c r="CE3">
        <f t="shared" si="32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3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4"/>
        <v>200</v>
      </c>
      <c r="CL3">
        <f t="shared" si="35"/>
        <v>38880</v>
      </c>
      <c r="CM3">
        <f>_xlfn.XLOOKUP(B3,'[9]november-2025'!$A:$A,'[9]november-2025'!$C:$C,0,0)</f>
        <v>31600</v>
      </c>
      <c r="CN3">
        <f t="shared" si="36"/>
        <v>5688</v>
      </c>
      <c r="CO3">
        <f t="shared" si="37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38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39"/>
        <v>200</v>
      </c>
      <c r="CV3">
        <f t="shared" si="40"/>
        <v>38880</v>
      </c>
      <c r="CW3">
        <f>_xlfn.XLOOKUP(B3,'[10]december-2025'!$A:$A,'[10]december-2025'!$C:$C,0,0)</f>
        <v>31600</v>
      </c>
      <c r="CX3">
        <f t="shared" si="41"/>
        <v>5688</v>
      </c>
      <c r="CY3">
        <f t="shared" si="42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3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4"/>
        <v>200</v>
      </c>
      <c r="DF3">
        <f t="shared" si="45"/>
        <v>38880</v>
      </c>
      <c r="DG3">
        <f>_xlfn.XLOOKUP(B3,'[11]january-2026'!$A:$A,'[11]january-2026'!$C:$C,0,0)</f>
        <v>31600</v>
      </c>
      <c r="DH3">
        <f t="shared" si="46"/>
        <v>5688</v>
      </c>
      <c r="DI3">
        <f t="shared" si="47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48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49"/>
        <v>200</v>
      </c>
      <c r="DP3">
        <f t="shared" si="50"/>
        <v>38880</v>
      </c>
      <c r="DQ3">
        <f>_xlfn.XLOOKUP(B3,'[12]february-2026'!$A:$A,'[12]february-2026'!$C:$C,0,0)</f>
        <v>31600</v>
      </c>
      <c r="DR3">
        <f t="shared" si="51"/>
        <v>5688</v>
      </c>
      <c r="DS3">
        <f t="shared" si="52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3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4"/>
        <v>200</v>
      </c>
      <c r="DZ3">
        <f t="shared" si="55"/>
        <v>38880</v>
      </c>
      <c r="EA3">
        <f>_xlfn.XLOOKUP(B3,'[1]march-2025'!$A:$A,'[1]march-2025'!$J:$J,0,0)</f>
        <v>0</v>
      </c>
      <c r="EB3">
        <f>_xlfn.XLOOKUP(B3,'[2]april-2025'!$A:$A,'[2]april-2025'!$J:$J,0,0)</f>
        <v>0</v>
      </c>
      <c r="EC3">
        <f>_xlfn.XLOOKUP(B3,'[3]may-2025'!$A:$A,'[3]may-2025'!$J:$J,0,0)</f>
        <v>0</v>
      </c>
      <c r="ED3">
        <f>_xlfn.XLOOKUP(B3,'[4]june-2025'!$A:$A,'[4]june-2025'!$J:$J,0,0)</f>
        <v>0</v>
      </c>
      <c r="EE3">
        <f>_xlfn.XLOOKUP(B3,'[5]july-2025'!$A:$A,'[5]july-2025'!$J:$J,0,0)</f>
        <v>0</v>
      </c>
      <c r="EF3">
        <f>_xlfn.XLOOKUP(B3,'[6]august-2025'!$A:$A,'[6]august-2025'!$J:$J,0,0)</f>
        <v>0</v>
      </c>
      <c r="EG3">
        <f>_xlfn.XLOOKUP(B3,'[7]september-2025'!$A:$A,'[7]september-2025'!$J:$J,0,0)</f>
        <v>0</v>
      </c>
      <c r="EH3">
        <f>_xlfn.XLOOKUP(B3,'[8]october-2025'!$A:$A,'[8]october-2025'!$J:$J,0,0)</f>
        <v>0</v>
      </c>
      <c r="EI3">
        <f>_xlfn.XLOOKUP(C3,'[9]november-2025'!$A:$A,'[9]november-2025'!$J:$J,0,0)</f>
        <v>0</v>
      </c>
      <c r="EJ3">
        <f>_xlfn.XLOOKUP(B3,'[10]december-2025'!$A:$A,'[10]december-2025'!$J:$J,0,0)</f>
        <v>0</v>
      </c>
      <c r="EK3">
        <f>_xlfn.XLOOKUP(B3,'[11]january-2026'!$A:$A,'[11]january-2026'!$J:$J,0,0)</f>
        <v>0</v>
      </c>
      <c r="EL3">
        <f>_xlfn.XLOOKUP(B3,'[12]february-2026'!$A:$A,'[12]february-2026'!$J:$J,0,0)</f>
        <v>0</v>
      </c>
      <c r="EM3">
        <f t="shared" ref="EM3:EM66" si="106">SUM(EA3:EL3)</f>
        <v>0</v>
      </c>
      <c r="EN3">
        <f t="shared" si="56"/>
        <v>493852</v>
      </c>
      <c r="EO3">
        <f t="shared" si="57"/>
        <v>2200</v>
      </c>
      <c r="EP3">
        <f t="shared" si="58"/>
        <v>50000</v>
      </c>
      <c r="EQ3">
        <v>0</v>
      </c>
      <c r="ER3">
        <f t="shared" ref="ER3:ER66" si="107">EN3-EO3-EP3+EM3</f>
        <v>441652</v>
      </c>
      <c r="ES3">
        <f t="shared" si="59"/>
        <v>24000</v>
      </c>
      <c r="ET3">
        <f t="shared" si="60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1"/>
        <v>24000</v>
      </c>
      <c r="FF3">
        <f t="shared" si="62"/>
        <v>24000</v>
      </c>
      <c r="FG3">
        <f t="shared" si="63"/>
        <v>417652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4"/>
        <v>0</v>
      </c>
      <c r="FP3">
        <f t="shared" si="65"/>
        <v>417652</v>
      </c>
      <c r="FQ3">
        <f t="shared" si="66"/>
        <v>8383</v>
      </c>
      <c r="FR3">
        <f t="shared" si="67"/>
        <v>0</v>
      </c>
      <c r="FS3">
        <f t="shared" si="68"/>
        <v>8383</v>
      </c>
      <c r="FT3">
        <f t="shared" si="69"/>
        <v>0</v>
      </c>
      <c r="FU3">
        <f t="shared" si="70"/>
        <v>0</v>
      </c>
      <c r="FV3">
        <f t="shared" si="71"/>
        <v>0</v>
      </c>
      <c r="FW3">
        <v>0</v>
      </c>
      <c r="FX3">
        <f t="shared" si="72"/>
        <v>0</v>
      </c>
      <c r="FY3" t="b">
        <f t="shared" si="73"/>
        <v>0</v>
      </c>
      <c r="FZ3">
        <f t="shared" ca="1" si="74"/>
        <v>1153</v>
      </c>
      <c r="GA3">
        <f t="shared" ca="1" si="75"/>
        <v>495005</v>
      </c>
      <c r="GB3">
        <f t="shared" si="76"/>
        <v>75000</v>
      </c>
      <c r="GC3">
        <f t="shared" ca="1" si="77"/>
        <v>420005</v>
      </c>
      <c r="GD3">
        <f t="shared" ca="1" si="78"/>
        <v>0</v>
      </c>
      <c r="GE3">
        <f t="shared" ca="1" si="79"/>
        <v>0</v>
      </c>
      <c r="GF3">
        <f t="shared" ca="1" si="80"/>
        <v>0</v>
      </c>
      <c r="GG3">
        <f t="shared" ca="1" si="81"/>
        <v>0</v>
      </c>
      <c r="GH3">
        <f t="shared" ca="1" si="82"/>
        <v>0</v>
      </c>
      <c r="GI3">
        <f t="shared" ca="1" si="83"/>
        <v>0</v>
      </c>
      <c r="GJ3">
        <f t="shared" ca="1" si="84"/>
        <v>0</v>
      </c>
      <c r="GK3">
        <f t="shared" ca="1" si="85"/>
        <v>0</v>
      </c>
      <c r="GL3">
        <f t="shared" ca="1" si="86"/>
        <v>0</v>
      </c>
      <c r="GM3">
        <f t="shared" ca="1" si="87"/>
        <v>0</v>
      </c>
      <c r="GN3">
        <f t="shared" ca="1" si="88"/>
        <v>20005</v>
      </c>
      <c r="GO3">
        <f t="shared" ca="1" si="89"/>
        <v>1000.25</v>
      </c>
      <c r="GP3">
        <f t="shared" ca="1" si="90"/>
        <v>1000</v>
      </c>
      <c r="GQ3">
        <f t="shared" ca="1" si="91"/>
        <v>0</v>
      </c>
      <c r="GR3">
        <f t="shared" ca="1" si="92"/>
        <v>0</v>
      </c>
      <c r="GS3">
        <f t="shared" ca="1" si="93"/>
        <v>1000</v>
      </c>
      <c r="GT3">
        <f t="shared" ca="1" si="94"/>
        <v>0</v>
      </c>
      <c r="GU3" t="b">
        <f t="shared" ca="1" si="95"/>
        <v>0</v>
      </c>
      <c r="GV3">
        <f t="shared" ca="1" si="96"/>
        <v>0</v>
      </c>
      <c r="GW3">
        <f t="shared" ca="1" si="97"/>
        <v>1000</v>
      </c>
      <c r="GX3">
        <f t="shared" ca="1" si="98"/>
        <v>0</v>
      </c>
      <c r="GY3">
        <f t="shared" ca="1" si="99"/>
        <v>0</v>
      </c>
      <c r="GZ3">
        <f t="shared" ca="1" si="100"/>
        <v>0</v>
      </c>
    </row>
    <row r="4" spans="1:208" x14ac:dyDescent="0.3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957</v>
      </c>
      <c r="G4" t="s">
        <v>875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1"/>
        <v>0</v>
      </c>
      <c r="S4">
        <f t="shared" si="102"/>
        <v>57098</v>
      </c>
      <c r="T4">
        <f>_xlfn.XLOOKUP(B4,'[2]april-2025'!$A:$A,'[2]april-2025'!$C:$C,0,0)</f>
        <v>47300</v>
      </c>
      <c r="U4">
        <f t="shared" si="4"/>
        <v>8514</v>
      </c>
      <c r="V4">
        <f t="shared" si="5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103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6"/>
        <v>0</v>
      </c>
      <c r="AC4">
        <f t="shared" si="7"/>
        <v>58990</v>
      </c>
      <c r="AD4">
        <f>_xlfn.XLOOKUP(B4,'[3]may-2025'!$A:$A,'[3]may-2025'!$C:$C,0,0)</f>
        <v>47300</v>
      </c>
      <c r="AE4">
        <f t="shared" si="8"/>
        <v>8514</v>
      </c>
      <c r="AF4">
        <f t="shared" si="9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04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0"/>
        <v>0</v>
      </c>
      <c r="AM4">
        <f t="shared" si="11"/>
        <v>58990</v>
      </c>
      <c r="AN4">
        <f>_xlfn.XLOOKUP(B4,'[4]june-2025'!$A:$A,'[4]june-2025'!$C:$C,0,0)</f>
        <v>47300</v>
      </c>
      <c r="AO4">
        <f t="shared" si="12"/>
        <v>8514</v>
      </c>
      <c r="AP4">
        <f t="shared" si="13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05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4"/>
        <v>0</v>
      </c>
      <c r="AW4">
        <f t="shared" si="15"/>
        <v>58990</v>
      </c>
      <c r="AX4">
        <f>_xlfn.XLOOKUP(B4,'[5]july-2025'!$A:$A,'[5]july-2025'!$C:$C,0,0)</f>
        <v>48700</v>
      </c>
      <c r="AY4">
        <f t="shared" si="16"/>
        <v>8766</v>
      </c>
      <c r="AZ4">
        <v>0</v>
      </c>
      <c r="BA4">
        <f t="shared" si="17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18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19"/>
        <v>0</v>
      </c>
      <c r="BH4">
        <f t="shared" si="20"/>
        <v>60810</v>
      </c>
      <c r="BI4">
        <f>_xlfn.XLOOKUP(B4,'[6]august-2025'!$A:$A,'[6]august-2025'!$C:$C,0,0)</f>
        <v>48700</v>
      </c>
      <c r="BJ4">
        <f t="shared" si="21"/>
        <v>8766</v>
      </c>
      <c r="BK4">
        <f t="shared" si="22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3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4"/>
        <v>0</v>
      </c>
      <c r="BR4">
        <f t="shared" si="25"/>
        <v>60810</v>
      </c>
      <c r="BS4">
        <f>_xlfn.XLOOKUP(B4,'[7]september-2025'!$A:$A,'[7]september-2025'!$C:$C,0,0)</f>
        <v>48700</v>
      </c>
      <c r="BT4">
        <f t="shared" si="26"/>
        <v>8766</v>
      </c>
      <c r="BU4">
        <f t="shared" si="27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28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29"/>
        <v>0</v>
      </c>
      <c r="CB4">
        <f t="shared" si="30"/>
        <v>60810</v>
      </c>
      <c r="CC4">
        <f>_xlfn.XLOOKUP(B4,'[8]october-2025'!$A:$A,'[8]october-2025'!$C:$C,0,0)</f>
        <v>48700</v>
      </c>
      <c r="CD4">
        <f t="shared" si="31"/>
        <v>8766</v>
      </c>
      <c r="CE4">
        <f t="shared" si="32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3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4"/>
        <v>0</v>
      </c>
      <c r="CL4">
        <f t="shared" si="35"/>
        <v>60810</v>
      </c>
      <c r="CM4">
        <f>_xlfn.XLOOKUP(B4,'[9]november-2025'!$A:$A,'[9]november-2025'!$C:$C,0,0)</f>
        <v>48700</v>
      </c>
      <c r="CN4">
        <f t="shared" si="36"/>
        <v>8766</v>
      </c>
      <c r="CO4">
        <f t="shared" si="37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38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39"/>
        <v>0</v>
      </c>
      <c r="CV4">
        <f t="shared" si="40"/>
        <v>60810</v>
      </c>
      <c r="CW4">
        <f>_xlfn.XLOOKUP(B4,'[10]december-2025'!$A:$A,'[10]december-2025'!$C:$C,0,0)</f>
        <v>48700</v>
      </c>
      <c r="CX4">
        <f t="shared" si="41"/>
        <v>8766</v>
      </c>
      <c r="CY4">
        <f t="shared" si="42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3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4"/>
        <v>0</v>
      </c>
      <c r="DF4">
        <f t="shared" si="45"/>
        <v>60810</v>
      </c>
      <c r="DG4">
        <f>_xlfn.XLOOKUP(B4,'[11]january-2026'!$A:$A,'[11]january-2026'!$C:$C,0,0)</f>
        <v>48700</v>
      </c>
      <c r="DH4">
        <f t="shared" si="46"/>
        <v>8766</v>
      </c>
      <c r="DI4">
        <f t="shared" si="47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48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49"/>
        <v>0</v>
      </c>
      <c r="DP4">
        <f t="shared" si="50"/>
        <v>60810</v>
      </c>
      <c r="DQ4">
        <f>_xlfn.XLOOKUP(B4,'[12]february-2026'!$A:$A,'[12]february-2026'!$C:$C,0,0)</f>
        <v>48700</v>
      </c>
      <c r="DR4">
        <f t="shared" si="51"/>
        <v>8766</v>
      </c>
      <c r="DS4">
        <f t="shared" si="52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3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4"/>
        <v>0</v>
      </c>
      <c r="DZ4">
        <f t="shared" si="55"/>
        <v>60810</v>
      </c>
      <c r="EA4">
        <f>_xlfn.XLOOKUP(B4,'[1]march-2025'!$A:$A,'[1]march-2025'!$J:$J,0,0)</f>
        <v>0</v>
      </c>
      <c r="EB4">
        <f>_xlfn.XLOOKUP(B4,'[2]april-2025'!$A:$A,'[2]april-2025'!$J:$J,0,0)</f>
        <v>0</v>
      </c>
      <c r="EC4">
        <f>_xlfn.XLOOKUP(B4,'[3]may-2025'!$A:$A,'[3]may-2025'!$J:$J,0,0)</f>
        <v>0</v>
      </c>
      <c r="ED4">
        <f>_xlfn.XLOOKUP(B4,'[4]june-2025'!$A:$A,'[4]june-2025'!$J:$J,0,0)</f>
        <v>0</v>
      </c>
      <c r="EE4">
        <f>_xlfn.XLOOKUP(B4,'[5]july-2025'!$A:$A,'[5]july-2025'!$J:$J,0,0)</f>
        <v>0</v>
      </c>
      <c r="EF4">
        <f>_xlfn.XLOOKUP(B4,'[6]august-2025'!$A:$A,'[6]august-2025'!$J:$J,0,0)</f>
        <v>0</v>
      </c>
      <c r="EG4">
        <f>_xlfn.XLOOKUP(B4,'[7]september-2025'!$A:$A,'[7]september-2025'!$J:$J,0,0)</f>
        <v>0</v>
      </c>
      <c r="EH4">
        <f>_xlfn.XLOOKUP(B4,'[8]october-2025'!$A:$A,'[8]october-2025'!$J:$J,0,0)</f>
        <v>0</v>
      </c>
      <c r="EI4">
        <f>_xlfn.XLOOKUP(C4,'[9]november-2025'!$A:$A,'[9]november-2025'!$J:$J,0,0)</f>
        <v>0</v>
      </c>
      <c r="EJ4">
        <f>_xlfn.XLOOKUP(B4,'[10]december-2025'!$A:$A,'[10]december-2025'!$J:$J,0,0)</f>
        <v>0</v>
      </c>
      <c r="EK4">
        <f>_xlfn.XLOOKUP(B4,'[11]january-2026'!$A:$A,'[11]january-2026'!$J:$J,0,0)</f>
        <v>0</v>
      </c>
      <c r="EL4">
        <f>_xlfn.XLOOKUP(B4,'[12]february-2026'!$A:$A,'[12]february-2026'!$J:$J,0,0)</f>
        <v>0</v>
      </c>
      <c r="EM4">
        <f t="shared" si="106"/>
        <v>0</v>
      </c>
      <c r="EN4">
        <f t="shared" si="56"/>
        <v>763348</v>
      </c>
      <c r="EO4">
        <f t="shared" si="57"/>
        <v>0</v>
      </c>
      <c r="EP4">
        <f t="shared" si="58"/>
        <v>50000</v>
      </c>
      <c r="EQ4">
        <v>0</v>
      </c>
      <c r="ER4">
        <f t="shared" si="107"/>
        <v>713348</v>
      </c>
      <c r="ES4">
        <f t="shared" si="59"/>
        <v>36000</v>
      </c>
      <c r="ET4">
        <f t="shared" si="60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1"/>
        <v>36000</v>
      </c>
      <c r="FF4">
        <f t="shared" si="62"/>
        <v>36000</v>
      </c>
      <c r="FG4">
        <f t="shared" si="63"/>
        <v>677348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4"/>
        <v>50000</v>
      </c>
      <c r="FP4">
        <f t="shared" si="65"/>
        <v>627348</v>
      </c>
      <c r="FQ4">
        <f t="shared" si="66"/>
        <v>12500</v>
      </c>
      <c r="FR4">
        <f t="shared" si="67"/>
        <v>25470</v>
      </c>
      <c r="FS4">
        <f t="shared" si="68"/>
        <v>37970</v>
      </c>
      <c r="FT4">
        <f t="shared" si="69"/>
        <v>37970</v>
      </c>
      <c r="FU4">
        <f t="shared" si="70"/>
        <v>1518.8</v>
      </c>
      <c r="FV4">
        <f t="shared" si="71"/>
        <v>39489</v>
      </c>
      <c r="FW4">
        <v>0</v>
      </c>
      <c r="FX4">
        <f t="shared" si="72"/>
        <v>39489</v>
      </c>
      <c r="FY4" t="b">
        <f t="shared" si="73"/>
        <v>1</v>
      </c>
      <c r="FZ4">
        <f t="shared" ca="1" si="74"/>
        <v>851</v>
      </c>
      <c r="GA4">
        <f t="shared" ca="1" si="75"/>
        <v>764199</v>
      </c>
      <c r="GB4">
        <f t="shared" si="76"/>
        <v>75000</v>
      </c>
      <c r="GC4">
        <f t="shared" ca="1" si="77"/>
        <v>689199</v>
      </c>
      <c r="GD4">
        <f t="shared" ca="1" si="78"/>
        <v>0</v>
      </c>
      <c r="GE4">
        <f t="shared" ca="1" si="79"/>
        <v>0</v>
      </c>
      <c r="GF4">
        <f t="shared" ca="1" si="80"/>
        <v>0</v>
      </c>
      <c r="GG4">
        <f t="shared" ca="1" si="81"/>
        <v>0</v>
      </c>
      <c r="GH4">
        <f t="shared" ca="1" si="82"/>
        <v>0</v>
      </c>
      <c r="GI4">
        <f t="shared" ca="1" si="83"/>
        <v>0</v>
      </c>
      <c r="GJ4">
        <f t="shared" ca="1" si="84"/>
        <v>0</v>
      </c>
      <c r="GK4">
        <f t="shared" ca="1" si="85"/>
        <v>0</v>
      </c>
      <c r="GL4">
        <f t="shared" ca="1" si="86"/>
        <v>0</v>
      </c>
      <c r="GM4">
        <f t="shared" ca="1" si="87"/>
        <v>0</v>
      </c>
      <c r="GN4">
        <f t="shared" ca="1" si="88"/>
        <v>289199</v>
      </c>
      <c r="GO4">
        <f t="shared" ca="1" si="89"/>
        <v>14459.95</v>
      </c>
      <c r="GP4">
        <f t="shared" ca="1" si="90"/>
        <v>14460</v>
      </c>
      <c r="GQ4">
        <f t="shared" ca="1" si="91"/>
        <v>0</v>
      </c>
      <c r="GR4">
        <f t="shared" ca="1" si="92"/>
        <v>0</v>
      </c>
      <c r="GS4">
        <f t="shared" ca="1" si="93"/>
        <v>14460</v>
      </c>
      <c r="GT4">
        <f t="shared" ca="1" si="94"/>
        <v>0</v>
      </c>
      <c r="GU4" t="b">
        <f t="shared" ca="1" si="95"/>
        <v>0</v>
      </c>
      <c r="GV4">
        <f t="shared" ca="1" si="96"/>
        <v>0</v>
      </c>
      <c r="GW4">
        <f t="shared" ca="1" si="97"/>
        <v>14460</v>
      </c>
      <c r="GX4">
        <f t="shared" ca="1" si="98"/>
        <v>0</v>
      </c>
      <c r="GY4">
        <f t="shared" ca="1" si="99"/>
        <v>0</v>
      </c>
      <c r="GZ4">
        <f t="shared" ca="1" si="100"/>
        <v>0</v>
      </c>
    </row>
    <row r="5" spans="1:208" x14ac:dyDescent="0.3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956</v>
      </c>
      <c r="G5" t="s">
        <v>876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1"/>
        <v>150</v>
      </c>
      <c r="S5">
        <f t="shared" si="102"/>
        <v>30354</v>
      </c>
      <c r="T5">
        <f>_xlfn.XLOOKUP(B5,'[2]april-2025'!$A:$A,'[2]april-2025'!$C:$C,0,0)</f>
        <v>25400</v>
      </c>
      <c r="U5">
        <f t="shared" si="4"/>
        <v>4572</v>
      </c>
      <c r="V5">
        <f t="shared" si="5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103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6"/>
        <v>150</v>
      </c>
      <c r="AC5">
        <f t="shared" si="7"/>
        <v>31370</v>
      </c>
      <c r="AD5">
        <f>_xlfn.XLOOKUP(B5,'[3]may-2025'!$A:$A,'[3]may-2025'!$C:$C,0,0)</f>
        <v>25400</v>
      </c>
      <c r="AE5">
        <f t="shared" si="8"/>
        <v>4572</v>
      </c>
      <c r="AF5">
        <f t="shared" si="9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04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0"/>
        <v>150</v>
      </c>
      <c r="AM5">
        <f t="shared" si="11"/>
        <v>31370</v>
      </c>
      <c r="AN5">
        <f>_xlfn.XLOOKUP(B5,'[4]june-2025'!$A:$A,'[4]june-2025'!$C:$C,0,0)</f>
        <v>25400</v>
      </c>
      <c r="AO5">
        <f t="shared" si="12"/>
        <v>4572</v>
      </c>
      <c r="AP5">
        <f t="shared" si="13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05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4"/>
        <v>150</v>
      </c>
      <c r="AW5">
        <f t="shared" si="15"/>
        <v>31370</v>
      </c>
      <c r="AX5">
        <f>_xlfn.XLOOKUP(B5,'[5]july-2025'!$A:$A,'[5]july-2025'!$C:$C,0,0)</f>
        <v>26200</v>
      </c>
      <c r="AY5">
        <f t="shared" si="16"/>
        <v>4716</v>
      </c>
      <c r="AZ5">
        <v>0</v>
      </c>
      <c r="BA5">
        <f t="shared" si="17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18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19"/>
        <v>150</v>
      </c>
      <c r="BH5">
        <f t="shared" si="20"/>
        <v>32410</v>
      </c>
      <c r="BI5">
        <f>_xlfn.XLOOKUP(B5,'[6]august-2025'!$A:$A,'[6]august-2025'!$C:$C,0,0)</f>
        <v>26200</v>
      </c>
      <c r="BJ5">
        <f t="shared" si="21"/>
        <v>4716</v>
      </c>
      <c r="BK5">
        <f t="shared" si="22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3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4"/>
        <v>150</v>
      </c>
      <c r="BR5">
        <f t="shared" si="25"/>
        <v>32410</v>
      </c>
      <c r="BS5">
        <f>_xlfn.XLOOKUP(B5,'[7]september-2025'!$A:$A,'[7]september-2025'!$C:$C,0,0)</f>
        <v>26200</v>
      </c>
      <c r="BT5">
        <f t="shared" si="26"/>
        <v>4716</v>
      </c>
      <c r="BU5">
        <f t="shared" si="27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28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29"/>
        <v>150</v>
      </c>
      <c r="CB5">
        <f t="shared" si="30"/>
        <v>32410</v>
      </c>
      <c r="CC5">
        <f>_xlfn.XLOOKUP(B5,'[8]october-2025'!$A:$A,'[8]october-2025'!$C:$C,0,0)</f>
        <v>26200</v>
      </c>
      <c r="CD5">
        <f t="shared" si="31"/>
        <v>4716</v>
      </c>
      <c r="CE5">
        <f t="shared" si="32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3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4"/>
        <v>150</v>
      </c>
      <c r="CL5">
        <f t="shared" si="35"/>
        <v>32410</v>
      </c>
      <c r="CM5">
        <f>_xlfn.XLOOKUP(B5,'[9]november-2025'!$A:$A,'[9]november-2025'!$C:$C,0,0)</f>
        <v>26200</v>
      </c>
      <c r="CN5">
        <f t="shared" si="36"/>
        <v>4716</v>
      </c>
      <c r="CO5">
        <f t="shared" si="37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38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39"/>
        <v>150</v>
      </c>
      <c r="CV5">
        <f t="shared" si="40"/>
        <v>32410</v>
      </c>
      <c r="CW5">
        <f>_xlfn.XLOOKUP(B5,'[10]december-2025'!$A:$A,'[10]december-2025'!$C:$C,0,0)</f>
        <v>26200</v>
      </c>
      <c r="CX5">
        <f t="shared" si="41"/>
        <v>4716</v>
      </c>
      <c r="CY5">
        <f t="shared" si="42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3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4"/>
        <v>150</v>
      </c>
      <c r="DF5">
        <f t="shared" si="45"/>
        <v>32410</v>
      </c>
      <c r="DG5">
        <f>_xlfn.XLOOKUP(B5,'[11]january-2026'!$A:$A,'[11]january-2026'!$C:$C,0,0)</f>
        <v>26200</v>
      </c>
      <c r="DH5">
        <f t="shared" si="46"/>
        <v>4716</v>
      </c>
      <c r="DI5">
        <f t="shared" si="47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48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49"/>
        <v>150</v>
      </c>
      <c r="DP5">
        <f t="shared" si="50"/>
        <v>32410</v>
      </c>
      <c r="DQ5">
        <f>_xlfn.XLOOKUP(B5,'[12]february-2026'!$A:$A,'[12]february-2026'!$C:$C,0,0)</f>
        <v>26200</v>
      </c>
      <c r="DR5">
        <f t="shared" si="51"/>
        <v>4716</v>
      </c>
      <c r="DS5">
        <f t="shared" si="52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3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4"/>
        <v>150</v>
      </c>
      <c r="DZ5">
        <f t="shared" si="55"/>
        <v>32410</v>
      </c>
      <c r="EA5">
        <f>_xlfn.XLOOKUP(B5,'[1]march-2025'!$A:$A,'[1]march-2025'!$J:$J,0,0)</f>
        <v>0</v>
      </c>
      <c r="EB5">
        <f>_xlfn.XLOOKUP(B5,'[2]april-2025'!$A:$A,'[2]april-2025'!$J:$J,0,0)</f>
        <v>0</v>
      </c>
      <c r="EC5">
        <f>_xlfn.XLOOKUP(B5,'[3]may-2025'!$A:$A,'[3]may-2025'!$J:$J,0,0)</f>
        <v>0</v>
      </c>
      <c r="ED5">
        <f>_xlfn.XLOOKUP(B5,'[4]june-2025'!$A:$A,'[4]june-2025'!$J:$J,0,0)</f>
        <v>35425</v>
      </c>
      <c r="EE5">
        <f>_xlfn.XLOOKUP(B5,'[5]july-2025'!$A:$A,'[5]july-2025'!$J:$J,0,0)</f>
        <v>0</v>
      </c>
      <c r="EF5">
        <f>_xlfn.XLOOKUP(B5,'[6]august-2025'!$A:$A,'[6]august-2025'!$J:$J,0,0)</f>
        <v>0</v>
      </c>
      <c r="EG5">
        <f>_xlfn.XLOOKUP(B5,'[7]september-2025'!$A:$A,'[7]september-2025'!$J:$J,0,0)</f>
        <v>0</v>
      </c>
      <c r="EH5">
        <f>_xlfn.XLOOKUP(B5,'[8]october-2025'!$A:$A,'[8]october-2025'!$J:$J,0,0)</f>
        <v>0</v>
      </c>
      <c r="EI5">
        <f>_xlfn.XLOOKUP(C5,'[9]november-2025'!$A:$A,'[9]november-2025'!$J:$J,0,0)</f>
        <v>0</v>
      </c>
      <c r="EJ5">
        <f>_xlfn.XLOOKUP(B5,'[10]december-2025'!$A:$A,'[10]december-2025'!$J:$J,0,0)</f>
        <v>0</v>
      </c>
      <c r="EK5">
        <f>_xlfn.XLOOKUP(B5,'[11]january-2026'!$A:$A,'[11]january-2026'!$J:$J,0,0)</f>
        <v>0</v>
      </c>
      <c r="EL5">
        <f>_xlfn.XLOOKUP(B5,'[12]february-2026'!$A:$A,'[12]february-2026'!$J:$J,0,0)</f>
        <v>0</v>
      </c>
      <c r="EM5">
        <f t="shared" si="106"/>
        <v>35425</v>
      </c>
      <c r="EN5">
        <f t="shared" si="56"/>
        <v>416344</v>
      </c>
      <c r="EO5">
        <f t="shared" si="57"/>
        <v>1800</v>
      </c>
      <c r="EP5">
        <f t="shared" si="58"/>
        <v>50000</v>
      </c>
      <c r="EQ5">
        <v>0</v>
      </c>
      <c r="ER5">
        <f t="shared" si="107"/>
        <v>399969</v>
      </c>
      <c r="ES5">
        <f t="shared" si="59"/>
        <v>24000</v>
      </c>
      <c r="ET5">
        <f t="shared" si="60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1"/>
        <v>24000</v>
      </c>
      <c r="FF5">
        <f t="shared" si="62"/>
        <v>24000</v>
      </c>
      <c r="FG5">
        <f t="shared" si="63"/>
        <v>375969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4"/>
        <v>0</v>
      </c>
      <c r="FP5">
        <f t="shared" si="65"/>
        <v>375969</v>
      </c>
      <c r="FQ5">
        <f t="shared" si="66"/>
        <v>6298</v>
      </c>
      <c r="FR5">
        <f t="shared" si="67"/>
        <v>0</v>
      </c>
      <c r="FS5">
        <f t="shared" si="68"/>
        <v>6298</v>
      </c>
      <c r="FT5">
        <f t="shared" si="69"/>
        <v>0</v>
      </c>
      <c r="FU5">
        <f t="shared" si="70"/>
        <v>0</v>
      </c>
      <c r="FV5">
        <f t="shared" si="71"/>
        <v>0</v>
      </c>
      <c r="FW5">
        <v>0</v>
      </c>
      <c r="FX5">
        <f t="shared" si="72"/>
        <v>0</v>
      </c>
      <c r="FY5" t="b">
        <f t="shared" si="73"/>
        <v>0</v>
      </c>
      <c r="FZ5">
        <f t="shared" ca="1" si="74"/>
        <v>1176</v>
      </c>
      <c r="GA5">
        <f t="shared" ca="1" si="75"/>
        <v>417520</v>
      </c>
      <c r="GB5">
        <f t="shared" si="76"/>
        <v>75000</v>
      </c>
      <c r="GC5">
        <f t="shared" ca="1" si="77"/>
        <v>342520</v>
      </c>
      <c r="GD5">
        <f t="shared" ca="1" si="78"/>
        <v>0</v>
      </c>
      <c r="GE5">
        <f t="shared" ca="1" si="79"/>
        <v>0</v>
      </c>
      <c r="GF5">
        <f t="shared" ca="1" si="80"/>
        <v>0</v>
      </c>
      <c r="GG5">
        <f t="shared" ca="1" si="81"/>
        <v>0</v>
      </c>
      <c r="GH5">
        <f t="shared" ca="1" si="82"/>
        <v>0</v>
      </c>
      <c r="GI5">
        <f t="shared" ca="1" si="83"/>
        <v>0</v>
      </c>
      <c r="GJ5">
        <f t="shared" ca="1" si="84"/>
        <v>0</v>
      </c>
      <c r="GK5">
        <f t="shared" ca="1" si="85"/>
        <v>0</v>
      </c>
      <c r="GL5">
        <f t="shared" ca="1" si="86"/>
        <v>0</v>
      </c>
      <c r="GM5">
        <f t="shared" ca="1" si="87"/>
        <v>0</v>
      </c>
      <c r="GN5">
        <f t="shared" ca="1" si="88"/>
        <v>0</v>
      </c>
      <c r="GO5">
        <f t="shared" ca="1" si="89"/>
        <v>0</v>
      </c>
      <c r="GP5">
        <f t="shared" ca="1" si="90"/>
        <v>0</v>
      </c>
      <c r="GQ5">
        <f t="shared" ca="1" si="91"/>
        <v>0</v>
      </c>
      <c r="GR5">
        <f t="shared" ca="1" si="92"/>
        <v>0</v>
      </c>
      <c r="GS5">
        <f t="shared" ca="1" si="93"/>
        <v>0</v>
      </c>
      <c r="GT5">
        <f t="shared" ca="1" si="94"/>
        <v>0</v>
      </c>
      <c r="GU5" t="b">
        <f t="shared" ca="1" si="95"/>
        <v>0</v>
      </c>
      <c r="GV5">
        <f t="shared" ca="1" si="96"/>
        <v>0</v>
      </c>
      <c r="GW5">
        <f t="shared" ca="1" si="97"/>
        <v>0</v>
      </c>
      <c r="GX5">
        <f t="shared" ca="1" si="98"/>
        <v>0</v>
      </c>
      <c r="GY5">
        <f t="shared" ca="1" si="99"/>
        <v>0</v>
      </c>
      <c r="GZ5">
        <f t="shared" ca="1" si="100"/>
        <v>0</v>
      </c>
    </row>
    <row r="6" spans="1:208" x14ac:dyDescent="0.3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956</v>
      </c>
      <c r="G6" t="s">
        <v>877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1"/>
        <v>200</v>
      </c>
      <c r="S6">
        <f t="shared" si="102"/>
        <v>40170</v>
      </c>
      <c r="T6">
        <f>_xlfn.XLOOKUP(B6,'[2]april-2025'!$A:$A,'[2]april-2025'!$C:$C,0,0)</f>
        <v>34500</v>
      </c>
      <c r="U6">
        <f t="shared" si="4"/>
        <v>6210</v>
      </c>
      <c r="V6">
        <f t="shared" si="5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103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6"/>
        <v>200</v>
      </c>
      <c r="AC6">
        <f t="shared" si="7"/>
        <v>41550</v>
      </c>
      <c r="AD6">
        <f>_xlfn.XLOOKUP(B6,'[3]may-2025'!$A:$A,'[3]may-2025'!$C:$C,0,0)</f>
        <v>34500</v>
      </c>
      <c r="AE6">
        <f t="shared" si="8"/>
        <v>6210</v>
      </c>
      <c r="AF6">
        <f t="shared" si="9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04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0"/>
        <v>200</v>
      </c>
      <c r="AM6">
        <f t="shared" si="11"/>
        <v>41550</v>
      </c>
      <c r="AN6">
        <f>_xlfn.XLOOKUP(B6,'[4]june-2025'!$A:$A,'[4]june-2025'!$C:$C,0,0)</f>
        <v>34500</v>
      </c>
      <c r="AO6">
        <f t="shared" si="12"/>
        <v>6210</v>
      </c>
      <c r="AP6">
        <f t="shared" si="13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05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4"/>
        <v>200</v>
      </c>
      <c r="AW6">
        <f t="shared" si="15"/>
        <v>41550</v>
      </c>
      <c r="AX6">
        <f>_xlfn.XLOOKUP(B6,'[5]july-2025'!$A:$A,'[5]july-2025'!$C:$C,0,0)</f>
        <v>35500</v>
      </c>
      <c r="AY6">
        <f t="shared" si="16"/>
        <v>6390</v>
      </c>
      <c r="AZ6">
        <v>0</v>
      </c>
      <c r="BA6">
        <f t="shared" si="17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18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19"/>
        <v>200</v>
      </c>
      <c r="BH6">
        <f t="shared" si="20"/>
        <v>42850</v>
      </c>
      <c r="BI6">
        <f>_xlfn.XLOOKUP(B6,'[6]august-2025'!$A:$A,'[6]august-2025'!$C:$C,0,0)</f>
        <v>35500</v>
      </c>
      <c r="BJ6">
        <f t="shared" si="21"/>
        <v>6390</v>
      </c>
      <c r="BK6">
        <f t="shared" si="22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3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4"/>
        <v>200</v>
      </c>
      <c r="BR6">
        <f t="shared" si="25"/>
        <v>42850</v>
      </c>
      <c r="BS6">
        <f>_xlfn.XLOOKUP(B6,'[7]september-2025'!$A:$A,'[7]september-2025'!$C:$C,0,0)</f>
        <v>35500</v>
      </c>
      <c r="BT6">
        <f t="shared" si="26"/>
        <v>6390</v>
      </c>
      <c r="BU6">
        <f t="shared" si="27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28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29"/>
        <v>200</v>
      </c>
      <c r="CB6">
        <f t="shared" si="30"/>
        <v>42850</v>
      </c>
      <c r="CC6">
        <f>_xlfn.XLOOKUP(B6,'[8]october-2025'!$A:$A,'[8]october-2025'!$C:$C,0,0)</f>
        <v>35500</v>
      </c>
      <c r="CD6">
        <f t="shared" si="31"/>
        <v>6390</v>
      </c>
      <c r="CE6">
        <f t="shared" si="32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3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4"/>
        <v>200</v>
      </c>
      <c r="CL6">
        <f t="shared" si="35"/>
        <v>42850</v>
      </c>
      <c r="CM6">
        <f>_xlfn.XLOOKUP(B6,'[9]november-2025'!$A:$A,'[9]november-2025'!$C:$C,0,0)</f>
        <v>35500</v>
      </c>
      <c r="CN6">
        <f t="shared" si="36"/>
        <v>6390</v>
      </c>
      <c r="CO6">
        <f t="shared" si="37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38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39"/>
        <v>200</v>
      </c>
      <c r="CV6">
        <f t="shared" si="40"/>
        <v>42850</v>
      </c>
      <c r="CW6">
        <f>_xlfn.XLOOKUP(B6,'[10]december-2025'!$A:$A,'[10]december-2025'!$C:$C,0,0)</f>
        <v>35500</v>
      </c>
      <c r="CX6">
        <f t="shared" si="41"/>
        <v>6390</v>
      </c>
      <c r="CY6">
        <f t="shared" si="42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3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4"/>
        <v>200</v>
      </c>
      <c r="DF6">
        <f t="shared" si="45"/>
        <v>42850</v>
      </c>
      <c r="DG6">
        <f>_xlfn.XLOOKUP(B6,'[11]january-2026'!$A:$A,'[11]january-2026'!$C:$C,0,0)</f>
        <v>35500</v>
      </c>
      <c r="DH6">
        <f t="shared" si="46"/>
        <v>6390</v>
      </c>
      <c r="DI6">
        <f t="shared" si="47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48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49"/>
        <v>200</v>
      </c>
      <c r="DP6">
        <f t="shared" si="50"/>
        <v>42850</v>
      </c>
      <c r="DQ6">
        <f>_xlfn.XLOOKUP(B6,'[12]february-2026'!$A:$A,'[12]february-2026'!$C:$C,0,0)</f>
        <v>35500</v>
      </c>
      <c r="DR6">
        <f t="shared" si="51"/>
        <v>6390</v>
      </c>
      <c r="DS6">
        <f t="shared" si="52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3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4"/>
        <v>200</v>
      </c>
      <c r="DZ6">
        <f t="shared" si="55"/>
        <v>42850</v>
      </c>
      <c r="EA6">
        <f>_xlfn.XLOOKUP(B6,'[1]march-2025'!$A:$A,'[1]march-2025'!$J:$J,0,0)</f>
        <v>0</v>
      </c>
      <c r="EB6">
        <f>_xlfn.XLOOKUP(B6,'[2]april-2025'!$A:$A,'[2]april-2025'!$J:$J,0,0)</f>
        <v>0</v>
      </c>
      <c r="EC6">
        <f>_xlfn.XLOOKUP(B6,'[3]may-2025'!$A:$A,'[3]may-2025'!$J:$J,0,0)</f>
        <v>0</v>
      </c>
      <c r="ED6">
        <f>_xlfn.XLOOKUP(B6,'[4]june-2025'!$A:$A,'[4]june-2025'!$J:$J,0,0)</f>
        <v>0</v>
      </c>
      <c r="EE6">
        <f>_xlfn.XLOOKUP(B6,'[5]july-2025'!$A:$A,'[5]july-2025'!$J:$J,0,0)</f>
        <v>0</v>
      </c>
      <c r="EF6">
        <f>_xlfn.XLOOKUP(B6,'[6]august-2025'!$A:$A,'[6]august-2025'!$J:$J,0,0)</f>
        <v>0</v>
      </c>
      <c r="EG6">
        <f>_xlfn.XLOOKUP(B6,'[7]september-2025'!$A:$A,'[7]september-2025'!$J:$J,0,0)</f>
        <v>0</v>
      </c>
      <c r="EH6">
        <f>_xlfn.XLOOKUP(B6,'[8]october-2025'!$A:$A,'[8]october-2025'!$J:$J,0,0)</f>
        <v>0</v>
      </c>
      <c r="EI6">
        <f>_xlfn.XLOOKUP(C6,'[9]november-2025'!$A:$A,'[9]november-2025'!$J:$J,0,0)</f>
        <v>0</v>
      </c>
      <c r="EJ6">
        <f>_xlfn.XLOOKUP(B6,'[10]december-2025'!$A:$A,'[10]december-2025'!$J:$J,0,0)</f>
        <v>0</v>
      </c>
      <c r="EK6">
        <f>_xlfn.XLOOKUP(B6,'[11]january-2026'!$A:$A,'[11]january-2026'!$J:$J,0,0)</f>
        <v>0</v>
      </c>
      <c r="EL6">
        <f>_xlfn.XLOOKUP(B6,'[12]february-2026'!$A:$A,'[12]february-2026'!$J:$J,0,0)</f>
        <v>0</v>
      </c>
      <c r="EM6">
        <f t="shared" si="106"/>
        <v>0</v>
      </c>
      <c r="EN6">
        <f t="shared" si="56"/>
        <v>564820</v>
      </c>
      <c r="EO6">
        <f t="shared" si="57"/>
        <v>2400</v>
      </c>
      <c r="EP6">
        <f t="shared" si="58"/>
        <v>50000</v>
      </c>
      <c r="EQ6">
        <v>0</v>
      </c>
      <c r="ER6">
        <f t="shared" si="107"/>
        <v>512420</v>
      </c>
      <c r="ES6">
        <f t="shared" si="59"/>
        <v>48000</v>
      </c>
      <c r="ET6">
        <f t="shared" si="60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1"/>
        <v>48000</v>
      </c>
      <c r="FF6">
        <f t="shared" si="62"/>
        <v>48000</v>
      </c>
      <c r="FG6">
        <f t="shared" si="63"/>
        <v>464420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4"/>
        <v>0</v>
      </c>
      <c r="FP6">
        <f t="shared" si="65"/>
        <v>464420</v>
      </c>
      <c r="FQ6">
        <f t="shared" si="66"/>
        <v>10721</v>
      </c>
      <c r="FR6">
        <f t="shared" si="67"/>
        <v>0</v>
      </c>
      <c r="FS6">
        <f t="shared" si="68"/>
        <v>10721</v>
      </c>
      <c r="FT6">
        <f t="shared" si="69"/>
        <v>0</v>
      </c>
      <c r="FU6">
        <f t="shared" si="70"/>
        <v>0</v>
      </c>
      <c r="FV6">
        <f t="shared" si="71"/>
        <v>0</v>
      </c>
      <c r="FW6">
        <v>0</v>
      </c>
      <c r="FX6">
        <f t="shared" si="72"/>
        <v>0</v>
      </c>
      <c r="FY6" t="b">
        <f t="shared" si="73"/>
        <v>1</v>
      </c>
      <c r="FZ6">
        <f t="shared" ca="1" si="74"/>
        <v>831</v>
      </c>
      <c r="GA6">
        <f t="shared" ca="1" si="75"/>
        <v>565651</v>
      </c>
      <c r="GB6">
        <f t="shared" si="76"/>
        <v>75000</v>
      </c>
      <c r="GC6">
        <f t="shared" ca="1" si="77"/>
        <v>490651</v>
      </c>
      <c r="GD6">
        <f t="shared" ca="1" si="78"/>
        <v>0</v>
      </c>
      <c r="GE6">
        <f t="shared" ca="1" si="79"/>
        <v>0</v>
      </c>
      <c r="GF6">
        <f t="shared" ca="1" si="80"/>
        <v>0</v>
      </c>
      <c r="GG6">
        <f t="shared" ca="1" si="81"/>
        <v>0</v>
      </c>
      <c r="GH6">
        <f t="shared" ca="1" si="82"/>
        <v>0</v>
      </c>
      <c r="GI6">
        <f t="shared" ca="1" si="83"/>
        <v>0</v>
      </c>
      <c r="GJ6">
        <f t="shared" ca="1" si="84"/>
        <v>0</v>
      </c>
      <c r="GK6">
        <f t="shared" ca="1" si="85"/>
        <v>0</v>
      </c>
      <c r="GL6">
        <f t="shared" ca="1" si="86"/>
        <v>0</v>
      </c>
      <c r="GM6">
        <f t="shared" ca="1" si="87"/>
        <v>0</v>
      </c>
      <c r="GN6">
        <f t="shared" ca="1" si="88"/>
        <v>90651</v>
      </c>
      <c r="GO6">
        <f t="shared" ca="1" si="89"/>
        <v>4532.55</v>
      </c>
      <c r="GP6">
        <f t="shared" ca="1" si="90"/>
        <v>4533</v>
      </c>
      <c r="GQ6">
        <f t="shared" ca="1" si="91"/>
        <v>0</v>
      </c>
      <c r="GR6">
        <f t="shared" ca="1" si="92"/>
        <v>0</v>
      </c>
      <c r="GS6">
        <f t="shared" ca="1" si="93"/>
        <v>4533</v>
      </c>
      <c r="GT6">
        <f t="shared" ca="1" si="94"/>
        <v>0</v>
      </c>
      <c r="GU6" t="b">
        <f t="shared" ca="1" si="95"/>
        <v>0</v>
      </c>
      <c r="GV6">
        <f t="shared" ca="1" si="96"/>
        <v>0</v>
      </c>
      <c r="GW6">
        <f t="shared" ca="1" si="97"/>
        <v>4533</v>
      </c>
      <c r="GX6">
        <f t="shared" ca="1" si="98"/>
        <v>0</v>
      </c>
      <c r="GY6">
        <f t="shared" ca="1" si="99"/>
        <v>0</v>
      </c>
      <c r="GZ6">
        <f t="shared" ca="1" si="100"/>
        <v>0</v>
      </c>
    </row>
    <row r="7" spans="1:208" x14ac:dyDescent="0.3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956</v>
      </c>
      <c r="G7" t="s">
        <v>878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1"/>
        <v>200</v>
      </c>
      <c r="S7">
        <f t="shared" si="102"/>
        <v>38116</v>
      </c>
      <c r="T7">
        <f>_xlfn.XLOOKUP(B7,'[2]april-2025'!$A:$A,'[2]april-2025'!$C:$C,0,0)</f>
        <v>31600</v>
      </c>
      <c r="U7">
        <f t="shared" si="4"/>
        <v>5688</v>
      </c>
      <c r="V7">
        <f t="shared" si="5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103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6"/>
        <v>200</v>
      </c>
      <c r="AC7">
        <f t="shared" si="7"/>
        <v>39380</v>
      </c>
      <c r="AD7">
        <f>_xlfn.XLOOKUP(B7,'[3]may-2025'!$A:$A,'[3]may-2025'!$C:$C,0,0)</f>
        <v>31600</v>
      </c>
      <c r="AE7">
        <f t="shared" si="8"/>
        <v>5688</v>
      </c>
      <c r="AF7">
        <f t="shared" si="9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04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0"/>
        <v>200</v>
      </c>
      <c r="AM7">
        <f t="shared" si="11"/>
        <v>39380</v>
      </c>
      <c r="AN7">
        <f>_xlfn.XLOOKUP(B7,'[4]june-2025'!$A:$A,'[4]june-2025'!$C:$C,0,0)</f>
        <v>31600</v>
      </c>
      <c r="AO7">
        <f t="shared" si="12"/>
        <v>5688</v>
      </c>
      <c r="AP7">
        <f t="shared" si="13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05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4"/>
        <v>200</v>
      </c>
      <c r="AW7">
        <f t="shared" si="15"/>
        <v>39380</v>
      </c>
      <c r="AX7">
        <f>_xlfn.XLOOKUP(B7,'[5]july-2025'!$A:$A,'[5]july-2025'!$C:$C,0,0)</f>
        <v>32500</v>
      </c>
      <c r="AY7">
        <f t="shared" si="16"/>
        <v>5850</v>
      </c>
      <c r="AZ7">
        <v>0</v>
      </c>
      <c r="BA7">
        <f t="shared" si="17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18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19"/>
        <v>200</v>
      </c>
      <c r="BH7">
        <f t="shared" si="20"/>
        <v>40550</v>
      </c>
      <c r="BI7">
        <f>_xlfn.XLOOKUP(B7,'[6]august-2025'!$A:$A,'[6]august-2025'!$C:$C,0,0)</f>
        <v>32500</v>
      </c>
      <c r="BJ7">
        <f t="shared" si="21"/>
        <v>5850</v>
      </c>
      <c r="BK7">
        <f t="shared" si="22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3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4"/>
        <v>200</v>
      </c>
      <c r="BR7">
        <f t="shared" si="25"/>
        <v>40550</v>
      </c>
      <c r="BS7">
        <f>_xlfn.XLOOKUP(B7,'[7]september-2025'!$A:$A,'[7]september-2025'!$C:$C,0,0)</f>
        <v>32500</v>
      </c>
      <c r="BT7">
        <f t="shared" si="26"/>
        <v>5850</v>
      </c>
      <c r="BU7">
        <f t="shared" si="27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28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29"/>
        <v>200</v>
      </c>
      <c r="CB7">
        <f t="shared" si="30"/>
        <v>40550</v>
      </c>
      <c r="CC7">
        <f>_xlfn.XLOOKUP(B7,'[8]october-2025'!$A:$A,'[8]october-2025'!$C:$C,0,0)</f>
        <v>32500</v>
      </c>
      <c r="CD7">
        <f t="shared" si="31"/>
        <v>5850</v>
      </c>
      <c r="CE7">
        <f t="shared" si="32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3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4"/>
        <v>200</v>
      </c>
      <c r="CL7">
        <f t="shared" si="35"/>
        <v>40550</v>
      </c>
      <c r="CM7">
        <f>_xlfn.XLOOKUP(B7,'[9]november-2025'!$A:$A,'[9]november-2025'!$C:$C,0,0)</f>
        <v>32500</v>
      </c>
      <c r="CN7">
        <f t="shared" si="36"/>
        <v>5850</v>
      </c>
      <c r="CO7">
        <f t="shared" si="37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38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39"/>
        <v>200</v>
      </c>
      <c r="CV7">
        <f t="shared" si="40"/>
        <v>40550</v>
      </c>
      <c r="CW7">
        <f>_xlfn.XLOOKUP(B7,'[10]december-2025'!$A:$A,'[10]december-2025'!$C:$C,0,0)</f>
        <v>32500</v>
      </c>
      <c r="CX7">
        <f t="shared" si="41"/>
        <v>5850</v>
      </c>
      <c r="CY7">
        <f t="shared" si="42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3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4"/>
        <v>200</v>
      </c>
      <c r="DF7">
        <f t="shared" si="45"/>
        <v>40550</v>
      </c>
      <c r="DG7">
        <f>_xlfn.XLOOKUP(B7,'[11]january-2026'!$A:$A,'[11]january-2026'!$C:$C,0,0)</f>
        <v>32500</v>
      </c>
      <c r="DH7">
        <f t="shared" si="46"/>
        <v>5850</v>
      </c>
      <c r="DI7">
        <f t="shared" si="47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48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49"/>
        <v>200</v>
      </c>
      <c r="DP7">
        <f t="shared" si="50"/>
        <v>40550</v>
      </c>
      <c r="DQ7">
        <f>_xlfn.XLOOKUP(B7,'[12]february-2026'!$A:$A,'[12]february-2026'!$C:$C,0,0)</f>
        <v>32500</v>
      </c>
      <c r="DR7">
        <f t="shared" si="51"/>
        <v>5850</v>
      </c>
      <c r="DS7">
        <f t="shared" si="52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3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4"/>
        <v>200</v>
      </c>
      <c r="DZ7">
        <f t="shared" si="55"/>
        <v>40550</v>
      </c>
      <c r="EA7">
        <f>_xlfn.XLOOKUP(B7,'[1]march-2025'!$A:$A,'[1]march-2025'!$J:$J,0,0)</f>
        <v>0</v>
      </c>
      <c r="EB7">
        <f>_xlfn.XLOOKUP(B7,'[2]april-2025'!$A:$A,'[2]april-2025'!$J:$J,0,0)</f>
        <v>0</v>
      </c>
      <c r="EC7">
        <f>_xlfn.XLOOKUP(B7,'[3]may-2025'!$A:$A,'[3]may-2025'!$J:$J,0,0)</f>
        <v>0</v>
      </c>
      <c r="ED7">
        <f>_xlfn.XLOOKUP(B7,'[4]june-2025'!$A:$A,'[4]june-2025'!$J:$J,0,0)</f>
        <v>0</v>
      </c>
      <c r="EE7">
        <f>_xlfn.XLOOKUP(B7,'[5]july-2025'!$A:$A,'[5]july-2025'!$J:$J,0,0)</f>
        <v>0</v>
      </c>
      <c r="EF7">
        <f>_xlfn.XLOOKUP(B7,'[6]august-2025'!$A:$A,'[6]august-2025'!$J:$J,0,0)</f>
        <v>0</v>
      </c>
      <c r="EG7">
        <f>_xlfn.XLOOKUP(B7,'[7]september-2025'!$A:$A,'[7]september-2025'!$J:$J,0,0)</f>
        <v>0</v>
      </c>
      <c r="EH7">
        <f>_xlfn.XLOOKUP(B7,'[8]october-2025'!$A:$A,'[8]october-2025'!$J:$J,0,0)</f>
        <v>0</v>
      </c>
      <c r="EI7">
        <f>_xlfn.XLOOKUP(C7,'[9]november-2025'!$A:$A,'[9]november-2025'!$J:$J,0,0)</f>
        <v>0</v>
      </c>
      <c r="EJ7">
        <f>_xlfn.XLOOKUP(B7,'[10]december-2025'!$A:$A,'[10]december-2025'!$J:$J,0,0)</f>
        <v>0</v>
      </c>
      <c r="EK7">
        <f>_xlfn.XLOOKUP(B7,'[11]january-2026'!$A:$A,'[11]january-2026'!$J:$J,0,0)</f>
        <v>0</v>
      </c>
      <c r="EL7">
        <f>_xlfn.XLOOKUP(B7,'[12]february-2026'!$A:$A,'[12]february-2026'!$J:$J,0,0)</f>
        <v>0</v>
      </c>
      <c r="EM7">
        <f t="shared" si="106"/>
        <v>0</v>
      </c>
      <c r="EN7">
        <f t="shared" si="56"/>
        <v>513856</v>
      </c>
      <c r="EO7">
        <f t="shared" si="57"/>
        <v>2400</v>
      </c>
      <c r="EP7">
        <f t="shared" si="58"/>
        <v>50000</v>
      </c>
      <c r="EQ7">
        <v>0</v>
      </c>
      <c r="ER7">
        <f t="shared" si="107"/>
        <v>461456</v>
      </c>
      <c r="ES7">
        <f t="shared" si="59"/>
        <v>24000</v>
      </c>
      <c r="ET7">
        <f t="shared" si="60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1"/>
        <v>24000</v>
      </c>
      <c r="FF7">
        <f t="shared" si="62"/>
        <v>24000</v>
      </c>
      <c r="FG7">
        <f t="shared" si="63"/>
        <v>437456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4"/>
        <v>0</v>
      </c>
      <c r="FP7">
        <f t="shared" si="65"/>
        <v>437456</v>
      </c>
      <c r="FQ7">
        <f t="shared" si="66"/>
        <v>9373</v>
      </c>
      <c r="FR7">
        <f t="shared" si="67"/>
        <v>0</v>
      </c>
      <c r="FS7">
        <f t="shared" si="68"/>
        <v>9373</v>
      </c>
      <c r="FT7">
        <f t="shared" si="69"/>
        <v>0</v>
      </c>
      <c r="FU7">
        <f t="shared" si="70"/>
        <v>0</v>
      </c>
      <c r="FV7">
        <f t="shared" si="71"/>
        <v>0</v>
      </c>
      <c r="FW7">
        <v>0</v>
      </c>
      <c r="FX7">
        <f t="shared" si="72"/>
        <v>0</v>
      </c>
      <c r="FY7" t="b">
        <f t="shared" si="73"/>
        <v>1</v>
      </c>
      <c r="FZ7">
        <f t="shared" ca="1" si="74"/>
        <v>771</v>
      </c>
      <c r="GA7">
        <f t="shared" ca="1" si="75"/>
        <v>514627</v>
      </c>
      <c r="GB7">
        <f t="shared" si="76"/>
        <v>75000</v>
      </c>
      <c r="GC7">
        <f t="shared" ca="1" si="77"/>
        <v>439627</v>
      </c>
      <c r="GD7">
        <f t="shared" ca="1" si="78"/>
        <v>0</v>
      </c>
      <c r="GE7">
        <f t="shared" ca="1" si="79"/>
        <v>0</v>
      </c>
      <c r="GF7">
        <f t="shared" ca="1" si="80"/>
        <v>0</v>
      </c>
      <c r="GG7">
        <f t="shared" ca="1" si="81"/>
        <v>0</v>
      </c>
      <c r="GH7">
        <f t="shared" ca="1" si="82"/>
        <v>0</v>
      </c>
      <c r="GI7">
        <f t="shared" ca="1" si="83"/>
        <v>0</v>
      </c>
      <c r="GJ7">
        <f t="shared" ca="1" si="84"/>
        <v>0</v>
      </c>
      <c r="GK7">
        <f t="shared" ca="1" si="85"/>
        <v>0</v>
      </c>
      <c r="GL7">
        <f t="shared" ca="1" si="86"/>
        <v>0</v>
      </c>
      <c r="GM7">
        <f t="shared" ca="1" si="87"/>
        <v>0</v>
      </c>
      <c r="GN7">
        <f t="shared" ca="1" si="88"/>
        <v>39627</v>
      </c>
      <c r="GO7">
        <f t="shared" ca="1" si="89"/>
        <v>1981.3500000000001</v>
      </c>
      <c r="GP7">
        <f t="shared" ca="1" si="90"/>
        <v>1981</v>
      </c>
      <c r="GQ7">
        <f t="shared" ca="1" si="91"/>
        <v>0</v>
      </c>
      <c r="GR7">
        <f t="shared" ca="1" si="92"/>
        <v>0</v>
      </c>
      <c r="GS7">
        <f t="shared" ca="1" si="93"/>
        <v>1981</v>
      </c>
      <c r="GT7">
        <f t="shared" ca="1" si="94"/>
        <v>0</v>
      </c>
      <c r="GU7" t="b">
        <f t="shared" ca="1" si="95"/>
        <v>0</v>
      </c>
      <c r="GV7">
        <f t="shared" ca="1" si="96"/>
        <v>0</v>
      </c>
      <c r="GW7">
        <f t="shared" ca="1" si="97"/>
        <v>1981</v>
      </c>
      <c r="GX7">
        <f t="shared" ca="1" si="98"/>
        <v>0</v>
      </c>
      <c r="GY7">
        <f t="shared" ca="1" si="99"/>
        <v>0</v>
      </c>
      <c r="GZ7">
        <f t="shared" ca="1" si="100"/>
        <v>0</v>
      </c>
    </row>
    <row r="8" spans="1:208" x14ac:dyDescent="0.3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956</v>
      </c>
      <c r="G8" t="s">
        <v>879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1"/>
        <v>200</v>
      </c>
      <c r="S8">
        <f t="shared" si="102"/>
        <v>55298</v>
      </c>
      <c r="T8">
        <f>_xlfn.XLOOKUP(B8,'[2]april-2025'!$A:$A,'[2]april-2025'!$C:$C,0,0)</f>
        <v>47300</v>
      </c>
      <c r="U8">
        <f t="shared" si="4"/>
        <v>8514</v>
      </c>
      <c r="V8">
        <f t="shared" si="5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103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6"/>
        <v>200</v>
      </c>
      <c r="AC8">
        <f t="shared" si="7"/>
        <v>57190</v>
      </c>
      <c r="AD8">
        <f>_xlfn.XLOOKUP(B8,'[3]may-2025'!$A:$A,'[3]may-2025'!$C:$C,0,0)</f>
        <v>47300</v>
      </c>
      <c r="AE8">
        <f t="shared" si="8"/>
        <v>8514</v>
      </c>
      <c r="AF8">
        <f t="shared" si="9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04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0"/>
        <v>200</v>
      </c>
      <c r="AM8">
        <f t="shared" si="11"/>
        <v>57190</v>
      </c>
      <c r="AN8">
        <f>_xlfn.XLOOKUP(B8,'[4]june-2025'!$A:$A,'[4]june-2025'!$C:$C,0,0)</f>
        <v>47300</v>
      </c>
      <c r="AO8">
        <f t="shared" si="12"/>
        <v>8514</v>
      </c>
      <c r="AP8">
        <f t="shared" si="13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05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4"/>
        <v>200</v>
      </c>
      <c r="AW8">
        <f t="shared" si="15"/>
        <v>57190</v>
      </c>
      <c r="AX8">
        <f>_xlfn.XLOOKUP(B8,'[5]july-2025'!$A:$A,'[5]july-2025'!$C:$C,0,0)</f>
        <v>48700</v>
      </c>
      <c r="AY8">
        <f t="shared" si="16"/>
        <v>8766</v>
      </c>
      <c r="AZ8">
        <v>0</v>
      </c>
      <c r="BA8">
        <f t="shared" si="17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18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19"/>
        <v>200</v>
      </c>
      <c r="BH8">
        <f t="shared" si="20"/>
        <v>59010</v>
      </c>
      <c r="BI8">
        <f>_xlfn.XLOOKUP(B8,'[6]august-2025'!$A:$A,'[6]august-2025'!$C:$C,0,0)</f>
        <v>48700</v>
      </c>
      <c r="BJ8">
        <f t="shared" si="21"/>
        <v>8766</v>
      </c>
      <c r="BK8">
        <f t="shared" si="22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3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4"/>
        <v>200</v>
      </c>
      <c r="BR8">
        <f t="shared" si="25"/>
        <v>59010</v>
      </c>
      <c r="BS8">
        <f>_xlfn.XLOOKUP(B8,'[7]september-2025'!$A:$A,'[7]september-2025'!$C:$C,0,0)</f>
        <v>48700</v>
      </c>
      <c r="BT8">
        <f t="shared" si="26"/>
        <v>8766</v>
      </c>
      <c r="BU8">
        <f t="shared" si="27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28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29"/>
        <v>200</v>
      </c>
      <c r="CB8">
        <f t="shared" si="30"/>
        <v>59010</v>
      </c>
      <c r="CC8">
        <f>_xlfn.XLOOKUP(B8,'[8]october-2025'!$A:$A,'[8]october-2025'!$C:$C,0,0)</f>
        <v>48700</v>
      </c>
      <c r="CD8">
        <f t="shared" si="31"/>
        <v>8766</v>
      </c>
      <c r="CE8">
        <f t="shared" si="32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3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4"/>
        <v>200</v>
      </c>
      <c r="CL8">
        <f t="shared" si="35"/>
        <v>59010</v>
      </c>
      <c r="CM8">
        <f>_xlfn.XLOOKUP(B8,'[9]november-2025'!$A:$A,'[9]november-2025'!$C:$C,0,0)</f>
        <v>48700</v>
      </c>
      <c r="CN8">
        <f t="shared" si="36"/>
        <v>8766</v>
      </c>
      <c r="CO8">
        <f t="shared" si="37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38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39"/>
        <v>200</v>
      </c>
      <c r="CV8">
        <f t="shared" si="40"/>
        <v>59010</v>
      </c>
      <c r="CW8">
        <f>_xlfn.XLOOKUP(B8,'[10]december-2025'!$A:$A,'[10]december-2025'!$C:$C,0,0)</f>
        <v>48700</v>
      </c>
      <c r="CX8">
        <f t="shared" si="41"/>
        <v>8766</v>
      </c>
      <c r="CY8">
        <f t="shared" si="42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3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4"/>
        <v>200</v>
      </c>
      <c r="DF8">
        <f t="shared" si="45"/>
        <v>59010</v>
      </c>
      <c r="DG8">
        <f>_xlfn.XLOOKUP(B8,'[11]january-2026'!$A:$A,'[11]january-2026'!$C:$C,0,0)</f>
        <v>48700</v>
      </c>
      <c r="DH8">
        <f t="shared" si="46"/>
        <v>8766</v>
      </c>
      <c r="DI8">
        <f t="shared" si="47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48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49"/>
        <v>200</v>
      </c>
      <c r="DP8">
        <f t="shared" si="50"/>
        <v>59010</v>
      </c>
      <c r="DQ8">
        <f>_xlfn.XLOOKUP(B8,'[12]february-2026'!$A:$A,'[12]february-2026'!$C:$C,0,0)</f>
        <v>48700</v>
      </c>
      <c r="DR8">
        <f t="shared" si="51"/>
        <v>8766</v>
      </c>
      <c r="DS8">
        <f t="shared" si="52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3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4"/>
        <v>200</v>
      </c>
      <c r="DZ8">
        <f t="shared" si="55"/>
        <v>59010</v>
      </c>
      <c r="EA8">
        <f>_xlfn.XLOOKUP(B8,'[1]march-2025'!$A:$A,'[1]march-2025'!$J:$J,0,0)</f>
        <v>0</v>
      </c>
      <c r="EB8">
        <f>_xlfn.XLOOKUP(B8,'[2]april-2025'!$A:$A,'[2]april-2025'!$J:$J,0,0)</f>
        <v>0</v>
      </c>
      <c r="EC8">
        <f>_xlfn.XLOOKUP(B8,'[3]may-2025'!$A:$A,'[3]may-2025'!$J:$J,0,0)</f>
        <v>0</v>
      </c>
      <c r="ED8">
        <f>_xlfn.XLOOKUP(B8,'[4]june-2025'!$A:$A,'[4]june-2025'!$J:$J,0,0)</f>
        <v>0</v>
      </c>
      <c r="EE8">
        <f>_xlfn.XLOOKUP(B8,'[5]july-2025'!$A:$A,'[5]july-2025'!$J:$J,0,0)</f>
        <v>0</v>
      </c>
      <c r="EF8">
        <f>_xlfn.XLOOKUP(B8,'[6]august-2025'!$A:$A,'[6]august-2025'!$J:$J,0,0)</f>
        <v>0</v>
      </c>
      <c r="EG8">
        <f>_xlfn.XLOOKUP(B8,'[7]september-2025'!$A:$A,'[7]september-2025'!$J:$J,0,0)</f>
        <v>0</v>
      </c>
      <c r="EH8">
        <f>_xlfn.XLOOKUP(B8,'[8]october-2025'!$A:$A,'[8]october-2025'!$J:$J,0,0)</f>
        <v>0</v>
      </c>
      <c r="EI8">
        <f>_xlfn.XLOOKUP(C8,'[9]november-2025'!$A:$A,'[9]november-2025'!$J:$J,0,0)</f>
        <v>0</v>
      </c>
      <c r="EJ8">
        <f>_xlfn.XLOOKUP(B8,'[10]december-2025'!$A:$A,'[10]december-2025'!$J:$J,0,0)</f>
        <v>0</v>
      </c>
      <c r="EK8">
        <f>_xlfn.XLOOKUP(B8,'[11]january-2026'!$A:$A,'[11]january-2026'!$J:$J,0,0)</f>
        <v>0</v>
      </c>
      <c r="EL8">
        <f>_xlfn.XLOOKUP(B8,'[12]february-2026'!$A:$A,'[12]february-2026'!$J:$J,0,0)</f>
        <v>0</v>
      </c>
      <c r="EM8">
        <f t="shared" si="106"/>
        <v>0</v>
      </c>
      <c r="EN8">
        <f t="shared" si="56"/>
        <v>768148</v>
      </c>
      <c r="EO8">
        <f t="shared" si="57"/>
        <v>2400</v>
      </c>
      <c r="EP8">
        <f t="shared" si="58"/>
        <v>50000</v>
      </c>
      <c r="EQ8">
        <v>0</v>
      </c>
      <c r="ER8">
        <f t="shared" si="107"/>
        <v>715748</v>
      </c>
      <c r="ES8">
        <f t="shared" si="59"/>
        <v>60000</v>
      </c>
      <c r="ET8">
        <f t="shared" si="60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1"/>
        <v>60000</v>
      </c>
      <c r="FF8">
        <f t="shared" si="62"/>
        <v>60000</v>
      </c>
      <c r="FG8">
        <f t="shared" si="63"/>
        <v>655748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4"/>
        <v>0</v>
      </c>
      <c r="FP8">
        <f t="shared" si="65"/>
        <v>655748</v>
      </c>
      <c r="FQ8">
        <f t="shared" si="66"/>
        <v>12500</v>
      </c>
      <c r="FR8">
        <f t="shared" si="67"/>
        <v>31150</v>
      </c>
      <c r="FS8">
        <f t="shared" si="68"/>
        <v>43650</v>
      </c>
      <c r="FT8">
        <f t="shared" si="69"/>
        <v>43650</v>
      </c>
      <c r="FU8">
        <f t="shared" si="70"/>
        <v>1746</v>
      </c>
      <c r="FV8">
        <f t="shared" si="71"/>
        <v>45396</v>
      </c>
      <c r="FW8">
        <v>0</v>
      </c>
      <c r="FX8">
        <f t="shared" si="72"/>
        <v>45396</v>
      </c>
      <c r="FY8" t="b">
        <f t="shared" si="73"/>
        <v>1</v>
      </c>
      <c r="FZ8">
        <f t="shared" ca="1" si="74"/>
        <v>574</v>
      </c>
      <c r="GA8">
        <f t="shared" ca="1" si="75"/>
        <v>768722</v>
      </c>
      <c r="GB8">
        <f t="shared" si="76"/>
        <v>75000</v>
      </c>
      <c r="GC8">
        <f t="shared" ca="1" si="77"/>
        <v>693722</v>
      </c>
      <c r="GD8">
        <f t="shared" ca="1" si="78"/>
        <v>0</v>
      </c>
      <c r="GE8">
        <f t="shared" ca="1" si="79"/>
        <v>0</v>
      </c>
      <c r="GF8">
        <f t="shared" ca="1" si="80"/>
        <v>0</v>
      </c>
      <c r="GG8">
        <f t="shared" ca="1" si="81"/>
        <v>0</v>
      </c>
      <c r="GH8">
        <f t="shared" ca="1" si="82"/>
        <v>0</v>
      </c>
      <c r="GI8">
        <f t="shared" ca="1" si="83"/>
        <v>0</v>
      </c>
      <c r="GJ8">
        <f t="shared" ca="1" si="84"/>
        <v>0</v>
      </c>
      <c r="GK8">
        <f t="shared" ca="1" si="85"/>
        <v>0</v>
      </c>
      <c r="GL8">
        <f t="shared" ca="1" si="86"/>
        <v>0</v>
      </c>
      <c r="GM8">
        <f t="shared" ca="1" si="87"/>
        <v>0</v>
      </c>
      <c r="GN8">
        <f t="shared" ca="1" si="88"/>
        <v>293722</v>
      </c>
      <c r="GO8">
        <f t="shared" ca="1" si="89"/>
        <v>14686.1</v>
      </c>
      <c r="GP8">
        <f t="shared" ca="1" si="90"/>
        <v>14686</v>
      </c>
      <c r="GQ8">
        <f t="shared" ca="1" si="91"/>
        <v>0</v>
      </c>
      <c r="GR8">
        <f t="shared" ca="1" si="92"/>
        <v>0</v>
      </c>
      <c r="GS8">
        <f t="shared" ca="1" si="93"/>
        <v>14686</v>
      </c>
      <c r="GT8">
        <f t="shared" ca="1" si="94"/>
        <v>0</v>
      </c>
      <c r="GU8" t="b">
        <f t="shared" ca="1" si="95"/>
        <v>0</v>
      </c>
      <c r="GV8">
        <f t="shared" ca="1" si="96"/>
        <v>0</v>
      </c>
      <c r="GW8">
        <f t="shared" ca="1" si="97"/>
        <v>14686</v>
      </c>
      <c r="GX8">
        <f t="shared" ca="1" si="98"/>
        <v>0</v>
      </c>
      <c r="GY8">
        <f t="shared" ca="1" si="99"/>
        <v>0</v>
      </c>
      <c r="GZ8">
        <f t="shared" ca="1" si="100"/>
        <v>0</v>
      </c>
    </row>
    <row r="9" spans="1:208" x14ac:dyDescent="0.3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956</v>
      </c>
      <c r="G9" t="s">
        <v>877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1"/>
        <v>200</v>
      </c>
      <c r="S9">
        <f t="shared" si="102"/>
        <v>38770</v>
      </c>
      <c r="T9">
        <f>_xlfn.XLOOKUP(B9,'[2]april-2025'!$A:$A,'[2]april-2025'!$C:$C,0,0)</f>
        <v>34500</v>
      </c>
      <c r="U9">
        <f t="shared" si="4"/>
        <v>6210</v>
      </c>
      <c r="V9">
        <f t="shared" si="5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103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6"/>
        <v>200</v>
      </c>
      <c r="AC9">
        <f t="shared" si="7"/>
        <v>40150</v>
      </c>
      <c r="AD9">
        <f>_xlfn.XLOOKUP(B9,'[3]may-2025'!$A:$A,'[3]may-2025'!$C:$C,0,0)</f>
        <v>34500</v>
      </c>
      <c r="AE9">
        <f t="shared" si="8"/>
        <v>6210</v>
      </c>
      <c r="AF9">
        <f t="shared" si="9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04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0"/>
        <v>200</v>
      </c>
      <c r="AM9">
        <f t="shared" si="11"/>
        <v>40150</v>
      </c>
      <c r="AN9">
        <f>_xlfn.XLOOKUP(B9,'[4]june-2025'!$A:$A,'[4]june-2025'!$C:$C,0,0)</f>
        <v>34500</v>
      </c>
      <c r="AO9">
        <f t="shared" si="12"/>
        <v>6210</v>
      </c>
      <c r="AP9">
        <f t="shared" si="13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05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4"/>
        <v>200</v>
      </c>
      <c r="AW9">
        <f t="shared" si="15"/>
        <v>40150</v>
      </c>
      <c r="AX9">
        <f>_xlfn.XLOOKUP(B9,'[5]july-2025'!$A:$A,'[5]july-2025'!$C:$C,0,0)</f>
        <v>35500</v>
      </c>
      <c r="AY9">
        <f t="shared" si="16"/>
        <v>6390</v>
      </c>
      <c r="AZ9">
        <v>0</v>
      </c>
      <c r="BA9">
        <f t="shared" si="17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18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19"/>
        <v>200</v>
      </c>
      <c r="BH9">
        <f t="shared" si="20"/>
        <v>41450</v>
      </c>
      <c r="BI9">
        <f>_xlfn.XLOOKUP(B9,'[6]august-2025'!$A:$A,'[6]august-2025'!$C:$C,0,0)</f>
        <v>35500</v>
      </c>
      <c r="BJ9">
        <f t="shared" si="21"/>
        <v>6390</v>
      </c>
      <c r="BK9">
        <f t="shared" si="22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3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4"/>
        <v>200</v>
      </c>
      <c r="BR9">
        <f t="shared" si="25"/>
        <v>41450</v>
      </c>
      <c r="BS9">
        <f>_xlfn.XLOOKUP(B9,'[7]september-2025'!$A:$A,'[7]september-2025'!$C:$C,0,0)</f>
        <v>35500</v>
      </c>
      <c r="BT9">
        <f t="shared" si="26"/>
        <v>6390</v>
      </c>
      <c r="BU9">
        <f t="shared" si="27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28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29"/>
        <v>200</v>
      </c>
      <c r="CB9">
        <f t="shared" si="30"/>
        <v>41450</v>
      </c>
      <c r="CC9">
        <f>_xlfn.XLOOKUP(B9,'[8]october-2025'!$A:$A,'[8]october-2025'!$C:$C,0,0)</f>
        <v>35500</v>
      </c>
      <c r="CD9">
        <f t="shared" si="31"/>
        <v>6390</v>
      </c>
      <c r="CE9">
        <f t="shared" si="32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3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4"/>
        <v>200</v>
      </c>
      <c r="CL9">
        <f t="shared" si="35"/>
        <v>41450</v>
      </c>
      <c r="CM9">
        <f>_xlfn.XLOOKUP(B9,'[9]november-2025'!$A:$A,'[9]november-2025'!$C:$C,0,0)</f>
        <v>35500</v>
      </c>
      <c r="CN9">
        <f t="shared" si="36"/>
        <v>6390</v>
      </c>
      <c r="CO9">
        <f t="shared" si="37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38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39"/>
        <v>200</v>
      </c>
      <c r="CV9">
        <f t="shared" si="40"/>
        <v>41450</v>
      </c>
      <c r="CW9">
        <f>_xlfn.XLOOKUP(B9,'[10]december-2025'!$A:$A,'[10]december-2025'!$C:$C,0,0)</f>
        <v>35500</v>
      </c>
      <c r="CX9">
        <f t="shared" si="41"/>
        <v>6390</v>
      </c>
      <c r="CY9">
        <f t="shared" si="42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3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4"/>
        <v>200</v>
      </c>
      <c r="DF9">
        <f t="shared" si="45"/>
        <v>41450</v>
      </c>
      <c r="DG9">
        <f>_xlfn.XLOOKUP(B9,'[11]january-2026'!$A:$A,'[11]january-2026'!$C:$C,0,0)</f>
        <v>35500</v>
      </c>
      <c r="DH9">
        <f t="shared" si="46"/>
        <v>6390</v>
      </c>
      <c r="DI9">
        <f t="shared" si="47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48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49"/>
        <v>200</v>
      </c>
      <c r="DP9">
        <f t="shared" si="50"/>
        <v>41450</v>
      </c>
      <c r="DQ9">
        <f>_xlfn.XLOOKUP(B9,'[12]february-2026'!$A:$A,'[12]february-2026'!$C:$C,0,0)</f>
        <v>35500</v>
      </c>
      <c r="DR9">
        <f t="shared" si="51"/>
        <v>6390</v>
      </c>
      <c r="DS9">
        <f t="shared" si="52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3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4"/>
        <v>200</v>
      </c>
      <c r="DZ9">
        <f t="shared" si="55"/>
        <v>41450</v>
      </c>
      <c r="EA9">
        <f>_xlfn.XLOOKUP(B9,'[1]march-2025'!$A:$A,'[1]march-2025'!$J:$J,0,0)</f>
        <v>0</v>
      </c>
      <c r="EB9">
        <f>_xlfn.XLOOKUP(B9,'[2]april-2025'!$A:$A,'[2]april-2025'!$J:$J,0,0)</f>
        <v>0</v>
      </c>
      <c r="EC9">
        <f>_xlfn.XLOOKUP(B9,'[3]may-2025'!$A:$A,'[3]may-2025'!$J:$J,0,0)</f>
        <v>0</v>
      </c>
      <c r="ED9">
        <f>_xlfn.XLOOKUP(B9,'[4]june-2025'!$A:$A,'[4]june-2025'!$J:$J,0,0)</f>
        <v>0</v>
      </c>
      <c r="EE9">
        <f>_xlfn.XLOOKUP(B9,'[5]july-2025'!$A:$A,'[5]july-2025'!$J:$J,0,0)</f>
        <v>0</v>
      </c>
      <c r="EF9">
        <f>_xlfn.XLOOKUP(B9,'[6]august-2025'!$A:$A,'[6]august-2025'!$J:$J,0,0)</f>
        <v>0</v>
      </c>
      <c r="EG9">
        <f>_xlfn.XLOOKUP(B9,'[7]september-2025'!$A:$A,'[7]september-2025'!$J:$J,0,0)</f>
        <v>0</v>
      </c>
      <c r="EH9">
        <f>_xlfn.XLOOKUP(B9,'[8]october-2025'!$A:$A,'[8]october-2025'!$J:$J,0,0)</f>
        <v>0</v>
      </c>
      <c r="EI9">
        <f>_xlfn.XLOOKUP(C9,'[9]november-2025'!$A:$A,'[9]november-2025'!$J:$J,0,0)</f>
        <v>0</v>
      </c>
      <c r="EJ9">
        <f>_xlfn.XLOOKUP(B9,'[10]december-2025'!$A:$A,'[10]december-2025'!$J:$J,0,0)</f>
        <v>0</v>
      </c>
      <c r="EK9">
        <f>_xlfn.XLOOKUP(B9,'[11]january-2026'!$A:$A,'[11]january-2026'!$J:$J,0,0)</f>
        <v>0</v>
      </c>
      <c r="EL9">
        <f>_xlfn.XLOOKUP(B9,'[12]february-2026'!$A:$A,'[12]february-2026'!$J:$J,0,0)</f>
        <v>0</v>
      </c>
      <c r="EM9">
        <f t="shared" si="106"/>
        <v>0</v>
      </c>
      <c r="EN9">
        <f t="shared" si="56"/>
        <v>560020</v>
      </c>
      <c r="EO9">
        <f t="shared" si="57"/>
        <v>2400</v>
      </c>
      <c r="EP9">
        <f t="shared" si="58"/>
        <v>50000</v>
      </c>
      <c r="EQ9">
        <v>0</v>
      </c>
      <c r="ER9">
        <f t="shared" si="107"/>
        <v>507620</v>
      </c>
      <c r="ES9">
        <f t="shared" si="59"/>
        <v>60000</v>
      </c>
      <c r="ET9">
        <f t="shared" si="60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1"/>
        <v>60000</v>
      </c>
      <c r="FF9">
        <f t="shared" si="62"/>
        <v>60000</v>
      </c>
      <c r="FG9">
        <f t="shared" si="63"/>
        <v>447620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4"/>
        <v>0</v>
      </c>
      <c r="FP9">
        <f t="shared" si="65"/>
        <v>447620</v>
      </c>
      <c r="FQ9">
        <f t="shared" si="66"/>
        <v>9881</v>
      </c>
      <c r="FR9">
        <f t="shared" si="67"/>
        <v>0</v>
      </c>
      <c r="FS9">
        <f t="shared" si="68"/>
        <v>9881</v>
      </c>
      <c r="FT9">
        <f t="shared" si="69"/>
        <v>0</v>
      </c>
      <c r="FU9">
        <f t="shared" si="70"/>
        <v>0</v>
      </c>
      <c r="FV9">
        <f t="shared" si="71"/>
        <v>0</v>
      </c>
      <c r="FW9">
        <v>0</v>
      </c>
      <c r="FX9">
        <f t="shared" si="72"/>
        <v>0</v>
      </c>
      <c r="FY9" t="b">
        <f t="shared" si="73"/>
        <v>1</v>
      </c>
      <c r="FZ9">
        <f t="shared" ca="1" si="74"/>
        <v>739</v>
      </c>
      <c r="GA9">
        <f t="shared" ca="1" si="75"/>
        <v>560759</v>
      </c>
      <c r="GB9">
        <f t="shared" si="76"/>
        <v>75000</v>
      </c>
      <c r="GC9">
        <f t="shared" ca="1" si="77"/>
        <v>485759</v>
      </c>
      <c r="GD9">
        <f t="shared" ca="1" si="78"/>
        <v>0</v>
      </c>
      <c r="GE9">
        <f t="shared" ca="1" si="79"/>
        <v>0</v>
      </c>
      <c r="GF9">
        <f t="shared" ca="1" si="80"/>
        <v>0</v>
      </c>
      <c r="GG9">
        <f t="shared" ca="1" si="81"/>
        <v>0</v>
      </c>
      <c r="GH9">
        <f t="shared" ca="1" si="82"/>
        <v>0</v>
      </c>
      <c r="GI9">
        <f t="shared" ca="1" si="83"/>
        <v>0</v>
      </c>
      <c r="GJ9">
        <f t="shared" ca="1" si="84"/>
        <v>0</v>
      </c>
      <c r="GK9">
        <f t="shared" ca="1" si="85"/>
        <v>0</v>
      </c>
      <c r="GL9">
        <f t="shared" ca="1" si="86"/>
        <v>0</v>
      </c>
      <c r="GM9">
        <f t="shared" ca="1" si="87"/>
        <v>0</v>
      </c>
      <c r="GN9">
        <f t="shared" ca="1" si="88"/>
        <v>85759</v>
      </c>
      <c r="GO9">
        <f t="shared" ca="1" si="89"/>
        <v>4287.95</v>
      </c>
      <c r="GP9">
        <f t="shared" ca="1" si="90"/>
        <v>4288</v>
      </c>
      <c r="GQ9">
        <f t="shared" ca="1" si="91"/>
        <v>0</v>
      </c>
      <c r="GR9">
        <f t="shared" ca="1" si="92"/>
        <v>0</v>
      </c>
      <c r="GS9">
        <f t="shared" ca="1" si="93"/>
        <v>4288</v>
      </c>
      <c r="GT9">
        <f t="shared" ca="1" si="94"/>
        <v>0</v>
      </c>
      <c r="GU9" t="b">
        <f t="shared" ca="1" si="95"/>
        <v>0</v>
      </c>
      <c r="GV9">
        <f t="shared" ca="1" si="96"/>
        <v>0</v>
      </c>
      <c r="GW9">
        <f t="shared" ca="1" si="97"/>
        <v>4288</v>
      </c>
      <c r="GX9">
        <f t="shared" ca="1" si="98"/>
        <v>0</v>
      </c>
      <c r="GY9">
        <f t="shared" ca="1" si="99"/>
        <v>0</v>
      </c>
      <c r="GZ9">
        <f t="shared" ca="1" si="100"/>
        <v>0</v>
      </c>
    </row>
    <row r="10" spans="1:208" x14ac:dyDescent="0.3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956</v>
      </c>
      <c r="G10" t="s">
        <v>878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1"/>
        <v>200</v>
      </c>
      <c r="S10">
        <f t="shared" si="102"/>
        <v>38116</v>
      </c>
      <c r="T10">
        <f>_xlfn.XLOOKUP(B10,'[2]april-2025'!$A:$A,'[2]april-2025'!$C:$C,0,0)</f>
        <v>31600</v>
      </c>
      <c r="U10">
        <f t="shared" si="4"/>
        <v>5688</v>
      </c>
      <c r="V10">
        <f t="shared" si="5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103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6"/>
        <v>200</v>
      </c>
      <c r="AC10">
        <f t="shared" si="7"/>
        <v>39380</v>
      </c>
      <c r="AD10">
        <f>_xlfn.XLOOKUP(B10,'[3]may-2025'!$A:$A,'[3]may-2025'!$C:$C,0,0)</f>
        <v>31600</v>
      </c>
      <c r="AE10">
        <f t="shared" si="8"/>
        <v>5688</v>
      </c>
      <c r="AF10">
        <f t="shared" si="9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04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0"/>
        <v>200</v>
      </c>
      <c r="AM10">
        <f t="shared" si="11"/>
        <v>39380</v>
      </c>
      <c r="AN10">
        <f>_xlfn.XLOOKUP(B10,'[4]june-2025'!$A:$A,'[4]june-2025'!$C:$C,0,0)</f>
        <v>31600</v>
      </c>
      <c r="AO10">
        <f t="shared" si="12"/>
        <v>5688</v>
      </c>
      <c r="AP10">
        <f t="shared" si="13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05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4"/>
        <v>200</v>
      </c>
      <c r="AW10">
        <f t="shared" si="15"/>
        <v>39380</v>
      </c>
      <c r="AX10">
        <f>_xlfn.XLOOKUP(B10,'[5]july-2025'!$A:$A,'[5]july-2025'!$C:$C,0,0)</f>
        <v>32500</v>
      </c>
      <c r="AY10">
        <f t="shared" si="16"/>
        <v>5850</v>
      </c>
      <c r="AZ10">
        <v>0</v>
      </c>
      <c r="BA10">
        <f t="shared" si="17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18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19"/>
        <v>200</v>
      </c>
      <c r="BH10">
        <f t="shared" si="20"/>
        <v>40550</v>
      </c>
      <c r="BI10">
        <f>_xlfn.XLOOKUP(B10,'[6]august-2025'!$A:$A,'[6]august-2025'!$C:$C,0,0)</f>
        <v>32500</v>
      </c>
      <c r="BJ10">
        <f t="shared" si="21"/>
        <v>5850</v>
      </c>
      <c r="BK10">
        <f t="shared" si="22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3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4"/>
        <v>200</v>
      </c>
      <c r="BR10">
        <f t="shared" si="25"/>
        <v>40550</v>
      </c>
      <c r="BS10">
        <f>_xlfn.XLOOKUP(B10,'[7]september-2025'!$A:$A,'[7]september-2025'!$C:$C,0,0)</f>
        <v>32500</v>
      </c>
      <c r="BT10">
        <f t="shared" si="26"/>
        <v>5850</v>
      </c>
      <c r="BU10">
        <f t="shared" si="27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28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29"/>
        <v>200</v>
      </c>
      <c r="CB10">
        <f t="shared" si="30"/>
        <v>40550</v>
      </c>
      <c r="CC10">
        <f>_xlfn.XLOOKUP(B10,'[8]october-2025'!$A:$A,'[8]october-2025'!$C:$C,0,0)</f>
        <v>32500</v>
      </c>
      <c r="CD10">
        <f t="shared" si="31"/>
        <v>5850</v>
      </c>
      <c r="CE10">
        <f t="shared" si="32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3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4"/>
        <v>200</v>
      </c>
      <c r="CL10">
        <f t="shared" si="35"/>
        <v>40550</v>
      </c>
      <c r="CM10">
        <f>_xlfn.XLOOKUP(B10,'[9]november-2025'!$A:$A,'[9]november-2025'!$C:$C,0,0)</f>
        <v>32500</v>
      </c>
      <c r="CN10">
        <f t="shared" si="36"/>
        <v>5850</v>
      </c>
      <c r="CO10">
        <f t="shared" si="37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38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39"/>
        <v>200</v>
      </c>
      <c r="CV10">
        <f t="shared" si="40"/>
        <v>40550</v>
      </c>
      <c r="CW10">
        <f>_xlfn.XLOOKUP(B10,'[10]december-2025'!$A:$A,'[10]december-2025'!$C:$C,0,0)</f>
        <v>32500</v>
      </c>
      <c r="CX10">
        <f t="shared" si="41"/>
        <v>5850</v>
      </c>
      <c r="CY10">
        <f t="shared" si="42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3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4"/>
        <v>200</v>
      </c>
      <c r="DF10">
        <f t="shared" si="45"/>
        <v>40550</v>
      </c>
      <c r="DG10">
        <f>_xlfn.XLOOKUP(B10,'[11]january-2026'!$A:$A,'[11]january-2026'!$C:$C,0,0)</f>
        <v>32500</v>
      </c>
      <c r="DH10">
        <f t="shared" si="46"/>
        <v>5850</v>
      </c>
      <c r="DI10">
        <f t="shared" si="47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48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49"/>
        <v>200</v>
      </c>
      <c r="DP10">
        <f t="shared" si="50"/>
        <v>40550</v>
      </c>
      <c r="DQ10">
        <f>_xlfn.XLOOKUP(B10,'[12]february-2026'!$A:$A,'[12]february-2026'!$C:$C,0,0)</f>
        <v>32500</v>
      </c>
      <c r="DR10">
        <f t="shared" si="51"/>
        <v>5850</v>
      </c>
      <c r="DS10">
        <f t="shared" si="52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3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4"/>
        <v>200</v>
      </c>
      <c r="DZ10">
        <f t="shared" si="55"/>
        <v>40550</v>
      </c>
      <c r="EA10">
        <f>_xlfn.XLOOKUP(B10,'[1]march-2025'!$A:$A,'[1]march-2025'!$J:$J,0,0)</f>
        <v>0</v>
      </c>
      <c r="EB10">
        <f>_xlfn.XLOOKUP(B10,'[2]april-2025'!$A:$A,'[2]april-2025'!$J:$J,0,0)</f>
        <v>0</v>
      </c>
      <c r="EC10">
        <f>_xlfn.XLOOKUP(B10,'[3]may-2025'!$A:$A,'[3]may-2025'!$J:$J,0,0)</f>
        <v>0</v>
      </c>
      <c r="ED10">
        <f>_xlfn.XLOOKUP(B10,'[4]june-2025'!$A:$A,'[4]june-2025'!$J:$J,0,0)</f>
        <v>0</v>
      </c>
      <c r="EE10">
        <f>_xlfn.XLOOKUP(B10,'[5]july-2025'!$A:$A,'[5]july-2025'!$J:$J,0,0)</f>
        <v>0</v>
      </c>
      <c r="EF10">
        <f>_xlfn.XLOOKUP(B10,'[6]august-2025'!$A:$A,'[6]august-2025'!$J:$J,0,0)</f>
        <v>0</v>
      </c>
      <c r="EG10">
        <f>_xlfn.XLOOKUP(B10,'[7]september-2025'!$A:$A,'[7]september-2025'!$J:$J,0,0)</f>
        <v>0</v>
      </c>
      <c r="EH10">
        <f>_xlfn.XLOOKUP(B10,'[8]october-2025'!$A:$A,'[8]october-2025'!$J:$J,0,0)</f>
        <v>0</v>
      </c>
      <c r="EI10">
        <f>_xlfn.XLOOKUP(C10,'[9]november-2025'!$A:$A,'[9]november-2025'!$J:$J,0,0)</f>
        <v>0</v>
      </c>
      <c r="EJ10">
        <f>_xlfn.XLOOKUP(B10,'[10]december-2025'!$A:$A,'[10]december-2025'!$J:$J,0,0)</f>
        <v>0</v>
      </c>
      <c r="EK10">
        <f>_xlfn.XLOOKUP(B10,'[11]january-2026'!$A:$A,'[11]january-2026'!$J:$J,0,0)</f>
        <v>0</v>
      </c>
      <c r="EL10">
        <f>_xlfn.XLOOKUP(B10,'[12]february-2026'!$A:$A,'[12]february-2026'!$J:$J,0,0)</f>
        <v>0</v>
      </c>
      <c r="EM10">
        <f t="shared" si="106"/>
        <v>0</v>
      </c>
      <c r="EN10">
        <f t="shared" si="56"/>
        <v>513856</v>
      </c>
      <c r="EO10">
        <f t="shared" si="57"/>
        <v>2400</v>
      </c>
      <c r="EP10">
        <f t="shared" si="58"/>
        <v>50000</v>
      </c>
      <c r="EQ10">
        <v>0</v>
      </c>
      <c r="ER10">
        <f t="shared" si="107"/>
        <v>461456</v>
      </c>
      <c r="ES10">
        <f t="shared" si="59"/>
        <v>24000</v>
      </c>
      <c r="ET10">
        <f t="shared" si="60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1"/>
        <v>24000</v>
      </c>
      <c r="FF10">
        <f t="shared" si="62"/>
        <v>24000</v>
      </c>
      <c r="FG10">
        <f t="shared" si="63"/>
        <v>437456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4"/>
        <v>0</v>
      </c>
      <c r="FP10">
        <f t="shared" si="65"/>
        <v>437456</v>
      </c>
      <c r="FQ10">
        <f t="shared" si="66"/>
        <v>9373</v>
      </c>
      <c r="FR10">
        <f t="shared" si="67"/>
        <v>0</v>
      </c>
      <c r="FS10">
        <f t="shared" si="68"/>
        <v>9373</v>
      </c>
      <c r="FT10">
        <f t="shared" si="69"/>
        <v>0</v>
      </c>
      <c r="FU10">
        <f t="shared" si="70"/>
        <v>0</v>
      </c>
      <c r="FV10">
        <f t="shared" si="71"/>
        <v>0</v>
      </c>
      <c r="FW10">
        <v>0</v>
      </c>
      <c r="FX10">
        <f t="shared" si="72"/>
        <v>0</v>
      </c>
      <c r="FY10" t="b">
        <f t="shared" si="73"/>
        <v>1</v>
      </c>
      <c r="FZ10">
        <f t="shared" ca="1" si="74"/>
        <v>891</v>
      </c>
      <c r="GA10">
        <f t="shared" ca="1" si="75"/>
        <v>514747</v>
      </c>
      <c r="GB10">
        <f t="shared" si="76"/>
        <v>75000</v>
      </c>
      <c r="GC10">
        <f t="shared" ca="1" si="77"/>
        <v>439747</v>
      </c>
      <c r="GD10">
        <f t="shared" ca="1" si="78"/>
        <v>0</v>
      </c>
      <c r="GE10">
        <f t="shared" ca="1" si="79"/>
        <v>0</v>
      </c>
      <c r="GF10">
        <f t="shared" ca="1" si="80"/>
        <v>0</v>
      </c>
      <c r="GG10">
        <f t="shared" ca="1" si="81"/>
        <v>0</v>
      </c>
      <c r="GH10">
        <f t="shared" ca="1" si="82"/>
        <v>0</v>
      </c>
      <c r="GI10">
        <f t="shared" ca="1" si="83"/>
        <v>0</v>
      </c>
      <c r="GJ10">
        <f t="shared" ca="1" si="84"/>
        <v>0</v>
      </c>
      <c r="GK10">
        <f t="shared" ca="1" si="85"/>
        <v>0</v>
      </c>
      <c r="GL10">
        <f t="shared" ca="1" si="86"/>
        <v>0</v>
      </c>
      <c r="GM10">
        <f t="shared" ca="1" si="87"/>
        <v>0</v>
      </c>
      <c r="GN10">
        <f t="shared" ca="1" si="88"/>
        <v>39747</v>
      </c>
      <c r="GO10">
        <f t="shared" ca="1" si="89"/>
        <v>1987.3500000000001</v>
      </c>
      <c r="GP10">
        <f t="shared" ca="1" si="90"/>
        <v>1987</v>
      </c>
      <c r="GQ10">
        <f t="shared" ca="1" si="91"/>
        <v>0</v>
      </c>
      <c r="GR10">
        <f t="shared" ca="1" si="92"/>
        <v>0</v>
      </c>
      <c r="GS10">
        <f t="shared" ca="1" si="93"/>
        <v>1987</v>
      </c>
      <c r="GT10">
        <f t="shared" ca="1" si="94"/>
        <v>0</v>
      </c>
      <c r="GU10" t="b">
        <f t="shared" ca="1" si="95"/>
        <v>0</v>
      </c>
      <c r="GV10">
        <f t="shared" ca="1" si="96"/>
        <v>0</v>
      </c>
      <c r="GW10">
        <f t="shared" ca="1" si="97"/>
        <v>1987</v>
      </c>
      <c r="GX10">
        <f t="shared" ca="1" si="98"/>
        <v>0</v>
      </c>
      <c r="GY10">
        <f t="shared" ca="1" si="99"/>
        <v>0</v>
      </c>
      <c r="GZ10">
        <f t="shared" ca="1" si="100"/>
        <v>0</v>
      </c>
    </row>
    <row r="11" spans="1:208" x14ac:dyDescent="0.3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956</v>
      </c>
      <c r="G11" t="s">
        <v>880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1"/>
        <v>150</v>
      </c>
      <c r="S11">
        <f t="shared" si="102"/>
        <v>34764</v>
      </c>
      <c r="T11">
        <f>_xlfn.XLOOKUP(B11,'[2]april-2025'!$A:$A,'[2]april-2025'!$C:$C,0,0)</f>
        <v>28900</v>
      </c>
      <c r="U11">
        <f t="shared" si="4"/>
        <v>5202</v>
      </c>
      <c r="V11">
        <f t="shared" si="5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103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6"/>
        <v>150</v>
      </c>
      <c r="AC11">
        <f t="shared" si="7"/>
        <v>35920</v>
      </c>
      <c r="AD11">
        <f>_xlfn.XLOOKUP(B11,'[3]may-2025'!$A:$A,'[3]may-2025'!$C:$C,0,0)</f>
        <v>28900</v>
      </c>
      <c r="AE11">
        <f t="shared" si="8"/>
        <v>5202</v>
      </c>
      <c r="AF11">
        <f t="shared" si="9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04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0"/>
        <v>150</v>
      </c>
      <c r="AM11">
        <f t="shared" si="11"/>
        <v>35920</v>
      </c>
      <c r="AN11">
        <f>_xlfn.XLOOKUP(B11,'[4]june-2025'!$A:$A,'[4]june-2025'!$C:$C,0,0)</f>
        <v>28900</v>
      </c>
      <c r="AO11">
        <f t="shared" si="12"/>
        <v>5202</v>
      </c>
      <c r="AP11">
        <f t="shared" si="13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05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4"/>
        <v>150</v>
      </c>
      <c r="AW11">
        <f t="shared" si="15"/>
        <v>35920</v>
      </c>
      <c r="AX11">
        <f>_xlfn.XLOOKUP(B11,'[5]july-2025'!$A:$A,'[5]july-2025'!$C:$C,0,0)</f>
        <v>29800</v>
      </c>
      <c r="AY11">
        <f t="shared" si="16"/>
        <v>5364</v>
      </c>
      <c r="AZ11">
        <v>0</v>
      </c>
      <c r="BA11">
        <f t="shared" si="17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18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19"/>
        <v>150</v>
      </c>
      <c r="BH11">
        <f t="shared" si="20"/>
        <v>37090</v>
      </c>
      <c r="BI11">
        <f>_xlfn.XLOOKUP(B11,'[6]august-2025'!$A:$A,'[6]august-2025'!$C:$C,0,0)</f>
        <v>29800</v>
      </c>
      <c r="BJ11">
        <f t="shared" si="21"/>
        <v>5364</v>
      </c>
      <c r="BK11">
        <f t="shared" si="22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3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4"/>
        <v>150</v>
      </c>
      <c r="BR11">
        <f t="shared" si="25"/>
        <v>37090</v>
      </c>
      <c r="BS11">
        <f>_xlfn.XLOOKUP(B11,'[7]september-2025'!$A:$A,'[7]september-2025'!$C:$C,0,0)</f>
        <v>29800</v>
      </c>
      <c r="BT11">
        <f t="shared" si="26"/>
        <v>5364</v>
      </c>
      <c r="BU11">
        <f t="shared" si="27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28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29"/>
        <v>150</v>
      </c>
      <c r="CB11">
        <f t="shared" si="30"/>
        <v>37090</v>
      </c>
      <c r="CC11">
        <f>_xlfn.XLOOKUP(B11,'[8]october-2025'!$A:$A,'[8]october-2025'!$C:$C,0,0)</f>
        <v>29800</v>
      </c>
      <c r="CD11">
        <f t="shared" si="31"/>
        <v>5364</v>
      </c>
      <c r="CE11">
        <f t="shared" si="32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3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4"/>
        <v>150</v>
      </c>
      <c r="CL11">
        <f t="shared" si="35"/>
        <v>37090</v>
      </c>
      <c r="CM11">
        <f>_xlfn.XLOOKUP(B11,'[9]november-2025'!$A:$A,'[9]november-2025'!$C:$C,0,0)</f>
        <v>29800</v>
      </c>
      <c r="CN11">
        <f t="shared" si="36"/>
        <v>5364</v>
      </c>
      <c r="CO11">
        <f t="shared" si="37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38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39"/>
        <v>150</v>
      </c>
      <c r="CV11">
        <f t="shared" si="40"/>
        <v>37090</v>
      </c>
      <c r="CW11">
        <f>_xlfn.XLOOKUP(B11,'[10]december-2025'!$A:$A,'[10]december-2025'!$C:$C,0,0)</f>
        <v>29800</v>
      </c>
      <c r="CX11">
        <f t="shared" si="41"/>
        <v>5364</v>
      </c>
      <c r="CY11">
        <f t="shared" si="42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3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4"/>
        <v>150</v>
      </c>
      <c r="DF11">
        <f t="shared" si="45"/>
        <v>37090</v>
      </c>
      <c r="DG11">
        <f>_xlfn.XLOOKUP(B11,'[11]january-2026'!$A:$A,'[11]january-2026'!$C:$C,0,0)</f>
        <v>29800</v>
      </c>
      <c r="DH11">
        <f t="shared" si="46"/>
        <v>5364</v>
      </c>
      <c r="DI11">
        <f t="shared" si="47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48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49"/>
        <v>150</v>
      </c>
      <c r="DP11">
        <f t="shared" si="50"/>
        <v>37090</v>
      </c>
      <c r="DQ11">
        <f>_xlfn.XLOOKUP(B11,'[12]february-2026'!$A:$A,'[12]february-2026'!$C:$C,0,0)</f>
        <v>29800</v>
      </c>
      <c r="DR11">
        <f t="shared" si="51"/>
        <v>5364</v>
      </c>
      <c r="DS11">
        <f t="shared" si="52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3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4"/>
        <v>150</v>
      </c>
      <c r="DZ11">
        <f t="shared" si="55"/>
        <v>37090</v>
      </c>
      <c r="EA11">
        <f>_xlfn.XLOOKUP(B11,'[1]march-2025'!$A:$A,'[1]march-2025'!$J:$J,0,0)</f>
        <v>0</v>
      </c>
      <c r="EB11">
        <f>_xlfn.XLOOKUP(B11,'[2]april-2025'!$A:$A,'[2]april-2025'!$J:$J,0,0)</f>
        <v>0</v>
      </c>
      <c r="EC11">
        <f>_xlfn.XLOOKUP(B11,'[3]may-2025'!$A:$A,'[3]may-2025'!$J:$J,0,0)</f>
        <v>61490</v>
      </c>
      <c r="ED11">
        <f>_xlfn.XLOOKUP(B11,'[4]june-2025'!$A:$A,'[4]june-2025'!$J:$J,0,0)</f>
        <v>0</v>
      </c>
      <c r="EE11">
        <f>_xlfn.XLOOKUP(B11,'[5]july-2025'!$A:$A,'[5]july-2025'!$J:$J,0,0)</f>
        <v>0</v>
      </c>
      <c r="EF11">
        <f>_xlfn.XLOOKUP(B11,'[6]august-2025'!$A:$A,'[6]august-2025'!$J:$J,0,0)</f>
        <v>0</v>
      </c>
      <c r="EG11">
        <f>_xlfn.XLOOKUP(B11,'[7]september-2025'!$A:$A,'[7]september-2025'!$J:$J,0,0)</f>
        <v>0</v>
      </c>
      <c r="EH11">
        <f>_xlfn.XLOOKUP(B11,'[8]october-2025'!$A:$A,'[8]october-2025'!$J:$J,0,0)</f>
        <v>0</v>
      </c>
      <c r="EI11">
        <f>_xlfn.XLOOKUP(C11,'[9]november-2025'!$A:$A,'[9]november-2025'!$J:$J,0,0)</f>
        <v>0</v>
      </c>
      <c r="EJ11">
        <f>_xlfn.XLOOKUP(B11,'[10]december-2025'!$A:$A,'[10]december-2025'!$J:$J,0,0)</f>
        <v>0</v>
      </c>
      <c r="EK11">
        <f>_xlfn.XLOOKUP(B11,'[11]january-2026'!$A:$A,'[11]january-2026'!$J:$J,0,0)</f>
        <v>0</v>
      </c>
      <c r="EL11">
        <f>_xlfn.XLOOKUP(B11,'[12]february-2026'!$A:$A,'[12]february-2026'!$J:$J,0,0)</f>
        <v>0</v>
      </c>
      <c r="EM11">
        <f t="shared" si="106"/>
        <v>61490</v>
      </c>
      <c r="EN11">
        <f t="shared" si="56"/>
        <v>471844</v>
      </c>
      <c r="EO11">
        <f t="shared" si="57"/>
        <v>1800</v>
      </c>
      <c r="EP11">
        <f t="shared" si="58"/>
        <v>50000</v>
      </c>
      <c r="EQ11">
        <v>0</v>
      </c>
      <c r="ER11">
        <f t="shared" si="107"/>
        <v>481534</v>
      </c>
      <c r="ES11">
        <f t="shared" si="59"/>
        <v>24000</v>
      </c>
      <c r="ET11">
        <f t="shared" si="60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1"/>
        <v>24000</v>
      </c>
      <c r="FF11">
        <f t="shared" si="62"/>
        <v>24000</v>
      </c>
      <c r="FG11">
        <f t="shared" si="63"/>
        <v>457534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4"/>
        <v>0</v>
      </c>
      <c r="FP11">
        <f t="shared" si="65"/>
        <v>457534</v>
      </c>
      <c r="FQ11">
        <f t="shared" si="66"/>
        <v>10377</v>
      </c>
      <c r="FR11">
        <f t="shared" si="67"/>
        <v>0</v>
      </c>
      <c r="FS11">
        <f t="shared" si="68"/>
        <v>10377</v>
      </c>
      <c r="FT11">
        <f t="shared" si="69"/>
        <v>0</v>
      </c>
      <c r="FU11">
        <f t="shared" si="70"/>
        <v>0</v>
      </c>
      <c r="FV11">
        <f t="shared" si="71"/>
        <v>0</v>
      </c>
      <c r="FW11">
        <v>0</v>
      </c>
      <c r="FX11">
        <f t="shared" si="72"/>
        <v>0</v>
      </c>
      <c r="FY11" t="b">
        <f t="shared" si="73"/>
        <v>0</v>
      </c>
      <c r="FZ11">
        <f t="shared" ca="1" si="74"/>
        <v>1993</v>
      </c>
      <c r="GA11">
        <f t="shared" ca="1" si="75"/>
        <v>473837</v>
      </c>
      <c r="GB11">
        <f t="shared" si="76"/>
        <v>75000</v>
      </c>
      <c r="GC11">
        <f t="shared" ca="1" si="77"/>
        <v>398837</v>
      </c>
      <c r="GD11">
        <f t="shared" ca="1" si="78"/>
        <v>0</v>
      </c>
      <c r="GE11">
        <f t="shared" ca="1" si="79"/>
        <v>0</v>
      </c>
      <c r="GF11">
        <f t="shared" ca="1" si="80"/>
        <v>0</v>
      </c>
      <c r="GG11">
        <f t="shared" ca="1" si="81"/>
        <v>0</v>
      </c>
      <c r="GH11">
        <f t="shared" ca="1" si="82"/>
        <v>0</v>
      </c>
      <c r="GI11">
        <f t="shared" ca="1" si="83"/>
        <v>0</v>
      </c>
      <c r="GJ11">
        <f t="shared" ca="1" si="84"/>
        <v>0</v>
      </c>
      <c r="GK11">
        <f t="shared" ca="1" si="85"/>
        <v>0</v>
      </c>
      <c r="GL11">
        <f t="shared" ca="1" si="86"/>
        <v>0</v>
      </c>
      <c r="GM11">
        <f t="shared" ca="1" si="87"/>
        <v>0</v>
      </c>
      <c r="GN11">
        <f t="shared" ca="1" si="88"/>
        <v>0</v>
      </c>
      <c r="GO11">
        <f t="shared" ca="1" si="89"/>
        <v>0</v>
      </c>
      <c r="GP11">
        <f t="shared" ca="1" si="90"/>
        <v>0</v>
      </c>
      <c r="GQ11">
        <f t="shared" ca="1" si="91"/>
        <v>0</v>
      </c>
      <c r="GR11">
        <f t="shared" ca="1" si="92"/>
        <v>0</v>
      </c>
      <c r="GS11">
        <f t="shared" ca="1" si="93"/>
        <v>0</v>
      </c>
      <c r="GT11">
        <f t="shared" ca="1" si="94"/>
        <v>0</v>
      </c>
      <c r="GU11" t="b">
        <f t="shared" ca="1" si="95"/>
        <v>0</v>
      </c>
      <c r="GV11">
        <f t="shared" ca="1" si="96"/>
        <v>0</v>
      </c>
      <c r="GW11">
        <f t="shared" ca="1" si="97"/>
        <v>0</v>
      </c>
      <c r="GX11">
        <f t="shared" ca="1" si="98"/>
        <v>0</v>
      </c>
      <c r="GY11">
        <f t="shared" ca="1" si="99"/>
        <v>0</v>
      </c>
      <c r="GZ11">
        <f t="shared" ca="1" si="100"/>
        <v>0</v>
      </c>
    </row>
    <row r="12" spans="1:208" x14ac:dyDescent="0.3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956</v>
      </c>
      <c r="G12" t="s">
        <v>879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1"/>
        <v>200</v>
      </c>
      <c r="S12">
        <f t="shared" si="102"/>
        <v>56798</v>
      </c>
      <c r="T12">
        <f>_xlfn.XLOOKUP(B12,'[2]april-2025'!$A:$A,'[2]april-2025'!$C:$C,0,0)</f>
        <v>47300</v>
      </c>
      <c r="U12">
        <f t="shared" si="4"/>
        <v>8514</v>
      </c>
      <c r="V12">
        <f t="shared" si="5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103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6"/>
        <v>200</v>
      </c>
      <c r="AC12">
        <f t="shared" si="7"/>
        <v>58690</v>
      </c>
      <c r="AD12">
        <f>_xlfn.XLOOKUP(B12,'[3]may-2025'!$A:$A,'[3]may-2025'!$C:$C,0,0)</f>
        <v>47300</v>
      </c>
      <c r="AE12">
        <f t="shared" si="8"/>
        <v>8514</v>
      </c>
      <c r="AF12">
        <f t="shared" si="9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04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0"/>
        <v>200</v>
      </c>
      <c r="AM12">
        <f t="shared" si="11"/>
        <v>58690</v>
      </c>
      <c r="AN12">
        <f>_xlfn.XLOOKUP(B12,'[4]june-2025'!$A:$A,'[4]june-2025'!$C:$C,0,0)</f>
        <v>47300</v>
      </c>
      <c r="AO12">
        <f t="shared" si="12"/>
        <v>8514</v>
      </c>
      <c r="AP12">
        <f t="shared" si="13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05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4"/>
        <v>200</v>
      </c>
      <c r="AW12">
        <f t="shared" si="15"/>
        <v>58690</v>
      </c>
      <c r="AX12">
        <f>_xlfn.XLOOKUP(B12,'[5]july-2025'!$A:$A,'[5]july-2025'!$C:$C,0,0)</f>
        <v>48700</v>
      </c>
      <c r="AY12">
        <f t="shared" si="16"/>
        <v>8766</v>
      </c>
      <c r="AZ12">
        <v>0</v>
      </c>
      <c r="BA12">
        <f t="shared" si="17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18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19"/>
        <v>200</v>
      </c>
      <c r="BH12">
        <f t="shared" si="20"/>
        <v>60510</v>
      </c>
      <c r="BI12">
        <f>_xlfn.XLOOKUP(B12,'[6]august-2025'!$A:$A,'[6]august-2025'!$C:$C,0,0)</f>
        <v>48700</v>
      </c>
      <c r="BJ12">
        <f t="shared" si="21"/>
        <v>8766</v>
      </c>
      <c r="BK12">
        <f t="shared" si="22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3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4"/>
        <v>200</v>
      </c>
      <c r="BR12">
        <f t="shared" si="25"/>
        <v>60510</v>
      </c>
      <c r="BS12">
        <f>_xlfn.XLOOKUP(B12,'[7]september-2025'!$A:$A,'[7]september-2025'!$C:$C,0,0)</f>
        <v>48700</v>
      </c>
      <c r="BT12">
        <f t="shared" si="26"/>
        <v>8766</v>
      </c>
      <c r="BU12">
        <f t="shared" si="27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28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29"/>
        <v>200</v>
      </c>
      <c r="CB12">
        <f t="shared" si="30"/>
        <v>60510</v>
      </c>
      <c r="CC12">
        <f>_xlfn.XLOOKUP(B12,'[8]october-2025'!$A:$A,'[8]october-2025'!$C:$C,0,0)</f>
        <v>48700</v>
      </c>
      <c r="CD12">
        <f t="shared" si="31"/>
        <v>8766</v>
      </c>
      <c r="CE12">
        <f t="shared" si="32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3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4"/>
        <v>200</v>
      </c>
      <c r="CL12">
        <f t="shared" si="35"/>
        <v>60510</v>
      </c>
      <c r="CM12">
        <f>_xlfn.XLOOKUP(B12,'[9]november-2025'!$A:$A,'[9]november-2025'!$C:$C,0,0)</f>
        <v>48700</v>
      </c>
      <c r="CN12">
        <f t="shared" si="36"/>
        <v>8766</v>
      </c>
      <c r="CO12">
        <f t="shared" si="37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38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39"/>
        <v>200</v>
      </c>
      <c r="CV12">
        <f t="shared" si="40"/>
        <v>60510</v>
      </c>
      <c r="CW12">
        <f>_xlfn.XLOOKUP(B12,'[10]december-2025'!$A:$A,'[10]december-2025'!$C:$C,0,0)</f>
        <v>48700</v>
      </c>
      <c r="CX12">
        <f t="shared" si="41"/>
        <v>8766</v>
      </c>
      <c r="CY12">
        <f t="shared" si="42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3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4"/>
        <v>200</v>
      </c>
      <c r="DF12">
        <f t="shared" si="45"/>
        <v>60510</v>
      </c>
      <c r="DG12">
        <f>_xlfn.XLOOKUP(B12,'[11]january-2026'!$A:$A,'[11]january-2026'!$C:$C,0,0)</f>
        <v>48700</v>
      </c>
      <c r="DH12">
        <f t="shared" si="46"/>
        <v>8766</v>
      </c>
      <c r="DI12">
        <f t="shared" si="47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48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49"/>
        <v>200</v>
      </c>
      <c r="DP12">
        <f t="shared" si="50"/>
        <v>60510</v>
      </c>
      <c r="DQ12">
        <f>_xlfn.XLOOKUP(B12,'[12]february-2026'!$A:$A,'[12]february-2026'!$C:$C,0,0)</f>
        <v>48700</v>
      </c>
      <c r="DR12">
        <f t="shared" si="51"/>
        <v>8766</v>
      </c>
      <c r="DS12">
        <f t="shared" si="52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3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4"/>
        <v>200</v>
      </c>
      <c r="DZ12">
        <f t="shared" si="55"/>
        <v>60510</v>
      </c>
      <c r="EA12">
        <f>_xlfn.XLOOKUP(B12,'[1]march-2025'!$A:$A,'[1]march-2025'!$J:$J,0,0)</f>
        <v>0</v>
      </c>
      <c r="EB12">
        <f>_xlfn.XLOOKUP(B12,'[2]april-2025'!$A:$A,'[2]april-2025'!$J:$J,0,0)</f>
        <v>0</v>
      </c>
      <c r="EC12">
        <f>_xlfn.XLOOKUP(B12,'[3]may-2025'!$A:$A,'[3]may-2025'!$J:$J,0,0)</f>
        <v>0</v>
      </c>
      <c r="ED12">
        <f>_xlfn.XLOOKUP(B12,'[4]june-2025'!$A:$A,'[4]june-2025'!$J:$J,0,0)</f>
        <v>0</v>
      </c>
      <c r="EE12">
        <f>_xlfn.XLOOKUP(B12,'[5]july-2025'!$A:$A,'[5]july-2025'!$J:$J,0,0)</f>
        <v>0</v>
      </c>
      <c r="EF12">
        <f>_xlfn.XLOOKUP(B12,'[6]august-2025'!$A:$A,'[6]august-2025'!$J:$J,0,0)</f>
        <v>0</v>
      </c>
      <c r="EG12">
        <f>_xlfn.XLOOKUP(B12,'[7]september-2025'!$A:$A,'[7]september-2025'!$J:$J,0,0)</f>
        <v>0</v>
      </c>
      <c r="EH12">
        <f>_xlfn.XLOOKUP(B12,'[8]october-2025'!$A:$A,'[8]october-2025'!$J:$J,0,0)</f>
        <v>0</v>
      </c>
      <c r="EI12">
        <f>_xlfn.XLOOKUP(C12,'[9]november-2025'!$A:$A,'[9]november-2025'!$J:$J,0,0)</f>
        <v>0</v>
      </c>
      <c r="EJ12">
        <f>_xlfn.XLOOKUP(B12,'[10]december-2025'!$A:$A,'[10]december-2025'!$J:$J,0,0)</f>
        <v>0</v>
      </c>
      <c r="EK12">
        <f>_xlfn.XLOOKUP(B12,'[11]january-2026'!$A:$A,'[11]january-2026'!$J:$J,0,0)</f>
        <v>0</v>
      </c>
      <c r="EL12">
        <f>_xlfn.XLOOKUP(B12,'[12]february-2026'!$A:$A,'[12]february-2026'!$J:$J,0,0)</f>
        <v>0</v>
      </c>
      <c r="EM12">
        <f t="shared" si="106"/>
        <v>0</v>
      </c>
      <c r="EN12">
        <f t="shared" si="56"/>
        <v>762148</v>
      </c>
      <c r="EO12">
        <f t="shared" si="57"/>
        <v>2400</v>
      </c>
      <c r="EP12">
        <f t="shared" si="58"/>
        <v>50000</v>
      </c>
      <c r="EQ12">
        <v>0</v>
      </c>
      <c r="ER12">
        <f t="shared" si="107"/>
        <v>709748</v>
      </c>
      <c r="ES12">
        <f t="shared" si="59"/>
        <v>36000</v>
      </c>
      <c r="ET12">
        <f t="shared" si="60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1"/>
        <v>36000</v>
      </c>
      <c r="FF12">
        <f t="shared" si="62"/>
        <v>36000</v>
      </c>
      <c r="FG12">
        <f t="shared" si="63"/>
        <v>673748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4"/>
        <v>0</v>
      </c>
      <c r="FP12">
        <f t="shared" si="65"/>
        <v>673748</v>
      </c>
      <c r="FQ12">
        <f t="shared" si="66"/>
        <v>12500</v>
      </c>
      <c r="FR12">
        <f t="shared" si="67"/>
        <v>34750</v>
      </c>
      <c r="FS12">
        <f t="shared" si="68"/>
        <v>47250</v>
      </c>
      <c r="FT12">
        <f t="shared" si="69"/>
        <v>47250</v>
      </c>
      <c r="FU12">
        <f t="shared" si="70"/>
        <v>1890</v>
      </c>
      <c r="FV12">
        <f t="shared" si="71"/>
        <v>49140</v>
      </c>
      <c r="FW12">
        <v>0</v>
      </c>
      <c r="FX12">
        <f t="shared" si="72"/>
        <v>49140</v>
      </c>
      <c r="FY12" t="b">
        <f t="shared" si="73"/>
        <v>1</v>
      </c>
      <c r="FZ12">
        <f t="shared" ca="1" si="74"/>
        <v>662</v>
      </c>
      <c r="GA12">
        <f t="shared" ca="1" si="75"/>
        <v>762810</v>
      </c>
      <c r="GB12">
        <f t="shared" si="76"/>
        <v>75000</v>
      </c>
      <c r="GC12">
        <f t="shared" ca="1" si="77"/>
        <v>687810</v>
      </c>
      <c r="GD12">
        <f t="shared" ca="1" si="78"/>
        <v>0</v>
      </c>
      <c r="GE12">
        <f t="shared" ca="1" si="79"/>
        <v>0</v>
      </c>
      <c r="GF12">
        <f t="shared" ca="1" si="80"/>
        <v>0</v>
      </c>
      <c r="GG12">
        <f t="shared" ca="1" si="81"/>
        <v>0</v>
      </c>
      <c r="GH12">
        <f t="shared" ca="1" si="82"/>
        <v>0</v>
      </c>
      <c r="GI12">
        <f t="shared" ca="1" si="83"/>
        <v>0</v>
      </c>
      <c r="GJ12">
        <f t="shared" ca="1" si="84"/>
        <v>0</v>
      </c>
      <c r="GK12">
        <f t="shared" ca="1" si="85"/>
        <v>0</v>
      </c>
      <c r="GL12">
        <f t="shared" ca="1" si="86"/>
        <v>0</v>
      </c>
      <c r="GM12">
        <f t="shared" ca="1" si="87"/>
        <v>0</v>
      </c>
      <c r="GN12">
        <f t="shared" ca="1" si="88"/>
        <v>287810</v>
      </c>
      <c r="GO12">
        <f t="shared" ca="1" si="89"/>
        <v>14390.5</v>
      </c>
      <c r="GP12">
        <f t="shared" ca="1" si="90"/>
        <v>14391</v>
      </c>
      <c r="GQ12">
        <f t="shared" ca="1" si="91"/>
        <v>0</v>
      </c>
      <c r="GR12">
        <f t="shared" ca="1" si="92"/>
        <v>0</v>
      </c>
      <c r="GS12">
        <f t="shared" ca="1" si="93"/>
        <v>14391</v>
      </c>
      <c r="GT12">
        <f t="shared" ca="1" si="94"/>
        <v>0</v>
      </c>
      <c r="GU12" t="b">
        <f t="shared" ca="1" si="95"/>
        <v>0</v>
      </c>
      <c r="GV12">
        <f t="shared" ca="1" si="96"/>
        <v>0</v>
      </c>
      <c r="GW12">
        <f t="shared" ca="1" si="97"/>
        <v>14391</v>
      </c>
      <c r="GX12">
        <f t="shared" ca="1" si="98"/>
        <v>0</v>
      </c>
      <c r="GY12">
        <f t="shared" ca="1" si="99"/>
        <v>0</v>
      </c>
      <c r="GZ12">
        <f t="shared" ca="1" si="100"/>
        <v>0</v>
      </c>
    </row>
    <row r="13" spans="1:208" x14ac:dyDescent="0.3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956</v>
      </c>
      <c r="G13" t="s">
        <v>881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1"/>
        <v>150</v>
      </c>
      <c r="S13">
        <f t="shared" si="102"/>
        <v>32370</v>
      </c>
      <c r="T13">
        <f>_xlfn.XLOOKUP(B13,'[2]april-2025'!$A:$A,'[2]april-2025'!$C:$C,0,0)</f>
        <v>27000</v>
      </c>
      <c r="U13">
        <f t="shared" si="4"/>
        <v>4860</v>
      </c>
      <c r="V13">
        <f t="shared" si="5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103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6"/>
        <v>150</v>
      </c>
      <c r="AC13">
        <f t="shared" si="7"/>
        <v>33450</v>
      </c>
      <c r="AD13">
        <f>_xlfn.XLOOKUP(B13,'[3]may-2025'!$A:$A,'[3]may-2025'!$C:$C,0,0)</f>
        <v>31600</v>
      </c>
      <c r="AE13">
        <f t="shared" si="8"/>
        <v>5688</v>
      </c>
      <c r="AF13">
        <f t="shared" si="9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04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0"/>
        <v>200</v>
      </c>
      <c r="AM13">
        <f t="shared" si="11"/>
        <v>39380</v>
      </c>
      <c r="AN13">
        <f>_xlfn.XLOOKUP(B13,'[4]june-2025'!$A:$A,'[4]june-2025'!$C:$C,0,0)</f>
        <v>31600</v>
      </c>
      <c r="AO13">
        <f t="shared" si="12"/>
        <v>5688</v>
      </c>
      <c r="AP13">
        <f t="shared" si="13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05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4"/>
        <v>200</v>
      </c>
      <c r="AW13">
        <f t="shared" si="15"/>
        <v>39380</v>
      </c>
      <c r="AX13">
        <f>_xlfn.XLOOKUP(B13,'[5]july-2025'!$A:$A,'[5]july-2025'!$C:$C,0,0)</f>
        <v>32500</v>
      </c>
      <c r="AY13">
        <f t="shared" si="16"/>
        <v>5850</v>
      </c>
      <c r="AZ13">
        <v>0</v>
      </c>
      <c r="BA13">
        <f t="shared" si="17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18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19"/>
        <v>200</v>
      </c>
      <c r="BH13">
        <f t="shared" si="20"/>
        <v>40550</v>
      </c>
      <c r="BI13">
        <f>_xlfn.XLOOKUP(B13,'[6]august-2025'!$A:$A,'[6]august-2025'!$C:$C,0,0)</f>
        <v>32500</v>
      </c>
      <c r="BJ13">
        <f t="shared" si="21"/>
        <v>5850</v>
      </c>
      <c r="BK13">
        <f t="shared" si="22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3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4"/>
        <v>200</v>
      </c>
      <c r="BR13">
        <f t="shared" si="25"/>
        <v>40550</v>
      </c>
      <c r="BS13">
        <f>_xlfn.XLOOKUP(B13,'[7]september-2025'!$A:$A,'[7]september-2025'!$C:$C,0,0)</f>
        <v>32500</v>
      </c>
      <c r="BT13">
        <f t="shared" si="26"/>
        <v>5850</v>
      </c>
      <c r="BU13">
        <f t="shared" si="27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28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29"/>
        <v>200</v>
      </c>
      <c r="CB13">
        <f t="shared" si="30"/>
        <v>40550</v>
      </c>
      <c r="CC13">
        <f>_xlfn.XLOOKUP(B13,'[8]october-2025'!$A:$A,'[8]october-2025'!$C:$C,0,0)</f>
        <v>32500</v>
      </c>
      <c r="CD13">
        <f t="shared" si="31"/>
        <v>5850</v>
      </c>
      <c r="CE13">
        <f t="shared" si="32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3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4"/>
        <v>200</v>
      </c>
      <c r="CL13">
        <f t="shared" si="35"/>
        <v>40550</v>
      </c>
      <c r="CM13">
        <f>_xlfn.XLOOKUP(B13,'[9]november-2025'!$A:$A,'[9]november-2025'!$C:$C,0,0)</f>
        <v>32500</v>
      </c>
      <c r="CN13">
        <f t="shared" si="36"/>
        <v>5850</v>
      </c>
      <c r="CO13">
        <f t="shared" si="37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38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39"/>
        <v>200</v>
      </c>
      <c r="CV13">
        <f t="shared" si="40"/>
        <v>40550</v>
      </c>
      <c r="CW13">
        <f>_xlfn.XLOOKUP(B13,'[10]december-2025'!$A:$A,'[10]december-2025'!$C:$C,0,0)</f>
        <v>32500</v>
      </c>
      <c r="CX13">
        <f t="shared" si="41"/>
        <v>5850</v>
      </c>
      <c r="CY13">
        <f t="shared" si="42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3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4"/>
        <v>200</v>
      </c>
      <c r="DF13">
        <f t="shared" si="45"/>
        <v>40550</v>
      </c>
      <c r="DG13">
        <f>_xlfn.XLOOKUP(B13,'[11]january-2026'!$A:$A,'[11]january-2026'!$C:$C,0,0)</f>
        <v>32500</v>
      </c>
      <c r="DH13">
        <f t="shared" si="46"/>
        <v>5850</v>
      </c>
      <c r="DI13">
        <f t="shared" si="47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48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49"/>
        <v>200</v>
      </c>
      <c r="DP13">
        <f t="shared" si="50"/>
        <v>40550</v>
      </c>
      <c r="DQ13">
        <f>_xlfn.XLOOKUP(B13,'[12]february-2026'!$A:$A,'[12]february-2026'!$C:$C,0,0)</f>
        <v>32500</v>
      </c>
      <c r="DR13">
        <f t="shared" si="51"/>
        <v>5850</v>
      </c>
      <c r="DS13">
        <f t="shared" si="52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3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4"/>
        <v>200</v>
      </c>
      <c r="DZ13">
        <f t="shared" si="55"/>
        <v>40550</v>
      </c>
      <c r="EA13">
        <f>_xlfn.XLOOKUP(B13,'[1]march-2025'!$A:$A,'[1]march-2025'!$J:$J,0,0)</f>
        <v>0</v>
      </c>
      <c r="EB13">
        <f>_xlfn.XLOOKUP(B13,'[2]april-2025'!$A:$A,'[2]april-2025'!$J:$J,0,0)</f>
        <v>0</v>
      </c>
      <c r="EC13">
        <f>_xlfn.XLOOKUP(B13,'[3]may-2025'!$A:$A,'[3]may-2025'!$J:$J,0,0)</f>
        <v>0</v>
      </c>
      <c r="ED13">
        <f>_xlfn.XLOOKUP(B13,'[4]june-2025'!$A:$A,'[4]june-2025'!$J:$J,0,0)</f>
        <v>0</v>
      </c>
      <c r="EE13">
        <f>_xlfn.XLOOKUP(B13,'[5]july-2025'!$A:$A,'[5]july-2025'!$J:$J,0,0)</f>
        <v>0</v>
      </c>
      <c r="EF13">
        <f>_xlfn.XLOOKUP(B13,'[6]august-2025'!$A:$A,'[6]august-2025'!$J:$J,0,0)</f>
        <v>0</v>
      </c>
      <c r="EG13">
        <f>_xlfn.XLOOKUP(B13,'[7]september-2025'!$A:$A,'[7]september-2025'!$J:$J,0,0)</f>
        <v>0</v>
      </c>
      <c r="EH13">
        <f>_xlfn.XLOOKUP(B13,'[8]october-2025'!$A:$A,'[8]october-2025'!$J:$J,0,0)</f>
        <v>0</v>
      </c>
      <c r="EI13">
        <f>_xlfn.XLOOKUP(C13,'[9]november-2025'!$A:$A,'[9]november-2025'!$J:$J,0,0)</f>
        <v>0</v>
      </c>
      <c r="EJ13">
        <f>_xlfn.XLOOKUP(B13,'[10]december-2025'!$A:$A,'[10]december-2025'!$J:$J,0,0)</f>
        <v>0</v>
      </c>
      <c r="EK13">
        <f>_xlfn.XLOOKUP(B13,'[11]january-2026'!$A:$A,'[11]january-2026'!$J:$J,0,0)</f>
        <v>0</v>
      </c>
      <c r="EL13">
        <f>_xlfn.XLOOKUP(B13,'[12]february-2026'!$A:$A,'[12]february-2026'!$J:$J,0,0)</f>
        <v>0</v>
      </c>
      <c r="EM13">
        <f t="shared" si="106"/>
        <v>0</v>
      </c>
      <c r="EN13">
        <f t="shared" si="56"/>
        <v>502080</v>
      </c>
      <c r="EO13">
        <f t="shared" si="57"/>
        <v>2300</v>
      </c>
      <c r="EP13">
        <f t="shared" si="58"/>
        <v>50000</v>
      </c>
      <c r="EQ13">
        <v>0</v>
      </c>
      <c r="ER13">
        <f t="shared" si="107"/>
        <v>449780</v>
      </c>
      <c r="ES13">
        <f t="shared" si="59"/>
        <v>24000</v>
      </c>
      <c r="ET13">
        <f t="shared" si="60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1"/>
        <v>24000</v>
      </c>
      <c r="FF13">
        <f t="shared" si="62"/>
        <v>24000</v>
      </c>
      <c r="FG13">
        <f t="shared" si="63"/>
        <v>425780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4"/>
        <v>0</v>
      </c>
      <c r="FP13">
        <f t="shared" si="65"/>
        <v>425780</v>
      </c>
      <c r="FQ13">
        <f t="shared" si="66"/>
        <v>8789</v>
      </c>
      <c r="FR13">
        <f t="shared" si="67"/>
        <v>0</v>
      </c>
      <c r="FS13">
        <f t="shared" si="68"/>
        <v>8789</v>
      </c>
      <c r="FT13">
        <f t="shared" si="69"/>
        <v>0</v>
      </c>
      <c r="FU13">
        <f t="shared" si="70"/>
        <v>0</v>
      </c>
      <c r="FV13">
        <f t="shared" si="71"/>
        <v>0</v>
      </c>
      <c r="FW13">
        <v>0</v>
      </c>
      <c r="FX13">
        <f t="shared" si="72"/>
        <v>0</v>
      </c>
      <c r="FY13" t="b">
        <f t="shared" si="73"/>
        <v>1</v>
      </c>
      <c r="FZ13">
        <f t="shared" ca="1" si="74"/>
        <v>965</v>
      </c>
      <c r="GA13">
        <f t="shared" ca="1" si="75"/>
        <v>503045</v>
      </c>
      <c r="GB13">
        <f t="shared" si="76"/>
        <v>75000</v>
      </c>
      <c r="GC13">
        <f t="shared" ca="1" si="77"/>
        <v>428045</v>
      </c>
      <c r="GD13">
        <f t="shared" ca="1" si="78"/>
        <v>0</v>
      </c>
      <c r="GE13">
        <f t="shared" ca="1" si="79"/>
        <v>0</v>
      </c>
      <c r="GF13">
        <f t="shared" ca="1" si="80"/>
        <v>0</v>
      </c>
      <c r="GG13">
        <f t="shared" ca="1" si="81"/>
        <v>0</v>
      </c>
      <c r="GH13">
        <f t="shared" ca="1" si="82"/>
        <v>0</v>
      </c>
      <c r="GI13">
        <f t="shared" ca="1" si="83"/>
        <v>0</v>
      </c>
      <c r="GJ13">
        <f t="shared" ca="1" si="84"/>
        <v>0</v>
      </c>
      <c r="GK13">
        <f t="shared" ca="1" si="85"/>
        <v>0</v>
      </c>
      <c r="GL13">
        <f t="shared" ca="1" si="86"/>
        <v>0</v>
      </c>
      <c r="GM13">
        <f t="shared" ca="1" si="87"/>
        <v>0</v>
      </c>
      <c r="GN13">
        <f t="shared" ca="1" si="88"/>
        <v>28045</v>
      </c>
      <c r="GO13">
        <f t="shared" ca="1" si="89"/>
        <v>1402.25</v>
      </c>
      <c r="GP13">
        <f t="shared" ca="1" si="90"/>
        <v>1402</v>
      </c>
      <c r="GQ13">
        <f t="shared" ca="1" si="91"/>
        <v>0</v>
      </c>
      <c r="GR13">
        <f t="shared" ca="1" si="92"/>
        <v>0</v>
      </c>
      <c r="GS13">
        <f t="shared" ca="1" si="93"/>
        <v>1402</v>
      </c>
      <c r="GT13">
        <f t="shared" ca="1" si="94"/>
        <v>0</v>
      </c>
      <c r="GU13" t="b">
        <f t="shared" ca="1" si="95"/>
        <v>0</v>
      </c>
      <c r="GV13">
        <f t="shared" ca="1" si="96"/>
        <v>0</v>
      </c>
      <c r="GW13">
        <f t="shared" ca="1" si="97"/>
        <v>1402</v>
      </c>
      <c r="GX13">
        <f t="shared" ca="1" si="98"/>
        <v>0</v>
      </c>
      <c r="GY13">
        <f t="shared" ca="1" si="99"/>
        <v>0</v>
      </c>
      <c r="GZ13">
        <f t="shared" ca="1" si="100"/>
        <v>0</v>
      </c>
    </row>
    <row r="14" spans="1:208" x14ac:dyDescent="0.3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956</v>
      </c>
      <c r="G14" t="s">
        <v>882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1"/>
        <v>150</v>
      </c>
      <c r="S14">
        <f t="shared" si="102"/>
        <v>36764</v>
      </c>
      <c r="T14">
        <f>_xlfn.XLOOKUP(B14,'[2]april-2025'!$A:$A,'[2]april-2025'!$C:$C,0,0)</f>
        <v>28900</v>
      </c>
      <c r="U14">
        <f t="shared" si="4"/>
        <v>5202</v>
      </c>
      <c r="V14">
        <f t="shared" si="5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103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6"/>
        <v>150</v>
      </c>
      <c r="AC14">
        <f t="shared" si="7"/>
        <v>37920</v>
      </c>
      <c r="AD14">
        <f>_xlfn.XLOOKUP(B14,'[3]may-2025'!$A:$A,'[3]may-2025'!$C:$C,0,0)</f>
        <v>28900</v>
      </c>
      <c r="AE14">
        <f t="shared" si="8"/>
        <v>5202</v>
      </c>
      <c r="AF14">
        <f t="shared" si="9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04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0"/>
        <v>150</v>
      </c>
      <c r="AM14">
        <f t="shared" si="11"/>
        <v>37920</v>
      </c>
      <c r="AN14">
        <f>_xlfn.XLOOKUP(B14,'[4]june-2025'!$A:$A,'[4]june-2025'!$C:$C,0,0)</f>
        <v>28900</v>
      </c>
      <c r="AO14">
        <f t="shared" si="12"/>
        <v>5202</v>
      </c>
      <c r="AP14">
        <f t="shared" si="13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05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4"/>
        <v>150</v>
      </c>
      <c r="AW14">
        <f t="shared" si="15"/>
        <v>37920</v>
      </c>
      <c r="AX14">
        <f>_xlfn.XLOOKUP(B14,'[5]july-2025'!$A:$A,'[5]july-2025'!$C:$C,0,0)</f>
        <v>29800</v>
      </c>
      <c r="AY14">
        <f t="shared" si="16"/>
        <v>5364</v>
      </c>
      <c r="AZ14">
        <v>0</v>
      </c>
      <c r="BA14">
        <f t="shared" si="17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18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19"/>
        <v>150</v>
      </c>
      <c r="BH14">
        <f t="shared" si="20"/>
        <v>39090</v>
      </c>
      <c r="BI14">
        <f>_xlfn.XLOOKUP(B14,'[6]august-2025'!$A:$A,'[6]august-2025'!$C:$C,0,0)</f>
        <v>29800</v>
      </c>
      <c r="BJ14">
        <f t="shared" si="21"/>
        <v>5364</v>
      </c>
      <c r="BK14">
        <f t="shared" si="22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3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4"/>
        <v>150</v>
      </c>
      <c r="BR14">
        <f t="shared" si="25"/>
        <v>39090</v>
      </c>
      <c r="BS14">
        <f>_xlfn.XLOOKUP(B14,'[7]september-2025'!$A:$A,'[7]september-2025'!$C:$C,0,0)</f>
        <v>29800</v>
      </c>
      <c r="BT14">
        <f t="shared" si="26"/>
        <v>5364</v>
      </c>
      <c r="BU14">
        <f t="shared" si="27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28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29"/>
        <v>150</v>
      </c>
      <c r="CB14">
        <f t="shared" si="30"/>
        <v>37090</v>
      </c>
      <c r="CC14">
        <f>_xlfn.XLOOKUP(B14,'[8]october-2025'!$A:$A,'[8]october-2025'!$C:$C,0,0)</f>
        <v>29800</v>
      </c>
      <c r="CD14">
        <f t="shared" si="31"/>
        <v>5364</v>
      </c>
      <c r="CE14">
        <f t="shared" si="32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3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4"/>
        <v>150</v>
      </c>
      <c r="CL14">
        <f t="shared" si="35"/>
        <v>37090</v>
      </c>
      <c r="CM14">
        <f>_xlfn.XLOOKUP(B14,'[9]november-2025'!$A:$A,'[9]november-2025'!$C:$C,0,0)</f>
        <v>29800</v>
      </c>
      <c r="CN14">
        <f t="shared" si="36"/>
        <v>5364</v>
      </c>
      <c r="CO14">
        <f t="shared" si="37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38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39"/>
        <v>150</v>
      </c>
      <c r="CV14">
        <f t="shared" si="40"/>
        <v>37090</v>
      </c>
      <c r="CW14">
        <f>_xlfn.XLOOKUP(B14,'[10]december-2025'!$A:$A,'[10]december-2025'!$C:$C,0,0)</f>
        <v>29800</v>
      </c>
      <c r="CX14">
        <f t="shared" si="41"/>
        <v>5364</v>
      </c>
      <c r="CY14">
        <f t="shared" si="42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3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4"/>
        <v>150</v>
      </c>
      <c r="DF14">
        <f t="shared" si="45"/>
        <v>37090</v>
      </c>
      <c r="DG14">
        <f>_xlfn.XLOOKUP(B14,'[11]january-2026'!$A:$A,'[11]january-2026'!$C:$C,0,0)</f>
        <v>29800</v>
      </c>
      <c r="DH14">
        <f t="shared" si="46"/>
        <v>5364</v>
      </c>
      <c r="DI14">
        <f t="shared" si="47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48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49"/>
        <v>150</v>
      </c>
      <c r="DP14">
        <f t="shared" si="50"/>
        <v>37090</v>
      </c>
      <c r="DQ14">
        <f>_xlfn.XLOOKUP(B14,'[12]february-2026'!$A:$A,'[12]february-2026'!$C:$C,0,0)</f>
        <v>29800</v>
      </c>
      <c r="DR14">
        <f t="shared" si="51"/>
        <v>5364</v>
      </c>
      <c r="DS14">
        <f t="shared" si="52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3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4"/>
        <v>150</v>
      </c>
      <c r="DZ14">
        <f t="shared" si="55"/>
        <v>37090</v>
      </c>
      <c r="EA14">
        <f>_xlfn.XLOOKUP(B14,'[1]march-2025'!$A:$A,'[1]march-2025'!$J:$J,0,0)</f>
        <v>0</v>
      </c>
      <c r="EB14">
        <f>_xlfn.XLOOKUP(B14,'[2]april-2025'!$A:$A,'[2]april-2025'!$J:$J,0,0)</f>
        <v>0</v>
      </c>
      <c r="EC14">
        <f>_xlfn.XLOOKUP(B14,'[3]may-2025'!$A:$A,'[3]may-2025'!$J:$J,0,0)</f>
        <v>71100</v>
      </c>
      <c r="ED14">
        <f>_xlfn.XLOOKUP(B14,'[4]june-2025'!$A:$A,'[4]june-2025'!$J:$J,0,0)</f>
        <v>0</v>
      </c>
      <c r="EE14">
        <f>_xlfn.XLOOKUP(B14,'[5]july-2025'!$A:$A,'[5]july-2025'!$J:$J,0,0)</f>
        <v>0</v>
      </c>
      <c r="EF14">
        <f>_xlfn.XLOOKUP(B14,'[6]august-2025'!$A:$A,'[6]august-2025'!$J:$J,0,0)</f>
        <v>0</v>
      </c>
      <c r="EG14">
        <f>_xlfn.XLOOKUP(B14,'[7]september-2025'!$A:$A,'[7]september-2025'!$J:$J,0,0)</f>
        <v>0</v>
      </c>
      <c r="EH14">
        <f>_xlfn.XLOOKUP(B14,'[8]october-2025'!$A:$A,'[8]october-2025'!$J:$J,0,0)</f>
        <v>0</v>
      </c>
      <c r="EI14">
        <f>_xlfn.XLOOKUP(C14,'[9]november-2025'!$A:$A,'[9]november-2025'!$J:$J,0,0)</f>
        <v>0</v>
      </c>
      <c r="EJ14">
        <f>_xlfn.XLOOKUP(B14,'[10]december-2025'!$A:$A,'[10]december-2025'!$J:$J,0,0)</f>
        <v>0</v>
      </c>
      <c r="EK14">
        <f>_xlfn.XLOOKUP(B14,'[11]january-2026'!$A:$A,'[11]january-2026'!$J:$J,0,0)</f>
        <v>0</v>
      </c>
      <c r="EL14">
        <f>_xlfn.XLOOKUP(B14,'[12]february-2026'!$A:$A,'[12]february-2026'!$J:$J,0,0)</f>
        <v>0</v>
      </c>
      <c r="EM14">
        <f t="shared" si="106"/>
        <v>71100</v>
      </c>
      <c r="EN14">
        <f t="shared" si="56"/>
        <v>471844</v>
      </c>
      <c r="EO14">
        <f t="shared" si="57"/>
        <v>1800</v>
      </c>
      <c r="EP14">
        <f t="shared" si="58"/>
        <v>50000</v>
      </c>
      <c r="EQ14">
        <v>0</v>
      </c>
      <c r="ER14">
        <f t="shared" si="107"/>
        <v>491144</v>
      </c>
      <c r="ES14">
        <f t="shared" si="59"/>
        <v>12000</v>
      </c>
      <c r="ET14">
        <f t="shared" si="60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1"/>
        <v>12000</v>
      </c>
      <c r="FF14">
        <f t="shared" si="62"/>
        <v>12000</v>
      </c>
      <c r="FG14">
        <f t="shared" si="63"/>
        <v>479144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4"/>
        <v>0</v>
      </c>
      <c r="FP14">
        <f t="shared" si="65"/>
        <v>479144</v>
      </c>
      <c r="FQ14">
        <f t="shared" si="66"/>
        <v>11457</v>
      </c>
      <c r="FR14">
        <f t="shared" si="67"/>
        <v>0</v>
      </c>
      <c r="FS14">
        <f t="shared" si="68"/>
        <v>11457</v>
      </c>
      <c r="FT14">
        <f t="shared" si="69"/>
        <v>0</v>
      </c>
      <c r="FU14">
        <f t="shared" si="70"/>
        <v>0</v>
      </c>
      <c r="FV14">
        <f t="shared" si="71"/>
        <v>0</v>
      </c>
      <c r="FW14">
        <v>0</v>
      </c>
      <c r="FX14">
        <f t="shared" si="72"/>
        <v>0</v>
      </c>
      <c r="FY14" t="b">
        <f t="shared" si="73"/>
        <v>0</v>
      </c>
      <c r="FZ14">
        <f t="shared" ca="1" si="74"/>
        <v>2755</v>
      </c>
      <c r="GA14">
        <f t="shared" ca="1" si="75"/>
        <v>474599</v>
      </c>
      <c r="GB14">
        <f t="shared" si="76"/>
        <v>75000</v>
      </c>
      <c r="GC14">
        <f t="shared" ca="1" si="77"/>
        <v>399599</v>
      </c>
      <c r="GD14">
        <f t="shared" ca="1" si="78"/>
        <v>0</v>
      </c>
      <c r="GE14">
        <f t="shared" ca="1" si="79"/>
        <v>0</v>
      </c>
      <c r="GF14">
        <f t="shared" ca="1" si="80"/>
        <v>0</v>
      </c>
      <c r="GG14">
        <f t="shared" ca="1" si="81"/>
        <v>0</v>
      </c>
      <c r="GH14">
        <f t="shared" ca="1" si="82"/>
        <v>0</v>
      </c>
      <c r="GI14">
        <f t="shared" ca="1" si="83"/>
        <v>0</v>
      </c>
      <c r="GJ14">
        <f t="shared" ca="1" si="84"/>
        <v>0</v>
      </c>
      <c r="GK14">
        <f t="shared" ca="1" si="85"/>
        <v>0</v>
      </c>
      <c r="GL14">
        <f t="shared" ca="1" si="86"/>
        <v>0</v>
      </c>
      <c r="GM14">
        <f t="shared" ca="1" si="87"/>
        <v>0</v>
      </c>
      <c r="GN14">
        <f t="shared" ca="1" si="88"/>
        <v>0</v>
      </c>
      <c r="GO14">
        <f t="shared" ca="1" si="89"/>
        <v>0</v>
      </c>
      <c r="GP14">
        <f t="shared" ca="1" si="90"/>
        <v>0</v>
      </c>
      <c r="GQ14">
        <f t="shared" ca="1" si="91"/>
        <v>0</v>
      </c>
      <c r="GR14">
        <f t="shared" ca="1" si="92"/>
        <v>0</v>
      </c>
      <c r="GS14">
        <f t="shared" ca="1" si="93"/>
        <v>0</v>
      </c>
      <c r="GT14">
        <f t="shared" ca="1" si="94"/>
        <v>0</v>
      </c>
      <c r="GU14" t="b">
        <f t="shared" ca="1" si="95"/>
        <v>0</v>
      </c>
      <c r="GV14">
        <f t="shared" ca="1" si="96"/>
        <v>0</v>
      </c>
      <c r="GW14">
        <f t="shared" ca="1" si="97"/>
        <v>0</v>
      </c>
      <c r="GX14">
        <f t="shared" ca="1" si="98"/>
        <v>0</v>
      </c>
      <c r="GY14">
        <f t="shared" ca="1" si="99"/>
        <v>0</v>
      </c>
      <c r="GZ14">
        <f t="shared" ca="1" si="100"/>
        <v>0</v>
      </c>
    </row>
    <row r="15" spans="1:208" x14ac:dyDescent="0.3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956</v>
      </c>
      <c r="G15" t="s">
        <v>883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1"/>
        <v>200</v>
      </c>
      <c r="S15">
        <f t="shared" si="102"/>
        <v>38116</v>
      </c>
      <c r="T15">
        <f>_xlfn.XLOOKUP(B15,'[2]april-2025'!$A:$A,'[2]april-2025'!$C:$C,0,0)</f>
        <v>31600</v>
      </c>
      <c r="U15">
        <f t="shared" si="4"/>
        <v>5688</v>
      </c>
      <c r="V15">
        <f t="shared" si="5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103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6"/>
        <v>200</v>
      </c>
      <c r="AC15">
        <f t="shared" si="7"/>
        <v>39380</v>
      </c>
      <c r="AD15">
        <f>_xlfn.XLOOKUP(B15,'[3]may-2025'!$A:$A,'[3]may-2025'!$C:$C,0,0)</f>
        <v>31600</v>
      </c>
      <c r="AE15">
        <f t="shared" si="8"/>
        <v>5688</v>
      </c>
      <c r="AF15">
        <f t="shared" si="9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04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0"/>
        <v>200</v>
      </c>
      <c r="AM15">
        <f t="shared" si="11"/>
        <v>39380</v>
      </c>
      <c r="AN15">
        <f>_xlfn.XLOOKUP(B15,'[4]june-2025'!$A:$A,'[4]june-2025'!$C:$C,0,0)</f>
        <v>31600</v>
      </c>
      <c r="AO15">
        <f t="shared" si="12"/>
        <v>5688</v>
      </c>
      <c r="AP15">
        <f t="shared" si="13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05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4"/>
        <v>200</v>
      </c>
      <c r="AW15">
        <f t="shared" si="15"/>
        <v>39380</v>
      </c>
      <c r="AX15">
        <f>_xlfn.XLOOKUP(B15,'[5]july-2025'!$A:$A,'[5]july-2025'!$C:$C,0,0)</f>
        <v>32500</v>
      </c>
      <c r="AY15">
        <f t="shared" si="16"/>
        <v>5850</v>
      </c>
      <c r="AZ15">
        <v>0</v>
      </c>
      <c r="BA15">
        <f t="shared" si="17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18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19"/>
        <v>200</v>
      </c>
      <c r="BH15">
        <f t="shared" si="20"/>
        <v>40550</v>
      </c>
      <c r="BI15">
        <f>_xlfn.XLOOKUP(B15,'[6]august-2025'!$A:$A,'[6]august-2025'!$C:$C,0,0)</f>
        <v>32500</v>
      </c>
      <c r="BJ15">
        <f t="shared" si="21"/>
        <v>5850</v>
      </c>
      <c r="BK15">
        <f t="shared" si="22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3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4"/>
        <v>200</v>
      </c>
      <c r="BR15">
        <f t="shared" si="25"/>
        <v>40550</v>
      </c>
      <c r="BS15">
        <f>_xlfn.XLOOKUP(B15,'[7]september-2025'!$A:$A,'[7]september-2025'!$C:$C,0,0)</f>
        <v>32500</v>
      </c>
      <c r="BT15">
        <f t="shared" si="26"/>
        <v>5850</v>
      </c>
      <c r="BU15">
        <f t="shared" si="27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28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29"/>
        <v>200</v>
      </c>
      <c r="CB15">
        <f t="shared" si="30"/>
        <v>40550</v>
      </c>
      <c r="CC15">
        <f>_xlfn.XLOOKUP(B15,'[8]october-2025'!$A:$A,'[8]october-2025'!$C:$C,0,0)</f>
        <v>32500</v>
      </c>
      <c r="CD15">
        <f t="shared" si="31"/>
        <v>5850</v>
      </c>
      <c r="CE15">
        <f t="shared" si="32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3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4"/>
        <v>200</v>
      </c>
      <c r="CL15">
        <f t="shared" si="35"/>
        <v>40550</v>
      </c>
      <c r="CM15">
        <f>_xlfn.XLOOKUP(B15,'[9]november-2025'!$A:$A,'[9]november-2025'!$C:$C,0,0)</f>
        <v>0</v>
      </c>
      <c r="CN15">
        <f t="shared" si="36"/>
        <v>0</v>
      </c>
      <c r="CO15">
        <f t="shared" si="37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38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39"/>
        <v>0</v>
      </c>
      <c r="CV15">
        <f t="shared" si="40"/>
        <v>0</v>
      </c>
      <c r="CW15">
        <f>_xlfn.XLOOKUP(B15,'[10]december-2025'!$A:$A,'[10]december-2025'!$C:$C,0,0)</f>
        <v>32500</v>
      </c>
      <c r="CX15">
        <f t="shared" si="41"/>
        <v>5850</v>
      </c>
      <c r="CY15">
        <f t="shared" si="42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3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4"/>
        <v>200</v>
      </c>
      <c r="DF15">
        <f t="shared" si="45"/>
        <v>40550</v>
      </c>
      <c r="DG15">
        <f>_xlfn.XLOOKUP(B15,'[11]january-2026'!$A:$A,'[11]january-2026'!$C:$C,0,0)</f>
        <v>32500</v>
      </c>
      <c r="DH15">
        <f t="shared" si="46"/>
        <v>5850</v>
      </c>
      <c r="DI15">
        <f t="shared" si="47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48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49"/>
        <v>200</v>
      </c>
      <c r="DP15">
        <f t="shared" si="50"/>
        <v>40550</v>
      </c>
      <c r="DQ15">
        <f>_xlfn.XLOOKUP(B15,'[12]february-2026'!$A:$A,'[12]february-2026'!$C:$C,0,0)</f>
        <v>32500</v>
      </c>
      <c r="DR15">
        <f t="shared" si="51"/>
        <v>5850</v>
      </c>
      <c r="DS15">
        <f t="shared" si="52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3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4"/>
        <v>200</v>
      </c>
      <c r="DZ15">
        <f t="shared" si="55"/>
        <v>40550</v>
      </c>
      <c r="EA15">
        <f>_xlfn.XLOOKUP(B15,'[1]march-2025'!$A:$A,'[1]march-2025'!$J:$J,0,0)</f>
        <v>0</v>
      </c>
      <c r="EB15">
        <f>_xlfn.XLOOKUP(B15,'[2]april-2025'!$A:$A,'[2]april-2025'!$J:$J,0,0)</f>
        <v>0</v>
      </c>
      <c r="EC15">
        <f>_xlfn.XLOOKUP(B15,'[3]may-2025'!$A:$A,'[3]may-2025'!$J:$J,0,0)</f>
        <v>0</v>
      </c>
      <c r="ED15">
        <f>_xlfn.XLOOKUP(B15,'[4]june-2025'!$A:$A,'[4]june-2025'!$J:$J,0,0)</f>
        <v>0</v>
      </c>
      <c r="EE15">
        <f>_xlfn.XLOOKUP(B15,'[5]july-2025'!$A:$A,'[5]july-2025'!$J:$J,0,0)</f>
        <v>0</v>
      </c>
      <c r="EF15">
        <f>_xlfn.XLOOKUP(B15,'[6]august-2025'!$A:$A,'[6]august-2025'!$J:$J,0,0)</f>
        <v>0</v>
      </c>
      <c r="EG15">
        <f>_xlfn.XLOOKUP(B15,'[7]september-2025'!$A:$A,'[7]september-2025'!$J:$J,0,0)</f>
        <v>0</v>
      </c>
      <c r="EH15">
        <f>_xlfn.XLOOKUP(B15,'[8]october-2025'!$A:$A,'[8]october-2025'!$J:$J,0,0)</f>
        <v>0</v>
      </c>
      <c r="EI15">
        <f>_xlfn.XLOOKUP(C15,'[9]november-2025'!$A:$A,'[9]november-2025'!$J:$J,0,0)</f>
        <v>0</v>
      </c>
      <c r="EJ15">
        <f>_xlfn.XLOOKUP(B15,'[10]december-2025'!$A:$A,'[10]december-2025'!$J:$J,0,0)</f>
        <v>0</v>
      </c>
      <c r="EK15">
        <f>_xlfn.XLOOKUP(B15,'[11]january-2026'!$A:$A,'[11]january-2026'!$J:$J,0,0)</f>
        <v>0</v>
      </c>
      <c r="EL15">
        <f>_xlfn.XLOOKUP(B15,'[12]february-2026'!$A:$A,'[12]february-2026'!$J:$J,0,0)</f>
        <v>0</v>
      </c>
      <c r="EM15">
        <f t="shared" si="106"/>
        <v>0</v>
      </c>
      <c r="EN15">
        <f t="shared" si="56"/>
        <v>471106</v>
      </c>
      <c r="EO15">
        <f t="shared" si="57"/>
        <v>2200</v>
      </c>
      <c r="EP15">
        <f t="shared" si="58"/>
        <v>50000</v>
      </c>
      <c r="EQ15">
        <v>0</v>
      </c>
      <c r="ER15">
        <f t="shared" si="107"/>
        <v>418906</v>
      </c>
      <c r="ES15">
        <f t="shared" si="59"/>
        <v>22000</v>
      </c>
      <c r="ET15">
        <f t="shared" si="60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1"/>
        <v>22000</v>
      </c>
      <c r="FF15">
        <f t="shared" si="62"/>
        <v>22000</v>
      </c>
      <c r="FG15">
        <f t="shared" si="63"/>
        <v>396906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4"/>
        <v>0</v>
      </c>
      <c r="FP15">
        <f t="shared" si="65"/>
        <v>396906</v>
      </c>
      <c r="FQ15">
        <f t="shared" si="66"/>
        <v>7345</v>
      </c>
      <c r="FR15">
        <f t="shared" si="67"/>
        <v>0</v>
      </c>
      <c r="FS15">
        <f t="shared" si="68"/>
        <v>7345</v>
      </c>
      <c r="FT15">
        <f t="shared" si="69"/>
        <v>0</v>
      </c>
      <c r="FU15">
        <f t="shared" si="70"/>
        <v>0</v>
      </c>
      <c r="FV15">
        <f t="shared" si="71"/>
        <v>0</v>
      </c>
      <c r="FW15">
        <v>0</v>
      </c>
      <c r="FX15">
        <f t="shared" si="72"/>
        <v>0</v>
      </c>
      <c r="FY15" t="b">
        <f t="shared" si="73"/>
        <v>0</v>
      </c>
      <c r="FZ15">
        <f t="shared" ca="1" si="74"/>
        <v>1731</v>
      </c>
      <c r="GA15">
        <f t="shared" ca="1" si="75"/>
        <v>472837</v>
      </c>
      <c r="GB15">
        <f t="shared" si="76"/>
        <v>75000</v>
      </c>
      <c r="GC15">
        <f t="shared" ca="1" si="77"/>
        <v>397837</v>
      </c>
      <c r="GD15">
        <f t="shared" ca="1" si="78"/>
        <v>0</v>
      </c>
      <c r="GE15">
        <f t="shared" ca="1" si="79"/>
        <v>0</v>
      </c>
      <c r="GF15">
        <f t="shared" ca="1" si="80"/>
        <v>0</v>
      </c>
      <c r="GG15">
        <f t="shared" ca="1" si="81"/>
        <v>0</v>
      </c>
      <c r="GH15">
        <f t="shared" ca="1" si="82"/>
        <v>0</v>
      </c>
      <c r="GI15">
        <f t="shared" ca="1" si="83"/>
        <v>0</v>
      </c>
      <c r="GJ15">
        <f t="shared" ca="1" si="84"/>
        <v>0</v>
      </c>
      <c r="GK15">
        <f t="shared" ca="1" si="85"/>
        <v>0</v>
      </c>
      <c r="GL15">
        <f t="shared" ca="1" si="86"/>
        <v>0</v>
      </c>
      <c r="GM15">
        <f t="shared" ca="1" si="87"/>
        <v>0</v>
      </c>
      <c r="GN15">
        <f t="shared" ca="1" si="88"/>
        <v>0</v>
      </c>
      <c r="GO15">
        <f t="shared" ca="1" si="89"/>
        <v>0</v>
      </c>
      <c r="GP15">
        <f t="shared" ca="1" si="90"/>
        <v>0</v>
      </c>
      <c r="GQ15">
        <f t="shared" ca="1" si="91"/>
        <v>0</v>
      </c>
      <c r="GR15">
        <f t="shared" ca="1" si="92"/>
        <v>0</v>
      </c>
      <c r="GS15">
        <f t="shared" ca="1" si="93"/>
        <v>0</v>
      </c>
      <c r="GT15">
        <f t="shared" ca="1" si="94"/>
        <v>0</v>
      </c>
      <c r="GU15" t="b">
        <f t="shared" ca="1" si="95"/>
        <v>0</v>
      </c>
      <c r="GV15">
        <f t="shared" ca="1" si="96"/>
        <v>0</v>
      </c>
      <c r="GW15">
        <f t="shared" ca="1" si="97"/>
        <v>0</v>
      </c>
      <c r="GX15">
        <f t="shared" ca="1" si="98"/>
        <v>0</v>
      </c>
      <c r="GY15">
        <f t="shared" ca="1" si="99"/>
        <v>0</v>
      </c>
      <c r="GZ15">
        <f t="shared" ca="1" si="100"/>
        <v>0</v>
      </c>
    </row>
    <row r="16" spans="1:208" x14ac:dyDescent="0.3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956</v>
      </c>
      <c r="G16" t="s">
        <v>878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1"/>
        <v>200</v>
      </c>
      <c r="S16">
        <f t="shared" si="102"/>
        <v>38116</v>
      </c>
      <c r="T16">
        <f>_xlfn.XLOOKUP(B16,'[2]april-2025'!$A:$A,'[2]april-2025'!$C:$C,0,0)</f>
        <v>31600</v>
      </c>
      <c r="U16">
        <f t="shared" si="4"/>
        <v>5688</v>
      </c>
      <c r="V16">
        <f t="shared" si="5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103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6"/>
        <v>200</v>
      </c>
      <c r="AC16">
        <f t="shared" si="7"/>
        <v>39380</v>
      </c>
      <c r="AD16">
        <f>_xlfn.XLOOKUP(B16,'[3]may-2025'!$A:$A,'[3]may-2025'!$C:$C,0,0)</f>
        <v>31600</v>
      </c>
      <c r="AE16">
        <f t="shared" si="8"/>
        <v>5688</v>
      </c>
      <c r="AF16">
        <f t="shared" si="9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04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0"/>
        <v>200</v>
      </c>
      <c r="AM16">
        <f t="shared" si="11"/>
        <v>39380</v>
      </c>
      <c r="AN16">
        <f>_xlfn.XLOOKUP(B16,'[4]june-2025'!$A:$A,'[4]june-2025'!$C:$C,0,0)</f>
        <v>31600</v>
      </c>
      <c r="AO16">
        <f t="shared" si="12"/>
        <v>5688</v>
      </c>
      <c r="AP16">
        <f t="shared" si="13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05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4"/>
        <v>200</v>
      </c>
      <c r="AW16">
        <f t="shared" si="15"/>
        <v>39380</v>
      </c>
      <c r="AX16">
        <f>_xlfn.XLOOKUP(B16,'[5]july-2025'!$A:$A,'[5]july-2025'!$C:$C,0,0)</f>
        <v>32500</v>
      </c>
      <c r="AY16">
        <f t="shared" si="16"/>
        <v>5850</v>
      </c>
      <c r="AZ16">
        <v>0</v>
      </c>
      <c r="BA16">
        <f t="shared" si="17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18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19"/>
        <v>200</v>
      </c>
      <c r="BH16">
        <f t="shared" si="20"/>
        <v>40550</v>
      </c>
      <c r="BI16">
        <f>_xlfn.XLOOKUP(B16,'[6]august-2025'!$A:$A,'[6]august-2025'!$C:$C,0,0)</f>
        <v>32500</v>
      </c>
      <c r="BJ16">
        <f t="shared" si="21"/>
        <v>5850</v>
      </c>
      <c r="BK16">
        <f t="shared" si="22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3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4"/>
        <v>200</v>
      </c>
      <c r="BR16">
        <f t="shared" si="25"/>
        <v>40550</v>
      </c>
      <c r="BS16">
        <f>_xlfn.XLOOKUP(B16,'[7]september-2025'!$A:$A,'[7]september-2025'!$C:$C,0,0)</f>
        <v>32500</v>
      </c>
      <c r="BT16">
        <f t="shared" si="26"/>
        <v>5850</v>
      </c>
      <c r="BU16">
        <f t="shared" si="27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28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29"/>
        <v>200</v>
      </c>
      <c r="CB16">
        <f t="shared" si="30"/>
        <v>40550</v>
      </c>
      <c r="CC16">
        <f>_xlfn.XLOOKUP(B16,'[8]october-2025'!$A:$A,'[8]october-2025'!$C:$C,0,0)</f>
        <v>32500</v>
      </c>
      <c r="CD16">
        <f t="shared" si="31"/>
        <v>5850</v>
      </c>
      <c r="CE16">
        <f t="shared" si="32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3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4"/>
        <v>200</v>
      </c>
      <c r="CL16">
        <f t="shared" si="35"/>
        <v>40550</v>
      </c>
      <c r="CM16">
        <f>_xlfn.XLOOKUP(B16,'[9]november-2025'!$A:$A,'[9]november-2025'!$C:$C,0,0)</f>
        <v>32500</v>
      </c>
      <c r="CN16">
        <f t="shared" si="36"/>
        <v>5850</v>
      </c>
      <c r="CO16">
        <f t="shared" si="37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38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39"/>
        <v>200</v>
      </c>
      <c r="CV16">
        <f t="shared" si="40"/>
        <v>40550</v>
      </c>
      <c r="CW16">
        <f>_xlfn.XLOOKUP(B16,'[10]december-2025'!$A:$A,'[10]december-2025'!$C:$C,0,0)</f>
        <v>32500</v>
      </c>
      <c r="CX16">
        <f t="shared" si="41"/>
        <v>5850</v>
      </c>
      <c r="CY16">
        <f t="shared" si="42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3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4"/>
        <v>200</v>
      </c>
      <c r="DF16">
        <f t="shared" si="45"/>
        <v>40550</v>
      </c>
      <c r="DG16">
        <f>_xlfn.XLOOKUP(B16,'[11]january-2026'!$A:$A,'[11]january-2026'!$C:$C,0,0)</f>
        <v>32500</v>
      </c>
      <c r="DH16">
        <f t="shared" si="46"/>
        <v>5850</v>
      </c>
      <c r="DI16">
        <f t="shared" si="47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48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49"/>
        <v>200</v>
      </c>
      <c r="DP16">
        <f t="shared" si="50"/>
        <v>40550</v>
      </c>
      <c r="DQ16">
        <f>_xlfn.XLOOKUP(B16,'[12]february-2026'!$A:$A,'[12]february-2026'!$C:$C,0,0)</f>
        <v>32500</v>
      </c>
      <c r="DR16">
        <f t="shared" si="51"/>
        <v>5850</v>
      </c>
      <c r="DS16">
        <f t="shared" si="52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3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4"/>
        <v>200</v>
      </c>
      <c r="DZ16">
        <f t="shared" si="55"/>
        <v>40550</v>
      </c>
      <c r="EA16">
        <f>_xlfn.XLOOKUP(B16,'[1]march-2025'!$A:$A,'[1]march-2025'!$J:$J,0,0)</f>
        <v>0</v>
      </c>
      <c r="EB16">
        <f>_xlfn.XLOOKUP(B16,'[2]april-2025'!$A:$A,'[2]april-2025'!$J:$J,0,0)</f>
        <v>0</v>
      </c>
      <c r="EC16">
        <f>_xlfn.XLOOKUP(B16,'[3]may-2025'!$A:$A,'[3]may-2025'!$J:$J,0,0)</f>
        <v>0</v>
      </c>
      <c r="ED16">
        <f>_xlfn.XLOOKUP(B16,'[4]june-2025'!$A:$A,'[4]june-2025'!$J:$J,0,0)</f>
        <v>0</v>
      </c>
      <c r="EE16">
        <f>_xlfn.XLOOKUP(B16,'[5]july-2025'!$A:$A,'[5]july-2025'!$J:$J,0,0)</f>
        <v>0</v>
      </c>
      <c r="EF16">
        <f>_xlfn.XLOOKUP(B16,'[6]august-2025'!$A:$A,'[6]august-2025'!$J:$J,0,0)</f>
        <v>0</v>
      </c>
      <c r="EG16">
        <f>_xlfn.XLOOKUP(B16,'[7]september-2025'!$A:$A,'[7]september-2025'!$J:$J,0,0)</f>
        <v>0</v>
      </c>
      <c r="EH16">
        <f>_xlfn.XLOOKUP(B16,'[8]october-2025'!$A:$A,'[8]october-2025'!$J:$J,0,0)</f>
        <v>0</v>
      </c>
      <c r="EI16">
        <f>_xlfn.XLOOKUP(C16,'[9]november-2025'!$A:$A,'[9]november-2025'!$J:$J,0,0)</f>
        <v>0</v>
      </c>
      <c r="EJ16">
        <f>_xlfn.XLOOKUP(B16,'[10]december-2025'!$A:$A,'[10]december-2025'!$J:$J,0,0)</f>
        <v>0</v>
      </c>
      <c r="EK16">
        <f>_xlfn.XLOOKUP(B16,'[11]january-2026'!$A:$A,'[11]january-2026'!$J:$J,0,0)</f>
        <v>0</v>
      </c>
      <c r="EL16">
        <f>_xlfn.XLOOKUP(B16,'[12]february-2026'!$A:$A,'[12]february-2026'!$J:$J,0,0)</f>
        <v>0</v>
      </c>
      <c r="EM16">
        <f t="shared" si="106"/>
        <v>0</v>
      </c>
      <c r="EN16">
        <f t="shared" si="56"/>
        <v>513856</v>
      </c>
      <c r="EO16">
        <f t="shared" si="57"/>
        <v>2400</v>
      </c>
      <c r="EP16">
        <f t="shared" si="58"/>
        <v>50000</v>
      </c>
      <c r="EQ16">
        <v>0</v>
      </c>
      <c r="ER16">
        <f t="shared" si="107"/>
        <v>461456</v>
      </c>
      <c r="ES16">
        <f t="shared" si="59"/>
        <v>24000</v>
      </c>
      <c r="ET16">
        <f t="shared" si="60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1"/>
        <v>24000</v>
      </c>
      <c r="FF16">
        <f t="shared" si="62"/>
        <v>24000</v>
      </c>
      <c r="FG16">
        <f t="shared" si="63"/>
        <v>437456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4"/>
        <v>0</v>
      </c>
      <c r="FP16">
        <f t="shared" si="65"/>
        <v>437456</v>
      </c>
      <c r="FQ16">
        <f t="shared" si="66"/>
        <v>9373</v>
      </c>
      <c r="FR16">
        <f t="shared" si="67"/>
        <v>0</v>
      </c>
      <c r="FS16">
        <f t="shared" si="68"/>
        <v>9373</v>
      </c>
      <c r="FT16">
        <f t="shared" si="69"/>
        <v>0</v>
      </c>
      <c r="FU16">
        <f t="shared" si="70"/>
        <v>0</v>
      </c>
      <c r="FV16">
        <f t="shared" si="71"/>
        <v>0</v>
      </c>
      <c r="FW16">
        <v>0</v>
      </c>
      <c r="FX16">
        <f t="shared" si="72"/>
        <v>0</v>
      </c>
      <c r="FY16" t="b">
        <f t="shared" si="73"/>
        <v>1</v>
      </c>
      <c r="FZ16">
        <f t="shared" ca="1" si="74"/>
        <v>778</v>
      </c>
      <c r="GA16">
        <f t="shared" ca="1" si="75"/>
        <v>514634</v>
      </c>
      <c r="GB16">
        <f t="shared" si="76"/>
        <v>75000</v>
      </c>
      <c r="GC16">
        <f t="shared" ca="1" si="77"/>
        <v>439634</v>
      </c>
      <c r="GD16">
        <f t="shared" ca="1" si="78"/>
        <v>0</v>
      </c>
      <c r="GE16">
        <f t="shared" ca="1" si="79"/>
        <v>0</v>
      </c>
      <c r="GF16">
        <f t="shared" ca="1" si="80"/>
        <v>0</v>
      </c>
      <c r="GG16">
        <f t="shared" ca="1" si="81"/>
        <v>0</v>
      </c>
      <c r="GH16">
        <f t="shared" ca="1" si="82"/>
        <v>0</v>
      </c>
      <c r="GI16">
        <f t="shared" ca="1" si="83"/>
        <v>0</v>
      </c>
      <c r="GJ16">
        <f t="shared" ca="1" si="84"/>
        <v>0</v>
      </c>
      <c r="GK16">
        <f t="shared" ca="1" si="85"/>
        <v>0</v>
      </c>
      <c r="GL16">
        <f t="shared" ca="1" si="86"/>
        <v>0</v>
      </c>
      <c r="GM16">
        <f t="shared" ca="1" si="87"/>
        <v>0</v>
      </c>
      <c r="GN16">
        <f t="shared" ca="1" si="88"/>
        <v>39634</v>
      </c>
      <c r="GO16">
        <f t="shared" ca="1" si="89"/>
        <v>1981.7</v>
      </c>
      <c r="GP16">
        <f t="shared" ca="1" si="90"/>
        <v>1982</v>
      </c>
      <c r="GQ16">
        <f t="shared" ca="1" si="91"/>
        <v>0</v>
      </c>
      <c r="GR16">
        <f t="shared" ca="1" si="92"/>
        <v>0</v>
      </c>
      <c r="GS16">
        <f t="shared" ca="1" si="93"/>
        <v>1982</v>
      </c>
      <c r="GT16">
        <f t="shared" ca="1" si="94"/>
        <v>0</v>
      </c>
      <c r="GU16" t="b">
        <f t="shared" ca="1" si="95"/>
        <v>0</v>
      </c>
      <c r="GV16">
        <f t="shared" ca="1" si="96"/>
        <v>0</v>
      </c>
      <c r="GW16">
        <f t="shared" ca="1" si="97"/>
        <v>1982</v>
      </c>
      <c r="GX16">
        <f t="shared" ca="1" si="98"/>
        <v>0</v>
      </c>
      <c r="GY16">
        <f t="shared" ca="1" si="99"/>
        <v>0</v>
      </c>
      <c r="GZ16">
        <f t="shared" ca="1" si="100"/>
        <v>0</v>
      </c>
    </row>
    <row r="17" spans="1:208" x14ac:dyDescent="0.3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956</v>
      </c>
      <c r="G17" t="s">
        <v>880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1"/>
        <v>150</v>
      </c>
      <c r="S17">
        <f t="shared" si="102"/>
        <v>34764</v>
      </c>
      <c r="T17">
        <f>_xlfn.XLOOKUP(B17,'[2]april-2025'!$A:$A,'[2]april-2025'!$C:$C,0,0)</f>
        <v>28900</v>
      </c>
      <c r="U17">
        <f t="shared" si="4"/>
        <v>5202</v>
      </c>
      <c r="V17">
        <f t="shared" si="5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103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6"/>
        <v>150</v>
      </c>
      <c r="AC17">
        <f t="shared" si="7"/>
        <v>35920</v>
      </c>
      <c r="AD17">
        <f>_xlfn.XLOOKUP(B17,'[3]may-2025'!$A:$A,'[3]may-2025'!$C:$C,0,0)</f>
        <v>28900</v>
      </c>
      <c r="AE17">
        <f t="shared" si="8"/>
        <v>5202</v>
      </c>
      <c r="AF17">
        <f t="shared" si="9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04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0"/>
        <v>150</v>
      </c>
      <c r="AM17">
        <f t="shared" si="11"/>
        <v>35920</v>
      </c>
      <c r="AN17">
        <f>_xlfn.XLOOKUP(B17,'[4]june-2025'!$A:$A,'[4]june-2025'!$C:$C,0,0)</f>
        <v>28900</v>
      </c>
      <c r="AO17">
        <f t="shared" si="12"/>
        <v>5202</v>
      </c>
      <c r="AP17">
        <f t="shared" si="13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05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4"/>
        <v>150</v>
      </c>
      <c r="AW17">
        <f t="shared" si="15"/>
        <v>35920</v>
      </c>
      <c r="AX17">
        <f>_xlfn.XLOOKUP(B17,'[5]july-2025'!$A:$A,'[5]july-2025'!$C:$C,0,0)</f>
        <v>29800</v>
      </c>
      <c r="AY17">
        <f t="shared" si="16"/>
        <v>5364</v>
      </c>
      <c r="AZ17">
        <v>0</v>
      </c>
      <c r="BA17">
        <f t="shared" si="17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18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19"/>
        <v>150</v>
      </c>
      <c r="BH17">
        <f t="shared" si="20"/>
        <v>37090</v>
      </c>
      <c r="BI17">
        <f>_xlfn.XLOOKUP(B17,'[6]august-2025'!$A:$A,'[6]august-2025'!$C:$C,0,0)</f>
        <v>29800</v>
      </c>
      <c r="BJ17">
        <f t="shared" si="21"/>
        <v>5364</v>
      </c>
      <c r="BK17">
        <f t="shared" si="22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3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4"/>
        <v>150</v>
      </c>
      <c r="BR17">
        <f t="shared" si="25"/>
        <v>37090</v>
      </c>
      <c r="BS17">
        <f>_xlfn.XLOOKUP(B17,'[7]september-2025'!$A:$A,'[7]september-2025'!$C:$C,0,0)</f>
        <v>29800</v>
      </c>
      <c r="BT17">
        <f t="shared" si="26"/>
        <v>5364</v>
      </c>
      <c r="BU17">
        <f t="shared" si="27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28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29"/>
        <v>150</v>
      </c>
      <c r="CB17">
        <f t="shared" si="30"/>
        <v>37090</v>
      </c>
      <c r="CC17">
        <f>_xlfn.XLOOKUP(B17,'[8]october-2025'!$A:$A,'[8]october-2025'!$C:$C,0,0)</f>
        <v>29800</v>
      </c>
      <c r="CD17">
        <f t="shared" si="31"/>
        <v>5364</v>
      </c>
      <c r="CE17">
        <f t="shared" si="32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3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4"/>
        <v>150</v>
      </c>
      <c r="CL17">
        <f t="shared" si="35"/>
        <v>37090</v>
      </c>
      <c r="CM17">
        <f>_xlfn.XLOOKUP(B17,'[9]november-2025'!$A:$A,'[9]november-2025'!$C:$C,0,0)</f>
        <v>29800</v>
      </c>
      <c r="CN17">
        <f t="shared" si="36"/>
        <v>5364</v>
      </c>
      <c r="CO17">
        <f t="shared" si="37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38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39"/>
        <v>150</v>
      </c>
      <c r="CV17">
        <f t="shared" si="40"/>
        <v>37090</v>
      </c>
      <c r="CW17">
        <f>_xlfn.XLOOKUP(B17,'[10]december-2025'!$A:$A,'[10]december-2025'!$C:$C,0,0)</f>
        <v>29800</v>
      </c>
      <c r="CX17">
        <f t="shared" si="41"/>
        <v>5364</v>
      </c>
      <c r="CY17">
        <f t="shared" si="42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3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4"/>
        <v>150</v>
      </c>
      <c r="DF17">
        <f t="shared" si="45"/>
        <v>37090</v>
      </c>
      <c r="DG17">
        <f>_xlfn.XLOOKUP(B17,'[11]january-2026'!$A:$A,'[11]january-2026'!$C:$C,0,0)</f>
        <v>29800</v>
      </c>
      <c r="DH17">
        <f t="shared" si="46"/>
        <v>5364</v>
      </c>
      <c r="DI17">
        <f t="shared" si="47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48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49"/>
        <v>150</v>
      </c>
      <c r="DP17">
        <f t="shared" si="50"/>
        <v>37090</v>
      </c>
      <c r="DQ17">
        <f>_xlfn.XLOOKUP(B17,'[12]february-2026'!$A:$A,'[12]february-2026'!$C:$C,0,0)</f>
        <v>29800</v>
      </c>
      <c r="DR17">
        <f t="shared" si="51"/>
        <v>5364</v>
      </c>
      <c r="DS17">
        <f t="shared" si="52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3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4"/>
        <v>150</v>
      </c>
      <c r="DZ17">
        <f t="shared" si="55"/>
        <v>37090</v>
      </c>
      <c r="EA17">
        <f>_xlfn.XLOOKUP(B17,'[1]march-2025'!$A:$A,'[1]march-2025'!$J:$J,0,0)</f>
        <v>0</v>
      </c>
      <c r="EB17">
        <f>_xlfn.XLOOKUP(B17,'[2]april-2025'!$A:$A,'[2]april-2025'!$J:$J,0,0)</f>
        <v>0</v>
      </c>
      <c r="EC17">
        <f>_xlfn.XLOOKUP(B17,'[3]may-2025'!$A:$A,'[3]may-2025'!$J:$J,0,0)</f>
        <v>60294</v>
      </c>
      <c r="ED17">
        <f>_xlfn.XLOOKUP(B17,'[4]june-2025'!$A:$A,'[4]june-2025'!$J:$J,0,0)</f>
        <v>0</v>
      </c>
      <c r="EE17">
        <f>_xlfn.XLOOKUP(B17,'[5]july-2025'!$A:$A,'[5]july-2025'!$J:$J,0,0)</f>
        <v>0</v>
      </c>
      <c r="EF17">
        <f>_xlfn.XLOOKUP(B17,'[6]august-2025'!$A:$A,'[6]august-2025'!$J:$J,0,0)</f>
        <v>0</v>
      </c>
      <c r="EG17">
        <f>_xlfn.XLOOKUP(B17,'[7]september-2025'!$A:$A,'[7]september-2025'!$J:$J,0,0)</f>
        <v>0</v>
      </c>
      <c r="EH17">
        <f>_xlfn.XLOOKUP(B17,'[8]october-2025'!$A:$A,'[8]october-2025'!$J:$J,0,0)</f>
        <v>0</v>
      </c>
      <c r="EI17">
        <f>_xlfn.XLOOKUP(C17,'[9]november-2025'!$A:$A,'[9]november-2025'!$J:$J,0,0)</f>
        <v>0</v>
      </c>
      <c r="EJ17">
        <f>_xlfn.XLOOKUP(B17,'[10]december-2025'!$A:$A,'[10]december-2025'!$J:$J,0,0)</f>
        <v>0</v>
      </c>
      <c r="EK17">
        <f>_xlfn.XLOOKUP(B17,'[11]january-2026'!$A:$A,'[11]january-2026'!$J:$J,0,0)</f>
        <v>0</v>
      </c>
      <c r="EL17">
        <f>_xlfn.XLOOKUP(B17,'[12]february-2026'!$A:$A,'[12]february-2026'!$J:$J,0,0)</f>
        <v>0</v>
      </c>
      <c r="EM17">
        <f t="shared" si="106"/>
        <v>60294</v>
      </c>
      <c r="EN17">
        <f t="shared" si="56"/>
        <v>471844</v>
      </c>
      <c r="EO17">
        <f t="shared" si="57"/>
        <v>1800</v>
      </c>
      <c r="EP17">
        <f t="shared" si="58"/>
        <v>50000</v>
      </c>
      <c r="EQ17">
        <v>0</v>
      </c>
      <c r="ER17">
        <f t="shared" si="107"/>
        <v>480338</v>
      </c>
      <c r="ES17">
        <f t="shared" si="59"/>
        <v>24000</v>
      </c>
      <c r="ET17">
        <f t="shared" si="60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1"/>
        <v>24000</v>
      </c>
      <c r="FF17">
        <f t="shared" si="62"/>
        <v>24000</v>
      </c>
      <c r="FG17">
        <f t="shared" si="63"/>
        <v>456338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4"/>
        <v>0</v>
      </c>
      <c r="FP17">
        <f t="shared" si="65"/>
        <v>456338</v>
      </c>
      <c r="FQ17">
        <f t="shared" si="66"/>
        <v>10317</v>
      </c>
      <c r="FR17">
        <f t="shared" si="67"/>
        <v>0</v>
      </c>
      <c r="FS17">
        <f t="shared" si="68"/>
        <v>10317</v>
      </c>
      <c r="FT17">
        <f t="shared" si="69"/>
        <v>0</v>
      </c>
      <c r="FU17">
        <f t="shared" si="70"/>
        <v>0</v>
      </c>
      <c r="FV17">
        <f t="shared" si="71"/>
        <v>0</v>
      </c>
      <c r="FW17">
        <v>0</v>
      </c>
      <c r="FX17">
        <f t="shared" si="72"/>
        <v>0</v>
      </c>
      <c r="FY17" t="b">
        <f t="shared" si="73"/>
        <v>0</v>
      </c>
      <c r="FZ17">
        <f t="shared" ca="1" si="74"/>
        <v>2676</v>
      </c>
      <c r="GA17">
        <f t="shared" ca="1" si="75"/>
        <v>474520</v>
      </c>
      <c r="GB17">
        <f t="shared" si="76"/>
        <v>75000</v>
      </c>
      <c r="GC17">
        <f t="shared" ca="1" si="77"/>
        <v>399520</v>
      </c>
      <c r="GD17">
        <f t="shared" ca="1" si="78"/>
        <v>0</v>
      </c>
      <c r="GE17">
        <f t="shared" ca="1" si="79"/>
        <v>0</v>
      </c>
      <c r="GF17">
        <f t="shared" ca="1" si="80"/>
        <v>0</v>
      </c>
      <c r="GG17">
        <f t="shared" ca="1" si="81"/>
        <v>0</v>
      </c>
      <c r="GH17">
        <f t="shared" ca="1" si="82"/>
        <v>0</v>
      </c>
      <c r="GI17">
        <f t="shared" ca="1" si="83"/>
        <v>0</v>
      </c>
      <c r="GJ17">
        <f t="shared" ca="1" si="84"/>
        <v>0</v>
      </c>
      <c r="GK17">
        <f t="shared" ca="1" si="85"/>
        <v>0</v>
      </c>
      <c r="GL17">
        <f t="shared" ca="1" si="86"/>
        <v>0</v>
      </c>
      <c r="GM17">
        <f t="shared" ca="1" si="87"/>
        <v>0</v>
      </c>
      <c r="GN17">
        <f t="shared" ca="1" si="88"/>
        <v>0</v>
      </c>
      <c r="GO17">
        <f t="shared" ca="1" si="89"/>
        <v>0</v>
      </c>
      <c r="GP17">
        <f t="shared" ca="1" si="90"/>
        <v>0</v>
      </c>
      <c r="GQ17">
        <f t="shared" ca="1" si="91"/>
        <v>0</v>
      </c>
      <c r="GR17">
        <f t="shared" ca="1" si="92"/>
        <v>0</v>
      </c>
      <c r="GS17">
        <f t="shared" ca="1" si="93"/>
        <v>0</v>
      </c>
      <c r="GT17">
        <f t="shared" ca="1" si="94"/>
        <v>0</v>
      </c>
      <c r="GU17" t="b">
        <f t="shared" ca="1" si="95"/>
        <v>0</v>
      </c>
      <c r="GV17">
        <f t="shared" ca="1" si="96"/>
        <v>0</v>
      </c>
      <c r="GW17">
        <f t="shared" ca="1" si="97"/>
        <v>0</v>
      </c>
      <c r="GX17">
        <f t="shared" ca="1" si="98"/>
        <v>0</v>
      </c>
      <c r="GY17">
        <f t="shared" ca="1" si="99"/>
        <v>0</v>
      </c>
      <c r="GZ17">
        <f t="shared" ca="1" si="100"/>
        <v>0</v>
      </c>
    </row>
    <row r="18" spans="1:208" x14ac:dyDescent="0.3">
      <c r="A18">
        <f>_xlfn.AGGREGATE(3,5,$B$2:B18)</f>
        <v>17</v>
      </c>
      <c r="B18" t="s">
        <v>969</v>
      </c>
      <c r="C18" t="s">
        <v>970</v>
      </c>
      <c r="D18" t="s">
        <v>751</v>
      </c>
      <c r="E18" t="s">
        <v>831</v>
      </c>
      <c r="F18" t="s">
        <v>956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8">J18*0.14</f>
        <v>7098.0000000000009</v>
      </c>
      <c r="L18">
        <f t="shared" ref="L18" si="109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si="3"/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si="102"/>
        <v>60682</v>
      </c>
      <c r="T18">
        <f>_xlfn.XLOOKUP(B18,'[2]april-2025'!$A:$A,'[2]april-2025'!$C:$C,0,0)</f>
        <v>50700</v>
      </c>
      <c r="U18">
        <f t="shared" ref="U18" si="111">T18*0.18</f>
        <v>9126</v>
      </c>
      <c r="V18">
        <f t="shared" ref="V18" si="112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si="103"/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3">IF($F18="YES",0,IF(Y18&gt;40000,200,IF(Y18&gt;25000,150,IF(Y18&gt;15000,130,IF(Y18&gt;10000,110,0)))))</f>
        <v>200</v>
      </c>
      <c r="AC18">
        <f t="shared" ref="AC18" si="114">Y18-Z18-AA18-AB18</f>
        <v>62710</v>
      </c>
      <c r="AD18">
        <f>_xlfn.XLOOKUP(B18,'[3]may-2025'!$A:$A,'[3]may-2025'!$C:$C,0,0)</f>
        <v>50700</v>
      </c>
      <c r="AE18">
        <f t="shared" ref="AE18" si="115">AD18*0.18</f>
        <v>9126</v>
      </c>
      <c r="AF18">
        <f t="shared" ref="AF18" si="116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si="104"/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17">IF($F18="YES",0,IF(AI18&gt;40000,200,IF(AI18&gt;25000,150,IF(AI18&gt;15000,130,IF(AI18&gt;10000,110,0)))))</f>
        <v>200</v>
      </c>
      <c r="AM18">
        <f t="shared" ref="AM18" si="118">AI18-AJ18-AK18-AL18</f>
        <v>62710</v>
      </c>
      <c r="AN18">
        <f>_xlfn.XLOOKUP(B18,'[4]june-2025'!$A:$A,'[4]june-2025'!$C:$C,0,0)</f>
        <v>50700</v>
      </c>
      <c r="AO18">
        <f t="shared" ref="AO18" si="119">AN18*0.18</f>
        <v>9126</v>
      </c>
      <c r="AP18">
        <f t="shared" ref="AP18" si="120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si="105"/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1">IF($F18="YES",0,IF(AS18&gt;40000,200,IF(AS18&gt;25000,150,IF(AS18&gt;15000,130,IF(AS18&gt;10000,110,0)))))</f>
        <v>200</v>
      </c>
      <c r="AW18">
        <f t="shared" ref="AW18" si="122">AS18-AT18-AU18-AV18</f>
        <v>62710</v>
      </c>
      <c r="AX18">
        <f>_xlfn.XLOOKUP(B18,'[5]july-2025'!$A:$A,'[5]july-2025'!$C:$C,0,0)</f>
        <v>51700</v>
      </c>
      <c r="AY18">
        <f t="shared" ref="AY18" si="123">AX18*0.18</f>
        <v>9306</v>
      </c>
      <c r="AZ18">
        <v>1</v>
      </c>
      <c r="BA18">
        <f t="shared" ref="BA18" si="124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si="18"/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25">IF($F18="YES",0,IF(BD18&gt;40000,200,IF(BD18&gt;25000,150,IF(BD18&gt;15000,130,IF(BD18&gt;10000,110,0)))))</f>
        <v>200</v>
      </c>
      <c r="BH18">
        <f t="shared" ref="BH18" si="126">BD18-BE18-BF18-BG18</f>
        <v>64011</v>
      </c>
      <c r="BI18">
        <f>_xlfn.XLOOKUP(B18,'[6]august-2025'!$A:$A,'[6]august-2025'!$C:$C,0,0)</f>
        <v>51700</v>
      </c>
      <c r="BJ18">
        <f t="shared" ref="BJ18" si="127">BI18*0.18</f>
        <v>9306</v>
      </c>
      <c r="BK18">
        <f t="shared" ref="BK18" si="128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29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si="24"/>
        <v>200</v>
      </c>
      <c r="BR18">
        <f t="shared" si="25"/>
        <v>64010</v>
      </c>
      <c r="BS18">
        <f>_xlfn.XLOOKUP(B18,'[7]september-2025'!$A:$A,'[7]september-2025'!$C:$C,0,0)</f>
        <v>51700</v>
      </c>
      <c r="BT18">
        <f t="shared" ref="BT18" si="130">BS18*0.18</f>
        <v>9306</v>
      </c>
      <c r="BU18">
        <f t="shared" ref="BU18" si="131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si="28"/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32">IF($F18="YES",0,IF(BX18&gt;40000,200,IF(BX18&gt;25000,150,IF(BX18&gt;15000,130,IF(BX18&gt;10000,110,0)))))</f>
        <v>200</v>
      </c>
      <c r="CB18">
        <f t="shared" ref="CB18" si="133">BX18-BY18-BZ18-CA18</f>
        <v>64010</v>
      </c>
      <c r="CC18">
        <f>_xlfn.XLOOKUP(B18,'[8]october-2025'!$A:$A,'[8]october-2025'!$C:$C,0,0)</f>
        <v>51700</v>
      </c>
      <c r="CD18">
        <f t="shared" ref="CD18" si="134">CC18*0.18</f>
        <v>9306</v>
      </c>
      <c r="CE18">
        <f t="shared" ref="CE18" si="135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si="33"/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36">IF($F18="YES",0,IF(CH18&gt;40000,200,IF(CH18&gt;25000,150,IF(CH18&gt;15000,130,IF(CH18&gt;10000,110,0)))))</f>
        <v>200</v>
      </c>
      <c r="CL18">
        <f t="shared" ref="CL18" si="137">CH18-CI18-CJ18-CK18</f>
        <v>64010</v>
      </c>
      <c r="CM18">
        <f>_xlfn.XLOOKUP(B18,'[9]november-2025'!$A:$A,'[9]november-2025'!$C:$C,0,0)</f>
        <v>51700</v>
      </c>
      <c r="CN18">
        <f t="shared" ref="CN18" si="138">CM18*0.18</f>
        <v>9306</v>
      </c>
      <c r="CO18">
        <f t="shared" ref="CO18" si="139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si="38"/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40">IF($F18="YES",0,IF(CR18&gt;40000,200,IF(CR18&gt;25000,150,IF(CR18&gt;15000,130,IF(CR18&gt;10000,110,0)))))</f>
        <v>200</v>
      </c>
      <c r="CV18">
        <f t="shared" ref="CV18" si="141">CR18-CS18-CT18-CU18</f>
        <v>64010</v>
      </c>
      <c r="CW18">
        <f>_xlfn.XLOOKUP(B18,'[10]december-2025'!$A:$A,'[10]december-2025'!$C:$C,0,0)</f>
        <v>51700</v>
      </c>
      <c r="CX18">
        <f t="shared" ref="CX18" si="142">ROUND(CW18*0.18,0)</f>
        <v>9306</v>
      </c>
      <c r="CY18">
        <f t="shared" ref="CY18" si="14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si="43"/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44">IF($F18="YES",0,IF(DB18&gt;40000,200,IF(DB18&gt;25000,150,IF(DB18&gt;15000,130,IF(DB18&gt;10000,110,0)))))</f>
        <v>200</v>
      </c>
      <c r="DF18">
        <f t="shared" ref="DF18" si="145">DB18-DC18-DD18-DE18</f>
        <v>64010</v>
      </c>
      <c r="DG18">
        <f>_xlfn.XLOOKUP(B18,'[11]january-2026'!$A:$A,'[11]january-2026'!$C:$C,0,0)</f>
        <v>51700</v>
      </c>
      <c r="DH18">
        <f t="shared" ref="DH18" si="146">DG18*0.18</f>
        <v>9306</v>
      </c>
      <c r="DI18">
        <f t="shared" ref="DI18" si="147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si="48"/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48">IF($F18="YES",0,IF(DL18&gt;40000,200,IF(DL18&gt;25000,150,IF(DL18&gt;15000,130,IF(DL18&gt;10000,110,0)))))</f>
        <v>200</v>
      </c>
      <c r="DP18">
        <f t="shared" ref="DP18" si="149">DL18-DM18-DN18-DO18</f>
        <v>64010</v>
      </c>
      <c r="DQ18">
        <f>_xlfn.XLOOKUP(B18,'[12]february-2026'!$A:$A,'[12]february-2026'!$C:$C,0,0)</f>
        <v>51700</v>
      </c>
      <c r="DR18">
        <f t="shared" ref="DR18" si="150">DQ18*0.18</f>
        <v>9306</v>
      </c>
      <c r="DS18">
        <f t="shared" ref="DS18" si="151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si="53"/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52">IF($F18="YES",0,IF(DV18&gt;40000,200,IF(DV18&gt;25000,150,IF(DV18&gt;15000,130,IF(DV18&gt;10000,110,0)))))</f>
        <v>200</v>
      </c>
      <c r="DZ18">
        <f t="shared" ref="DZ18" si="153">DV18-DW18-DX18-DY18</f>
        <v>64010</v>
      </c>
      <c r="EA18">
        <f>_xlfn.XLOOKUP(B18,'[1]march-2025'!$A:$A,'[1]march-2025'!$J:$J,0,0)</f>
        <v>0</v>
      </c>
      <c r="EB18">
        <f>_xlfn.XLOOKUP(B18,'[2]april-2025'!$A:$A,'[2]april-2025'!$J:$J,0,0)</f>
        <v>0</v>
      </c>
      <c r="EC18">
        <f>_xlfn.XLOOKUP(B18,'[3]may-2025'!$A:$A,'[3]may-2025'!$J:$J,0,0)</f>
        <v>0</v>
      </c>
      <c r="ED18">
        <f>_xlfn.XLOOKUP(B18,'[4]june-2025'!$A:$A,'[4]june-2025'!$J:$J,0,0)</f>
        <v>0</v>
      </c>
      <c r="EE18">
        <f>_xlfn.XLOOKUP(B18,'[5]july-2025'!$A:$A,'[5]july-2025'!$J:$J,0,0)</f>
        <v>0</v>
      </c>
      <c r="EF18">
        <f>_xlfn.XLOOKUP(B18,'[6]august-2025'!$A:$A,'[6]august-2025'!$J:$J,0,0)</f>
        <v>0</v>
      </c>
      <c r="EG18">
        <f>_xlfn.XLOOKUP(B18,'[7]september-2025'!$A:$A,'[7]september-2025'!$J:$J,0,0)</f>
        <v>0</v>
      </c>
      <c r="EH18">
        <f>_xlfn.XLOOKUP(B18,'[8]october-2025'!$A:$A,'[8]october-2025'!$J:$J,0,0)</f>
        <v>0</v>
      </c>
      <c r="EI18">
        <f>_xlfn.XLOOKUP(C18,'[9]november-2025'!$A:$A,'[9]november-2025'!$J:$J,0,0)</f>
        <v>0</v>
      </c>
      <c r="EJ18">
        <f>_xlfn.XLOOKUP(B18,'[10]december-2025'!$A:$A,'[10]december-2025'!$J:$J,0,0)</f>
        <v>0</v>
      </c>
      <c r="EK18">
        <f>_xlfn.XLOOKUP(B18,'[11]january-2026'!$A:$A,'[11]january-2026'!$J:$J,0,0)</f>
        <v>0</v>
      </c>
      <c r="EL18">
        <f>_xlfn.XLOOKUP(B18,'[12]february-2026'!$A:$A,'[12]february-2026'!$J:$J,0,0)</f>
        <v>0</v>
      </c>
      <c r="EM18">
        <f t="shared" si="106"/>
        <v>0</v>
      </c>
      <c r="EN18">
        <f t="shared" si="56"/>
        <v>805293</v>
      </c>
      <c r="EO18">
        <f t="shared" si="57"/>
        <v>2400</v>
      </c>
      <c r="EP18">
        <f t="shared" ref="EP18" si="154">IF(EN18&gt;0,50000,0)</f>
        <v>50000</v>
      </c>
      <c r="EQ18">
        <v>1</v>
      </c>
      <c r="ER18">
        <f t="shared" si="107"/>
        <v>752893</v>
      </c>
      <c r="ES18">
        <f t="shared" si="59"/>
        <v>42000</v>
      </c>
      <c r="ET18">
        <f t="shared" si="60"/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55">SUM(ES18:FD18)</f>
        <v>42000</v>
      </c>
      <c r="FF18">
        <f t="shared" ref="FF18" si="156">IF(FE18&gt;=150000,150000,FE18)</f>
        <v>42000</v>
      </c>
      <c r="FG18">
        <f t="shared" ref="FG18" si="157">ER18-FF18</f>
        <v>710893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si="64"/>
        <v>0</v>
      </c>
      <c r="FP18">
        <f t="shared" ref="FP18" si="158">FG18-FO18</f>
        <v>710893</v>
      </c>
      <c r="FQ18">
        <f t="shared" ref="FQ18" si="159">ROUND(IF(FP18&gt;0,IF(FP18&gt;500000,12500,(FP18-250000)*0.05),0),0)</f>
        <v>12500</v>
      </c>
      <c r="FR18">
        <f t="shared" ref="FR18" si="160">IF(ROUND(IF(FP18&gt;0,IF(FP18&gt;1000000,25000,(FP18-500000)*0.2),0),0)&lt;0,0,ROUND(IF(FP18&gt;0,IF(FP18&gt;1000000,25000,(FP18-500000)*0.2),0),0))</f>
        <v>42179</v>
      </c>
      <c r="FS18">
        <f t="shared" ref="FS18" si="161">FQ18+FR18</f>
        <v>54679</v>
      </c>
      <c r="FT18">
        <f t="shared" ref="FT18" si="162">IF(FS18&lt;12500,0,FS18)</f>
        <v>54679</v>
      </c>
      <c r="FU18">
        <f t="shared" ref="FU18" si="163">FT18*0.04</f>
        <v>2187.16</v>
      </c>
      <c r="FV18">
        <f t="shared" ref="FV18" si="164">ROUND(FU18+FT18,0)</f>
        <v>56866</v>
      </c>
      <c r="FW18">
        <v>1</v>
      </c>
      <c r="FX18">
        <f t="shared" ref="FX18" si="165">FV18-FW18</f>
        <v>56865</v>
      </c>
      <c r="FY18" t="b">
        <f t="shared" ref="FY18" si="166">IF(EN18&gt;500000,TRUE,FALSE)</f>
        <v>1</v>
      </c>
      <c r="FZ18">
        <f t="shared" ref="FZ18" ca="1" si="167">IF(FY18,RANDBETWEEN(500,1000),RANDBETWEEN(1000,3000))</f>
        <v>508</v>
      </c>
      <c r="GA18">
        <f t="shared" ref="GA18" ca="1" si="168">EN18+FZ18</f>
        <v>805801</v>
      </c>
      <c r="GB18">
        <f t="shared" ref="GB18" si="169">IF(EN18&gt;0,75000,0)</f>
        <v>75000</v>
      </c>
      <c r="GC18">
        <f t="shared" ref="GC18" ca="1" si="170">GA18-GB18</f>
        <v>730801</v>
      </c>
      <c r="GD18">
        <f t="shared" ref="GD18" ca="1" si="171">IF(GC18&gt;2400000,GC18-2400000,0)</f>
        <v>0</v>
      </c>
      <c r="GE18">
        <f t="shared" ref="GE18" ca="1" si="172">GD18*0.3</f>
        <v>0</v>
      </c>
      <c r="GF18">
        <f t="shared" ref="GF18" ca="1" si="173">IF(GC18&gt;2000000,GC18-2000000,0)</f>
        <v>0</v>
      </c>
      <c r="GG18">
        <f t="shared" ref="GG18" ca="1" si="174">GF18*0.25</f>
        <v>0</v>
      </c>
      <c r="GH18">
        <f t="shared" ref="GH18" ca="1" si="175">IF(GC18&gt;1600000,GC18-1600000-GD18,0)</f>
        <v>0</v>
      </c>
      <c r="GI18">
        <f t="shared" ref="GI18" ca="1" si="176">GH18*0.2</f>
        <v>0</v>
      </c>
      <c r="GJ18">
        <f t="shared" ca="1" si="84"/>
        <v>0</v>
      </c>
      <c r="GK18">
        <f t="shared" ref="GK18" ca="1" si="177">GJ18*0.15</f>
        <v>0</v>
      </c>
      <c r="GL18">
        <f t="shared" ref="GL18" ca="1" si="178">IF(GC18&gt;800000,GC18-800000-GD18-GH18-GJ18,0)</f>
        <v>0</v>
      </c>
      <c r="GM18">
        <f t="shared" ref="GM18" ca="1" si="179">GL18*0.1</f>
        <v>0</v>
      </c>
      <c r="GN18">
        <f t="shared" ref="GN18" ca="1" si="180">IF(GC18&gt;400000,GC18-400000-GD18-GH18-GJ18-GL18,0)</f>
        <v>330801</v>
      </c>
      <c r="GO18">
        <f t="shared" ref="GO18" ca="1" si="181">GN18*0.05</f>
        <v>16540.05</v>
      </c>
      <c r="GP18">
        <f t="shared" ref="GP18" ca="1" si="182">ROUND(GE18+GG18+GI18+GK18+GM18+GO18,0)</f>
        <v>16540</v>
      </c>
      <c r="GQ18">
        <f t="shared" ref="GQ18" ca="1" si="183">IF(GC18&gt;1200000,GC18,0)</f>
        <v>0</v>
      </c>
      <c r="GR18">
        <f t="shared" ref="GR18" ca="1" si="184">IF(GC18&gt;1200000,GQ18-1200000,0)</f>
        <v>0</v>
      </c>
      <c r="GS18">
        <f t="shared" ref="GS18" ca="1" si="185">IF(GC18&lt;1200001,MIN(GP18,60000),0)</f>
        <v>16540</v>
      </c>
      <c r="GT18">
        <f t="shared" ref="GT18" ca="1" si="186">IF(GC18&gt;1200000,GP18-GR18,0)</f>
        <v>0</v>
      </c>
      <c r="GU18" t="b">
        <f t="shared" ref="GU18" ca="1" si="187">IF(GT18&gt;0,TRUE,FALSE)</f>
        <v>0</v>
      </c>
      <c r="GV18">
        <f t="shared" ref="GV18" ca="1" si="188">IF(GU18,GT18,0)</f>
        <v>0</v>
      </c>
      <c r="GW18">
        <f t="shared" ref="GW18" ca="1" si="189">GS18+GV18</f>
        <v>16540</v>
      </c>
      <c r="GX18">
        <f t="shared" ref="GX18" ca="1" si="190">ROUND(GP18-GW18,0)</f>
        <v>0</v>
      </c>
      <c r="GY18">
        <f t="shared" ref="GY18" ca="1" si="191">GX18*0.04</f>
        <v>0</v>
      </c>
      <c r="GZ18">
        <f t="shared" ref="GZ18" ca="1" si="192">ROUNDUP(GX18+GY18,0)</f>
        <v>0</v>
      </c>
    </row>
    <row r="19" spans="1:208" x14ac:dyDescent="0.3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956</v>
      </c>
      <c r="G19" t="s">
        <v>884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1"/>
        <v>200</v>
      </c>
      <c r="S19">
        <f t="shared" si="102"/>
        <v>60782</v>
      </c>
      <c r="T19">
        <f>_xlfn.XLOOKUP(B19,'[2]april-2025'!$A:$A,'[2]april-2025'!$C:$C,0,0)</f>
        <v>51700</v>
      </c>
      <c r="U19">
        <f t="shared" si="4"/>
        <v>9306</v>
      </c>
      <c r="V19">
        <f t="shared" si="5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103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6"/>
        <v>200</v>
      </c>
      <c r="AC19">
        <f t="shared" si="7"/>
        <v>62850</v>
      </c>
      <c r="AD19">
        <f>_xlfn.XLOOKUP(B19,'[3]may-2025'!$A:$A,'[3]may-2025'!$C:$C,0,0)</f>
        <v>51700</v>
      </c>
      <c r="AE19">
        <f t="shared" si="8"/>
        <v>9306</v>
      </c>
      <c r="AF19">
        <f t="shared" si="9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04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0"/>
        <v>200</v>
      </c>
      <c r="AM19">
        <f t="shared" si="11"/>
        <v>62850</v>
      </c>
      <c r="AN19">
        <f>_xlfn.XLOOKUP(B19,'[4]june-2025'!$A:$A,'[4]june-2025'!$C:$C,0,0)</f>
        <v>51700</v>
      </c>
      <c r="AO19">
        <f t="shared" si="12"/>
        <v>9306</v>
      </c>
      <c r="AP19">
        <f t="shared" si="13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05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4"/>
        <v>200</v>
      </c>
      <c r="AW19">
        <f t="shared" si="15"/>
        <v>62850</v>
      </c>
      <c r="AX19">
        <f>_xlfn.XLOOKUP(B19,'[5]july-2025'!$A:$A,'[5]july-2025'!$C:$C,0,0)</f>
        <v>53300</v>
      </c>
      <c r="AY19">
        <f t="shared" si="16"/>
        <v>9594</v>
      </c>
      <c r="AZ19">
        <v>0</v>
      </c>
      <c r="BA19">
        <f t="shared" si="17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18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19"/>
        <v>200</v>
      </c>
      <c r="BH19">
        <f t="shared" si="20"/>
        <v>64930</v>
      </c>
      <c r="BI19">
        <f>_xlfn.XLOOKUP(B19,'[6]august-2025'!$A:$A,'[6]august-2025'!$C:$C,0,0)</f>
        <v>53300</v>
      </c>
      <c r="BJ19">
        <f t="shared" si="21"/>
        <v>9594</v>
      </c>
      <c r="BK19">
        <f t="shared" si="22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3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4"/>
        <v>200</v>
      </c>
      <c r="BR19">
        <f t="shared" si="25"/>
        <v>64930</v>
      </c>
      <c r="BS19">
        <f>_xlfn.XLOOKUP(B19,'[7]september-2025'!$A:$A,'[7]september-2025'!$C:$C,0,0)</f>
        <v>53300</v>
      </c>
      <c r="BT19">
        <f t="shared" si="26"/>
        <v>9594</v>
      </c>
      <c r="BU19">
        <f t="shared" si="27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28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29"/>
        <v>200</v>
      </c>
      <c r="CB19">
        <f t="shared" si="30"/>
        <v>64930</v>
      </c>
      <c r="CC19">
        <f>_xlfn.XLOOKUP(B19,'[8]october-2025'!$A:$A,'[8]october-2025'!$C:$C,0,0)</f>
        <v>53300</v>
      </c>
      <c r="CD19">
        <f t="shared" si="31"/>
        <v>9594</v>
      </c>
      <c r="CE19">
        <f t="shared" si="32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3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4"/>
        <v>200</v>
      </c>
      <c r="CL19">
        <f t="shared" si="35"/>
        <v>64930</v>
      </c>
      <c r="CM19">
        <f>_xlfn.XLOOKUP(B19,'[9]november-2025'!$A:$A,'[9]november-2025'!$C:$C,0,0)</f>
        <v>53300</v>
      </c>
      <c r="CN19">
        <f t="shared" si="36"/>
        <v>9594</v>
      </c>
      <c r="CO19">
        <f t="shared" si="37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38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39"/>
        <v>200</v>
      </c>
      <c r="CV19">
        <f t="shared" si="40"/>
        <v>64930</v>
      </c>
      <c r="CW19">
        <f>_xlfn.XLOOKUP(B19,'[10]december-2025'!$A:$A,'[10]december-2025'!$C:$C,0,0)</f>
        <v>53300</v>
      </c>
      <c r="CX19">
        <f t="shared" si="41"/>
        <v>9594</v>
      </c>
      <c r="CY19">
        <f t="shared" si="42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3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4"/>
        <v>200</v>
      </c>
      <c r="DF19">
        <f t="shared" si="45"/>
        <v>64930</v>
      </c>
      <c r="DG19">
        <f>_xlfn.XLOOKUP(B19,'[11]january-2026'!$A:$A,'[11]january-2026'!$C:$C,0,0)</f>
        <v>53300</v>
      </c>
      <c r="DH19">
        <f t="shared" si="46"/>
        <v>9594</v>
      </c>
      <c r="DI19">
        <f t="shared" si="47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48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49"/>
        <v>200</v>
      </c>
      <c r="DP19">
        <f t="shared" si="50"/>
        <v>64930</v>
      </c>
      <c r="DQ19">
        <f>_xlfn.XLOOKUP(B19,'[12]february-2026'!$A:$A,'[12]february-2026'!$C:$C,0,0)</f>
        <v>53300</v>
      </c>
      <c r="DR19">
        <f t="shared" si="51"/>
        <v>9594</v>
      </c>
      <c r="DS19">
        <f t="shared" si="52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3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4"/>
        <v>200</v>
      </c>
      <c r="DZ19">
        <f t="shared" si="55"/>
        <v>64930</v>
      </c>
      <c r="EA19">
        <f>_xlfn.XLOOKUP(B19,'[1]march-2025'!$A:$A,'[1]march-2025'!$J:$J,0,0)</f>
        <v>0</v>
      </c>
      <c r="EB19">
        <f>_xlfn.XLOOKUP(B19,'[2]april-2025'!$A:$A,'[2]april-2025'!$J:$J,0,0)</f>
        <v>0</v>
      </c>
      <c r="EC19">
        <f>_xlfn.XLOOKUP(B19,'[3]may-2025'!$A:$A,'[3]may-2025'!$J:$J,0,0)</f>
        <v>0</v>
      </c>
      <c r="ED19">
        <f>_xlfn.XLOOKUP(B19,'[4]june-2025'!$A:$A,'[4]june-2025'!$J:$J,0,0)</f>
        <v>0</v>
      </c>
      <c r="EE19">
        <f>_xlfn.XLOOKUP(B19,'[5]july-2025'!$A:$A,'[5]july-2025'!$J:$J,0,0)</f>
        <v>0</v>
      </c>
      <c r="EF19">
        <f>_xlfn.XLOOKUP(B19,'[6]august-2025'!$A:$A,'[6]august-2025'!$J:$J,0,0)</f>
        <v>0</v>
      </c>
      <c r="EG19">
        <f>_xlfn.XLOOKUP(B19,'[7]september-2025'!$A:$A,'[7]september-2025'!$J:$J,0,0)</f>
        <v>0</v>
      </c>
      <c r="EH19">
        <f>_xlfn.XLOOKUP(B19,'[8]october-2025'!$A:$A,'[8]october-2025'!$J:$J,0,0)</f>
        <v>0</v>
      </c>
      <c r="EI19">
        <f>_xlfn.XLOOKUP(C19,'[9]november-2025'!$A:$A,'[9]november-2025'!$J:$J,0,0)</f>
        <v>0</v>
      </c>
      <c r="EJ19">
        <f>_xlfn.XLOOKUP(B19,'[10]december-2025'!$A:$A,'[10]december-2025'!$J:$J,0,0)</f>
        <v>0</v>
      </c>
      <c r="EK19">
        <f>_xlfn.XLOOKUP(B19,'[11]january-2026'!$A:$A,'[11]january-2026'!$J:$J,0,0)</f>
        <v>0</v>
      </c>
      <c r="EL19">
        <f>_xlfn.XLOOKUP(B19,'[12]february-2026'!$A:$A,'[12]february-2026'!$J:$J,0,0)</f>
        <v>0</v>
      </c>
      <c r="EM19">
        <f t="shared" si="106"/>
        <v>0</v>
      </c>
      <c r="EN19">
        <f t="shared" si="56"/>
        <v>838692</v>
      </c>
      <c r="EO19">
        <f t="shared" si="57"/>
        <v>2400</v>
      </c>
      <c r="EP19">
        <f t="shared" si="58"/>
        <v>50000</v>
      </c>
      <c r="EQ19">
        <v>0</v>
      </c>
      <c r="ER19">
        <f t="shared" si="107"/>
        <v>786292</v>
      </c>
      <c r="ES19">
        <f t="shared" si="59"/>
        <v>60000</v>
      </c>
      <c r="ET19">
        <f t="shared" si="60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1"/>
        <v>60720</v>
      </c>
      <c r="FF19">
        <f t="shared" si="62"/>
        <v>60720</v>
      </c>
      <c r="FG19">
        <f t="shared" si="63"/>
        <v>725572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4"/>
        <v>0</v>
      </c>
      <c r="FP19">
        <f t="shared" si="65"/>
        <v>725572</v>
      </c>
      <c r="FQ19">
        <f t="shared" si="66"/>
        <v>12500</v>
      </c>
      <c r="FR19">
        <f t="shared" si="67"/>
        <v>45114</v>
      </c>
      <c r="FS19">
        <f t="shared" si="68"/>
        <v>57614</v>
      </c>
      <c r="FT19">
        <f t="shared" si="69"/>
        <v>57614</v>
      </c>
      <c r="FU19">
        <f t="shared" si="70"/>
        <v>2304.56</v>
      </c>
      <c r="FV19">
        <f t="shared" si="71"/>
        <v>59919</v>
      </c>
      <c r="FW19">
        <v>0</v>
      </c>
      <c r="FX19">
        <f t="shared" si="72"/>
        <v>59919</v>
      </c>
      <c r="FY19" t="b">
        <f t="shared" si="73"/>
        <v>1</v>
      </c>
      <c r="FZ19">
        <f t="shared" ca="1" si="74"/>
        <v>987</v>
      </c>
      <c r="GA19">
        <f t="shared" ca="1" si="75"/>
        <v>839679</v>
      </c>
      <c r="GB19">
        <f t="shared" si="76"/>
        <v>75000</v>
      </c>
      <c r="GC19">
        <f t="shared" ca="1" si="77"/>
        <v>764679</v>
      </c>
      <c r="GD19">
        <f t="shared" ca="1" si="78"/>
        <v>0</v>
      </c>
      <c r="GE19">
        <f t="shared" ca="1" si="79"/>
        <v>0</v>
      </c>
      <c r="GF19">
        <f t="shared" ca="1" si="80"/>
        <v>0</v>
      </c>
      <c r="GG19">
        <f t="shared" ca="1" si="81"/>
        <v>0</v>
      </c>
      <c r="GH19">
        <f t="shared" ca="1" si="82"/>
        <v>0</v>
      </c>
      <c r="GI19">
        <f t="shared" ca="1" si="83"/>
        <v>0</v>
      </c>
      <c r="GJ19">
        <f t="shared" ca="1" si="84"/>
        <v>0</v>
      </c>
      <c r="GK19">
        <f t="shared" ca="1" si="85"/>
        <v>0</v>
      </c>
      <c r="GL19">
        <f t="shared" ca="1" si="86"/>
        <v>0</v>
      </c>
      <c r="GM19">
        <f t="shared" ca="1" si="87"/>
        <v>0</v>
      </c>
      <c r="GN19">
        <f t="shared" ca="1" si="88"/>
        <v>364679</v>
      </c>
      <c r="GO19">
        <f t="shared" ca="1" si="89"/>
        <v>18233.95</v>
      </c>
      <c r="GP19">
        <f t="shared" ca="1" si="90"/>
        <v>18234</v>
      </c>
      <c r="GQ19">
        <f t="shared" ca="1" si="91"/>
        <v>0</v>
      </c>
      <c r="GR19">
        <f t="shared" ca="1" si="92"/>
        <v>0</v>
      </c>
      <c r="GS19">
        <f t="shared" ca="1" si="93"/>
        <v>18234</v>
      </c>
      <c r="GT19">
        <f t="shared" ca="1" si="94"/>
        <v>0</v>
      </c>
      <c r="GU19" t="b">
        <f t="shared" ca="1" si="95"/>
        <v>0</v>
      </c>
      <c r="GV19">
        <f t="shared" ca="1" si="96"/>
        <v>0</v>
      </c>
      <c r="GW19">
        <f t="shared" ca="1" si="97"/>
        <v>18234</v>
      </c>
      <c r="GX19">
        <f t="shared" ca="1" si="98"/>
        <v>0</v>
      </c>
      <c r="GY19">
        <f t="shared" ca="1" si="99"/>
        <v>0</v>
      </c>
      <c r="GZ19">
        <f t="shared" ca="1" si="100"/>
        <v>0</v>
      </c>
    </row>
    <row r="20" spans="1:208" x14ac:dyDescent="0.3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956</v>
      </c>
      <c r="G20" t="s">
        <v>885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1"/>
        <v>200</v>
      </c>
      <c r="S20">
        <f t="shared" si="102"/>
        <v>37510</v>
      </c>
      <c r="T20">
        <f>_xlfn.XLOOKUP(B20,'[2]april-2025'!$A:$A,'[2]april-2025'!$C:$C,0,0)</f>
        <v>33500</v>
      </c>
      <c r="U20">
        <f t="shared" si="4"/>
        <v>6030</v>
      </c>
      <c r="V20">
        <f t="shared" si="5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103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6"/>
        <v>200</v>
      </c>
      <c r="AC20">
        <f t="shared" si="7"/>
        <v>38850</v>
      </c>
      <c r="AD20">
        <f>_xlfn.XLOOKUP(B20,'[3]may-2025'!$A:$A,'[3]may-2025'!$C:$C,0,0)</f>
        <v>33500</v>
      </c>
      <c r="AE20">
        <f t="shared" si="8"/>
        <v>6030</v>
      </c>
      <c r="AF20">
        <f t="shared" si="9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04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0"/>
        <v>200</v>
      </c>
      <c r="AM20">
        <f t="shared" si="11"/>
        <v>38850</v>
      </c>
      <c r="AN20">
        <f>_xlfn.XLOOKUP(B20,'[4]june-2025'!$A:$A,'[4]june-2025'!$C:$C,0,0)</f>
        <v>33500</v>
      </c>
      <c r="AO20">
        <f t="shared" si="12"/>
        <v>6030</v>
      </c>
      <c r="AP20">
        <f t="shared" si="13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05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4"/>
        <v>200</v>
      </c>
      <c r="AW20">
        <f t="shared" si="15"/>
        <v>38850</v>
      </c>
      <c r="AX20">
        <f>_xlfn.XLOOKUP(B20,'[5]july-2025'!$A:$A,'[5]july-2025'!$C:$C,0,0)</f>
        <v>34500</v>
      </c>
      <c r="AY20">
        <f t="shared" si="16"/>
        <v>6210</v>
      </c>
      <c r="AZ20">
        <v>0</v>
      </c>
      <c r="BA20">
        <f t="shared" si="17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18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19"/>
        <v>200</v>
      </c>
      <c r="BH20">
        <f t="shared" si="20"/>
        <v>40150</v>
      </c>
      <c r="BI20">
        <f>_xlfn.XLOOKUP(B20,'[6]august-2025'!$A:$A,'[6]august-2025'!$C:$C,0,0)</f>
        <v>34500</v>
      </c>
      <c r="BJ20">
        <f t="shared" si="21"/>
        <v>6210</v>
      </c>
      <c r="BK20">
        <f t="shared" si="22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3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4"/>
        <v>200</v>
      </c>
      <c r="BR20">
        <f t="shared" si="25"/>
        <v>40150</v>
      </c>
      <c r="BS20">
        <f>_xlfn.XLOOKUP(B20,'[7]september-2025'!$A:$A,'[7]september-2025'!$C:$C,0,0)</f>
        <v>34500</v>
      </c>
      <c r="BT20">
        <f t="shared" si="26"/>
        <v>6210</v>
      </c>
      <c r="BU20">
        <f t="shared" si="27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28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29"/>
        <v>200</v>
      </c>
      <c r="CB20">
        <f t="shared" si="30"/>
        <v>40150</v>
      </c>
      <c r="CC20">
        <f>_xlfn.XLOOKUP(B20,'[8]october-2025'!$A:$A,'[8]october-2025'!$C:$C,0,0)</f>
        <v>34500</v>
      </c>
      <c r="CD20">
        <f t="shared" si="31"/>
        <v>6210</v>
      </c>
      <c r="CE20">
        <f t="shared" si="32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3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4"/>
        <v>200</v>
      </c>
      <c r="CL20">
        <f t="shared" si="35"/>
        <v>40150</v>
      </c>
      <c r="CM20">
        <f>_xlfn.XLOOKUP(B20,'[9]november-2025'!$A:$A,'[9]november-2025'!$C:$C,0,0)</f>
        <v>34500</v>
      </c>
      <c r="CN20">
        <f t="shared" si="36"/>
        <v>6210</v>
      </c>
      <c r="CO20">
        <f t="shared" si="37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38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39"/>
        <v>200</v>
      </c>
      <c r="CV20">
        <f t="shared" si="40"/>
        <v>40150</v>
      </c>
      <c r="CW20">
        <f>_xlfn.XLOOKUP(B20,'[10]december-2025'!$A:$A,'[10]december-2025'!$C:$C,0,0)</f>
        <v>34500</v>
      </c>
      <c r="CX20">
        <f t="shared" si="41"/>
        <v>6210</v>
      </c>
      <c r="CY20">
        <f t="shared" si="42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3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4"/>
        <v>200</v>
      </c>
      <c r="DF20">
        <f t="shared" si="45"/>
        <v>40150</v>
      </c>
      <c r="DG20">
        <f>_xlfn.XLOOKUP(B20,'[11]january-2026'!$A:$A,'[11]january-2026'!$C:$C,0,0)</f>
        <v>34500</v>
      </c>
      <c r="DH20">
        <f t="shared" si="46"/>
        <v>6210</v>
      </c>
      <c r="DI20">
        <f t="shared" si="47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48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49"/>
        <v>200</v>
      </c>
      <c r="DP20">
        <f t="shared" si="50"/>
        <v>40150</v>
      </c>
      <c r="DQ20">
        <f>_xlfn.XLOOKUP(B20,'[12]february-2026'!$A:$A,'[12]february-2026'!$C:$C,0,0)</f>
        <v>34500</v>
      </c>
      <c r="DR20">
        <f t="shared" si="51"/>
        <v>6210</v>
      </c>
      <c r="DS20">
        <f t="shared" si="52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3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4"/>
        <v>200</v>
      </c>
      <c r="DZ20">
        <f t="shared" si="55"/>
        <v>40150</v>
      </c>
      <c r="EA20">
        <f>_xlfn.XLOOKUP(B20,'[1]march-2025'!$A:$A,'[1]march-2025'!$J:$J,0,0)</f>
        <v>0</v>
      </c>
      <c r="EB20">
        <f>_xlfn.XLOOKUP(B20,'[2]april-2025'!$A:$A,'[2]april-2025'!$J:$J,0,0)</f>
        <v>0</v>
      </c>
      <c r="EC20">
        <f>_xlfn.XLOOKUP(B20,'[3]may-2025'!$A:$A,'[3]may-2025'!$J:$J,0,0)</f>
        <v>0</v>
      </c>
      <c r="ED20">
        <f>_xlfn.XLOOKUP(B20,'[4]june-2025'!$A:$A,'[4]june-2025'!$J:$J,0,0)</f>
        <v>0</v>
      </c>
      <c r="EE20">
        <f>_xlfn.XLOOKUP(B20,'[5]july-2025'!$A:$A,'[5]july-2025'!$J:$J,0,0)</f>
        <v>0</v>
      </c>
      <c r="EF20">
        <f>_xlfn.XLOOKUP(B20,'[6]august-2025'!$A:$A,'[6]august-2025'!$J:$J,0,0)</f>
        <v>0</v>
      </c>
      <c r="EG20">
        <f>_xlfn.XLOOKUP(B20,'[7]september-2025'!$A:$A,'[7]september-2025'!$J:$J,0,0)</f>
        <v>0</v>
      </c>
      <c r="EH20">
        <f>_xlfn.XLOOKUP(B20,'[8]october-2025'!$A:$A,'[8]october-2025'!$J:$J,0,0)</f>
        <v>0</v>
      </c>
      <c r="EI20">
        <f>_xlfn.XLOOKUP(C20,'[9]november-2025'!$A:$A,'[9]november-2025'!$J:$J,0,0)</f>
        <v>0</v>
      </c>
      <c r="EJ20">
        <f>_xlfn.XLOOKUP(B20,'[10]december-2025'!$A:$A,'[10]december-2025'!$J:$J,0,0)</f>
        <v>0</v>
      </c>
      <c r="EK20">
        <f>_xlfn.XLOOKUP(B20,'[11]january-2026'!$A:$A,'[11]january-2026'!$J:$J,0,0)</f>
        <v>0</v>
      </c>
      <c r="EL20">
        <f>_xlfn.XLOOKUP(B20,'[12]february-2026'!$A:$A,'[12]february-2026'!$J:$J,0,0)</f>
        <v>0</v>
      </c>
      <c r="EM20">
        <f t="shared" si="106"/>
        <v>0</v>
      </c>
      <c r="EN20">
        <f t="shared" si="56"/>
        <v>544460</v>
      </c>
      <c r="EO20">
        <f t="shared" si="57"/>
        <v>2400</v>
      </c>
      <c r="EP20">
        <f t="shared" si="58"/>
        <v>50000</v>
      </c>
      <c r="EQ20">
        <v>0</v>
      </c>
      <c r="ER20">
        <f t="shared" si="107"/>
        <v>492060</v>
      </c>
      <c r="ES20">
        <f t="shared" si="59"/>
        <v>60000</v>
      </c>
      <c r="ET20">
        <f t="shared" si="60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1"/>
        <v>60000</v>
      </c>
      <c r="FF20">
        <f t="shared" si="62"/>
        <v>60000</v>
      </c>
      <c r="FG20">
        <f t="shared" si="63"/>
        <v>432060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4"/>
        <v>0</v>
      </c>
      <c r="FP20">
        <f t="shared" si="65"/>
        <v>432060</v>
      </c>
      <c r="FQ20">
        <f t="shared" si="66"/>
        <v>9103</v>
      </c>
      <c r="FR20">
        <f t="shared" si="67"/>
        <v>0</v>
      </c>
      <c r="FS20">
        <f t="shared" si="68"/>
        <v>9103</v>
      </c>
      <c r="FT20">
        <f t="shared" si="69"/>
        <v>0</v>
      </c>
      <c r="FU20">
        <f t="shared" si="70"/>
        <v>0</v>
      </c>
      <c r="FV20">
        <f t="shared" si="71"/>
        <v>0</v>
      </c>
      <c r="FW20">
        <v>0</v>
      </c>
      <c r="FX20">
        <f t="shared" si="72"/>
        <v>0</v>
      </c>
      <c r="FY20" t="b">
        <f t="shared" si="73"/>
        <v>1</v>
      </c>
      <c r="FZ20">
        <f t="shared" ca="1" si="74"/>
        <v>718</v>
      </c>
      <c r="GA20">
        <f t="shared" ca="1" si="75"/>
        <v>545178</v>
      </c>
      <c r="GB20">
        <f t="shared" si="76"/>
        <v>75000</v>
      </c>
      <c r="GC20">
        <f t="shared" ca="1" si="77"/>
        <v>470178</v>
      </c>
      <c r="GD20">
        <f t="shared" ca="1" si="78"/>
        <v>0</v>
      </c>
      <c r="GE20">
        <f t="shared" ca="1" si="79"/>
        <v>0</v>
      </c>
      <c r="GF20">
        <f t="shared" ca="1" si="80"/>
        <v>0</v>
      </c>
      <c r="GG20">
        <f t="shared" ca="1" si="81"/>
        <v>0</v>
      </c>
      <c r="GH20">
        <f t="shared" ca="1" si="82"/>
        <v>0</v>
      </c>
      <c r="GI20">
        <f t="shared" ca="1" si="83"/>
        <v>0</v>
      </c>
      <c r="GJ20">
        <f t="shared" ca="1" si="84"/>
        <v>0</v>
      </c>
      <c r="GK20">
        <f t="shared" ca="1" si="85"/>
        <v>0</v>
      </c>
      <c r="GL20">
        <f t="shared" ca="1" si="86"/>
        <v>0</v>
      </c>
      <c r="GM20">
        <f t="shared" ca="1" si="87"/>
        <v>0</v>
      </c>
      <c r="GN20">
        <f t="shared" ca="1" si="88"/>
        <v>70178</v>
      </c>
      <c r="GO20">
        <f t="shared" ca="1" si="89"/>
        <v>3508.9</v>
      </c>
      <c r="GP20">
        <f t="shared" ca="1" si="90"/>
        <v>3509</v>
      </c>
      <c r="GQ20">
        <f t="shared" ca="1" si="91"/>
        <v>0</v>
      </c>
      <c r="GR20">
        <f t="shared" ca="1" si="92"/>
        <v>0</v>
      </c>
      <c r="GS20">
        <f t="shared" ca="1" si="93"/>
        <v>3509</v>
      </c>
      <c r="GT20">
        <f t="shared" ca="1" si="94"/>
        <v>0</v>
      </c>
      <c r="GU20" t="b">
        <f t="shared" ca="1" si="95"/>
        <v>0</v>
      </c>
      <c r="GV20">
        <f t="shared" ca="1" si="96"/>
        <v>0</v>
      </c>
      <c r="GW20">
        <f t="shared" ca="1" si="97"/>
        <v>3509</v>
      </c>
      <c r="GX20">
        <f t="shared" ca="1" si="98"/>
        <v>0</v>
      </c>
      <c r="GY20">
        <f t="shared" ca="1" si="99"/>
        <v>0</v>
      </c>
      <c r="GZ20">
        <f t="shared" ca="1" si="100"/>
        <v>0</v>
      </c>
    </row>
    <row r="21" spans="1:208" x14ac:dyDescent="0.3">
      <c r="A21">
        <f>_xlfn.AGGREGATE(3,5,$B$2:B21)</f>
        <v>20</v>
      </c>
      <c r="B21" t="s">
        <v>160</v>
      </c>
      <c r="C21" t="s">
        <v>974</v>
      </c>
      <c r="D21" t="s">
        <v>752</v>
      </c>
      <c r="E21" t="s">
        <v>830</v>
      </c>
      <c r="F21" t="s">
        <v>956</v>
      </c>
      <c r="G21" t="s">
        <v>880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1"/>
        <v>150</v>
      </c>
      <c r="S21">
        <f t="shared" si="102"/>
        <v>34764</v>
      </c>
      <c r="T21">
        <f>_xlfn.XLOOKUP(B21,'[2]april-2025'!$A:$A,'[2]april-2025'!$C:$C,0,0)</f>
        <v>28900</v>
      </c>
      <c r="U21">
        <f t="shared" si="4"/>
        <v>5202</v>
      </c>
      <c r="V21">
        <f t="shared" si="5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103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6"/>
        <v>150</v>
      </c>
      <c r="AC21">
        <f t="shared" si="7"/>
        <v>35920</v>
      </c>
      <c r="AD21">
        <f>_xlfn.XLOOKUP(B21,'[3]may-2025'!$A:$A,'[3]may-2025'!$C:$C,0,0)</f>
        <v>28900</v>
      </c>
      <c r="AE21">
        <f t="shared" si="8"/>
        <v>5202</v>
      </c>
      <c r="AF21">
        <f t="shared" si="9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04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0"/>
        <v>150</v>
      </c>
      <c r="AM21">
        <f t="shared" si="11"/>
        <v>35920</v>
      </c>
      <c r="AN21">
        <f>_xlfn.XLOOKUP(B21,'[4]june-2025'!$A:$A,'[4]june-2025'!$C:$C,0,0)</f>
        <v>28900</v>
      </c>
      <c r="AO21">
        <f t="shared" si="12"/>
        <v>5202</v>
      </c>
      <c r="AP21">
        <f t="shared" si="13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05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4"/>
        <v>150</v>
      </c>
      <c r="AW21">
        <f t="shared" si="15"/>
        <v>35920</v>
      </c>
      <c r="AX21">
        <f>_xlfn.XLOOKUP(B21,'[5]july-2025'!$A:$A,'[5]july-2025'!$C:$C,0,0)</f>
        <v>29800</v>
      </c>
      <c r="AY21">
        <f t="shared" si="16"/>
        <v>5364</v>
      </c>
      <c r="AZ21">
        <v>0</v>
      </c>
      <c r="BA21">
        <f t="shared" si="17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18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19"/>
        <v>150</v>
      </c>
      <c r="BH21">
        <f t="shared" si="20"/>
        <v>37090</v>
      </c>
      <c r="BI21">
        <f>_xlfn.XLOOKUP(B21,'[6]august-2025'!$A:$A,'[6]august-2025'!$C:$C,0,0)</f>
        <v>29800</v>
      </c>
      <c r="BJ21">
        <f t="shared" si="21"/>
        <v>5364</v>
      </c>
      <c r="BK21">
        <f t="shared" si="22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3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4"/>
        <v>150</v>
      </c>
      <c r="BR21">
        <f t="shared" si="25"/>
        <v>37090</v>
      </c>
      <c r="BS21">
        <f>_xlfn.XLOOKUP(B21,'[7]september-2025'!$A:$A,'[7]september-2025'!$C:$C,0,0)</f>
        <v>29800</v>
      </c>
      <c r="BT21">
        <f t="shared" si="26"/>
        <v>5364</v>
      </c>
      <c r="BU21">
        <f t="shared" si="27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28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29"/>
        <v>150</v>
      </c>
      <c r="CB21">
        <f t="shared" si="30"/>
        <v>37090</v>
      </c>
      <c r="CC21">
        <f>_xlfn.XLOOKUP(B21,'[8]october-2025'!$A:$A,'[8]october-2025'!$C:$C,0,0)</f>
        <v>29800</v>
      </c>
      <c r="CD21">
        <f t="shared" si="31"/>
        <v>5364</v>
      </c>
      <c r="CE21">
        <f t="shared" si="32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3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4"/>
        <v>150</v>
      </c>
      <c r="CL21">
        <f t="shared" si="35"/>
        <v>37090</v>
      </c>
      <c r="CM21">
        <f>_xlfn.XLOOKUP(B21,'[9]november-2025'!$A:$A,'[9]november-2025'!$C:$C,0,0)</f>
        <v>29800</v>
      </c>
      <c r="CN21">
        <f t="shared" si="36"/>
        <v>5364</v>
      </c>
      <c r="CO21">
        <f t="shared" si="37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38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39"/>
        <v>150</v>
      </c>
      <c r="CV21">
        <f t="shared" si="40"/>
        <v>37090</v>
      </c>
      <c r="CW21">
        <f>_xlfn.XLOOKUP(B21,'[10]december-2025'!$A:$A,'[10]december-2025'!$C:$C,0,0)</f>
        <v>29800</v>
      </c>
      <c r="CX21">
        <f t="shared" si="41"/>
        <v>5364</v>
      </c>
      <c r="CY21">
        <f t="shared" si="42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3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4"/>
        <v>150</v>
      </c>
      <c r="DF21">
        <f t="shared" si="45"/>
        <v>37090</v>
      </c>
      <c r="DG21">
        <f>_xlfn.XLOOKUP(B21,'[11]january-2026'!$A:$A,'[11]january-2026'!$C:$C,0,0)</f>
        <v>29800</v>
      </c>
      <c r="DH21">
        <f t="shared" si="46"/>
        <v>5364</v>
      </c>
      <c r="DI21">
        <f t="shared" si="47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48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49"/>
        <v>150</v>
      </c>
      <c r="DP21">
        <f t="shared" si="50"/>
        <v>37090</v>
      </c>
      <c r="DQ21">
        <f>_xlfn.XLOOKUP(B21,'[12]february-2026'!$A:$A,'[12]february-2026'!$C:$C,0,0)</f>
        <v>29800</v>
      </c>
      <c r="DR21">
        <f t="shared" si="51"/>
        <v>5364</v>
      </c>
      <c r="DS21">
        <f t="shared" si="52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3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4"/>
        <v>150</v>
      </c>
      <c r="DZ21">
        <f t="shared" si="55"/>
        <v>37090</v>
      </c>
      <c r="EA21">
        <f>_xlfn.XLOOKUP(B21,'[1]march-2025'!$A:$A,'[1]march-2025'!$J:$J,0,0)</f>
        <v>0</v>
      </c>
      <c r="EB21">
        <f>_xlfn.XLOOKUP(B21,'[2]april-2025'!$A:$A,'[2]april-2025'!$J:$J,0,0)</f>
        <v>0</v>
      </c>
      <c r="EC21">
        <f>_xlfn.XLOOKUP(B21,'[3]may-2025'!$A:$A,'[3]may-2025'!$J:$J,0,0)</f>
        <v>60294</v>
      </c>
      <c r="ED21">
        <f>_xlfn.XLOOKUP(B21,'[4]june-2025'!$A:$A,'[4]june-2025'!$J:$J,0,0)</f>
        <v>0</v>
      </c>
      <c r="EE21">
        <f>_xlfn.XLOOKUP(B21,'[5]july-2025'!$A:$A,'[5]july-2025'!$J:$J,0,0)</f>
        <v>0</v>
      </c>
      <c r="EF21">
        <f>_xlfn.XLOOKUP(B21,'[6]august-2025'!$A:$A,'[6]august-2025'!$J:$J,0,0)</f>
        <v>0</v>
      </c>
      <c r="EG21">
        <f>_xlfn.XLOOKUP(B21,'[7]september-2025'!$A:$A,'[7]september-2025'!$J:$J,0,0)</f>
        <v>0</v>
      </c>
      <c r="EH21">
        <f>_xlfn.XLOOKUP(B21,'[8]october-2025'!$A:$A,'[8]october-2025'!$J:$J,0,0)</f>
        <v>0</v>
      </c>
      <c r="EI21">
        <f>_xlfn.XLOOKUP(C21,'[9]november-2025'!$A:$A,'[9]november-2025'!$J:$J,0,0)</f>
        <v>0</v>
      </c>
      <c r="EJ21">
        <f>_xlfn.XLOOKUP(B21,'[10]december-2025'!$A:$A,'[10]december-2025'!$J:$J,0,0)</f>
        <v>0</v>
      </c>
      <c r="EK21">
        <f>_xlfn.XLOOKUP(B21,'[11]january-2026'!$A:$A,'[11]january-2026'!$J:$J,0,0)</f>
        <v>0</v>
      </c>
      <c r="EL21">
        <f>_xlfn.XLOOKUP(B21,'[12]february-2026'!$A:$A,'[12]february-2026'!$J:$J,0,0)</f>
        <v>0</v>
      </c>
      <c r="EM21">
        <f t="shared" si="106"/>
        <v>60294</v>
      </c>
      <c r="EN21">
        <f t="shared" si="56"/>
        <v>471844</v>
      </c>
      <c r="EO21">
        <f t="shared" si="57"/>
        <v>1800</v>
      </c>
      <c r="EP21">
        <f t="shared" si="58"/>
        <v>50000</v>
      </c>
      <c r="EQ21">
        <v>0</v>
      </c>
      <c r="ER21">
        <f t="shared" si="107"/>
        <v>480338</v>
      </c>
      <c r="ES21">
        <f t="shared" si="59"/>
        <v>24000</v>
      </c>
      <c r="ET21">
        <f t="shared" si="60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1"/>
        <v>24000</v>
      </c>
      <c r="FF21">
        <f t="shared" si="62"/>
        <v>24000</v>
      </c>
      <c r="FG21">
        <f t="shared" si="63"/>
        <v>456338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4"/>
        <v>0</v>
      </c>
      <c r="FP21">
        <f t="shared" si="65"/>
        <v>456338</v>
      </c>
      <c r="FQ21">
        <f t="shared" si="66"/>
        <v>10317</v>
      </c>
      <c r="FR21">
        <f t="shared" si="67"/>
        <v>0</v>
      </c>
      <c r="FS21">
        <f t="shared" si="68"/>
        <v>10317</v>
      </c>
      <c r="FT21">
        <f t="shared" si="69"/>
        <v>0</v>
      </c>
      <c r="FU21">
        <f t="shared" si="70"/>
        <v>0</v>
      </c>
      <c r="FV21">
        <f t="shared" si="71"/>
        <v>0</v>
      </c>
      <c r="FW21">
        <v>0</v>
      </c>
      <c r="FX21">
        <f t="shared" si="72"/>
        <v>0</v>
      </c>
      <c r="FY21" t="b">
        <f t="shared" si="73"/>
        <v>0</v>
      </c>
      <c r="FZ21">
        <f t="shared" ca="1" si="74"/>
        <v>1674</v>
      </c>
      <c r="GA21">
        <f t="shared" ca="1" si="75"/>
        <v>473518</v>
      </c>
      <c r="GB21">
        <f t="shared" si="76"/>
        <v>75000</v>
      </c>
      <c r="GC21">
        <f t="shared" ca="1" si="77"/>
        <v>398518</v>
      </c>
      <c r="GD21">
        <f t="shared" ca="1" si="78"/>
        <v>0</v>
      </c>
      <c r="GE21">
        <f t="shared" ca="1" si="79"/>
        <v>0</v>
      </c>
      <c r="GF21">
        <f t="shared" ca="1" si="80"/>
        <v>0</v>
      </c>
      <c r="GG21">
        <f t="shared" ca="1" si="81"/>
        <v>0</v>
      </c>
      <c r="GH21">
        <f t="shared" ca="1" si="82"/>
        <v>0</v>
      </c>
      <c r="GI21">
        <f t="shared" ca="1" si="83"/>
        <v>0</v>
      </c>
      <c r="GJ21">
        <f t="shared" ca="1" si="84"/>
        <v>0</v>
      </c>
      <c r="GK21">
        <f t="shared" ca="1" si="85"/>
        <v>0</v>
      </c>
      <c r="GL21">
        <f t="shared" ca="1" si="86"/>
        <v>0</v>
      </c>
      <c r="GM21">
        <f t="shared" ca="1" si="87"/>
        <v>0</v>
      </c>
      <c r="GN21">
        <f t="shared" ca="1" si="88"/>
        <v>0</v>
      </c>
      <c r="GO21">
        <f t="shared" ca="1" si="89"/>
        <v>0</v>
      </c>
      <c r="GP21">
        <f t="shared" ca="1" si="90"/>
        <v>0</v>
      </c>
      <c r="GQ21">
        <f t="shared" ca="1" si="91"/>
        <v>0</v>
      </c>
      <c r="GR21">
        <f t="shared" ca="1" si="92"/>
        <v>0</v>
      </c>
      <c r="GS21">
        <f t="shared" ca="1" si="93"/>
        <v>0</v>
      </c>
      <c r="GT21">
        <f t="shared" ca="1" si="94"/>
        <v>0</v>
      </c>
      <c r="GU21" t="b">
        <f t="shared" ca="1" si="95"/>
        <v>0</v>
      </c>
      <c r="GV21">
        <f t="shared" ca="1" si="96"/>
        <v>0</v>
      </c>
      <c r="GW21">
        <f t="shared" ca="1" si="97"/>
        <v>0</v>
      </c>
      <c r="GX21">
        <f t="shared" ca="1" si="98"/>
        <v>0</v>
      </c>
      <c r="GY21">
        <f t="shared" ca="1" si="99"/>
        <v>0</v>
      </c>
      <c r="GZ21">
        <f t="shared" ca="1" si="100"/>
        <v>0</v>
      </c>
    </row>
    <row r="22" spans="1:208" x14ac:dyDescent="0.3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956</v>
      </c>
      <c r="G22" t="s">
        <v>886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1"/>
        <v>200</v>
      </c>
      <c r="S22">
        <f t="shared" si="102"/>
        <v>57288</v>
      </c>
      <c r="T22">
        <f>_xlfn.XLOOKUP(B22,'[2]april-2025'!$A:$A,'[2]april-2025'!$C:$C,0,0)</f>
        <v>48800</v>
      </c>
      <c r="U22">
        <f t="shared" si="4"/>
        <v>8784</v>
      </c>
      <c r="V22">
        <f t="shared" si="5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103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6"/>
        <v>200</v>
      </c>
      <c r="AC22">
        <f t="shared" si="7"/>
        <v>59240</v>
      </c>
      <c r="AD22">
        <f>_xlfn.XLOOKUP(B22,'[3]may-2025'!$A:$A,'[3]may-2025'!$C:$C,0,0)</f>
        <v>48800</v>
      </c>
      <c r="AE22">
        <f t="shared" si="8"/>
        <v>8784</v>
      </c>
      <c r="AF22">
        <f t="shared" si="9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04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0"/>
        <v>200</v>
      </c>
      <c r="AM22">
        <f t="shared" si="11"/>
        <v>59240</v>
      </c>
      <c r="AN22">
        <f>_xlfn.XLOOKUP(B22,'[4]june-2025'!$A:$A,'[4]june-2025'!$C:$C,0,0)</f>
        <v>48800</v>
      </c>
      <c r="AO22">
        <f t="shared" si="12"/>
        <v>8784</v>
      </c>
      <c r="AP22">
        <f t="shared" si="13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05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4"/>
        <v>200</v>
      </c>
      <c r="AW22">
        <f t="shared" si="15"/>
        <v>59240</v>
      </c>
      <c r="AX22">
        <f>_xlfn.XLOOKUP(B22,'[5]july-2025'!$A:$A,'[5]july-2025'!$C:$C,0,0)</f>
        <v>50300</v>
      </c>
      <c r="AY22">
        <f t="shared" si="16"/>
        <v>9054</v>
      </c>
      <c r="AZ22">
        <v>0</v>
      </c>
      <c r="BA22">
        <f t="shared" si="17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18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19"/>
        <v>200</v>
      </c>
      <c r="BH22">
        <f t="shared" si="20"/>
        <v>61190</v>
      </c>
      <c r="BI22">
        <f>_xlfn.XLOOKUP(B22,'[6]august-2025'!$A:$A,'[6]august-2025'!$C:$C,0,0)</f>
        <v>50300</v>
      </c>
      <c r="BJ22">
        <f t="shared" si="21"/>
        <v>9054</v>
      </c>
      <c r="BK22">
        <f t="shared" si="22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3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4"/>
        <v>200</v>
      </c>
      <c r="BR22">
        <f t="shared" si="25"/>
        <v>61190</v>
      </c>
      <c r="BS22">
        <f>_xlfn.XLOOKUP(B22,'[7]september-2025'!$A:$A,'[7]september-2025'!$C:$C,0,0)</f>
        <v>50300</v>
      </c>
      <c r="BT22">
        <f t="shared" si="26"/>
        <v>9054</v>
      </c>
      <c r="BU22">
        <f t="shared" si="27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28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29"/>
        <v>200</v>
      </c>
      <c r="CB22">
        <f t="shared" si="30"/>
        <v>61190</v>
      </c>
      <c r="CC22">
        <f>_xlfn.XLOOKUP(B22,'[8]october-2025'!$A:$A,'[8]october-2025'!$C:$C,0,0)</f>
        <v>50300</v>
      </c>
      <c r="CD22">
        <f t="shared" si="31"/>
        <v>9054</v>
      </c>
      <c r="CE22">
        <f t="shared" si="32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3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4"/>
        <v>200</v>
      </c>
      <c r="CL22">
        <f t="shared" si="35"/>
        <v>61190</v>
      </c>
      <c r="CM22">
        <f>_xlfn.XLOOKUP(B22,'[9]november-2025'!$A:$A,'[9]november-2025'!$C:$C,0,0)</f>
        <v>50300</v>
      </c>
      <c r="CN22">
        <f t="shared" si="36"/>
        <v>9054</v>
      </c>
      <c r="CO22">
        <f t="shared" si="37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38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39"/>
        <v>200</v>
      </c>
      <c r="CV22">
        <f t="shared" si="40"/>
        <v>61690</v>
      </c>
      <c r="CW22">
        <f>_xlfn.XLOOKUP(B22,'[10]december-2025'!$A:$A,'[10]december-2025'!$C:$C,0,0)</f>
        <v>50300</v>
      </c>
      <c r="CX22">
        <f t="shared" si="41"/>
        <v>9054</v>
      </c>
      <c r="CY22">
        <f t="shared" si="42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3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4"/>
        <v>200</v>
      </c>
      <c r="DF22">
        <f t="shared" si="45"/>
        <v>61690</v>
      </c>
      <c r="DG22">
        <f>_xlfn.XLOOKUP(B22,'[11]january-2026'!$A:$A,'[11]january-2026'!$C:$C,0,0)</f>
        <v>50300</v>
      </c>
      <c r="DH22">
        <f t="shared" si="46"/>
        <v>9054</v>
      </c>
      <c r="DI22">
        <f t="shared" si="47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48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49"/>
        <v>200</v>
      </c>
      <c r="DP22">
        <f t="shared" si="50"/>
        <v>61690</v>
      </c>
      <c r="DQ22">
        <f>_xlfn.XLOOKUP(B22,'[12]february-2026'!$A:$A,'[12]february-2026'!$C:$C,0,0)</f>
        <v>50300</v>
      </c>
      <c r="DR22">
        <f t="shared" si="51"/>
        <v>9054</v>
      </c>
      <c r="DS22">
        <f t="shared" si="52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3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4"/>
        <v>200</v>
      </c>
      <c r="DZ22">
        <f t="shared" si="55"/>
        <v>61690</v>
      </c>
      <c r="EA22">
        <f>_xlfn.XLOOKUP(B22,'[1]march-2025'!$A:$A,'[1]march-2025'!$J:$J,0,0)</f>
        <v>0</v>
      </c>
      <c r="EB22">
        <f>_xlfn.XLOOKUP(B22,'[2]april-2025'!$A:$A,'[2]april-2025'!$J:$J,0,0)</f>
        <v>0</v>
      </c>
      <c r="EC22">
        <f>_xlfn.XLOOKUP(B22,'[3]may-2025'!$A:$A,'[3]may-2025'!$J:$J,0,0)</f>
        <v>0</v>
      </c>
      <c r="ED22">
        <f>_xlfn.XLOOKUP(B22,'[4]june-2025'!$A:$A,'[4]june-2025'!$J:$J,0,0)</f>
        <v>0</v>
      </c>
      <c r="EE22">
        <f>_xlfn.XLOOKUP(B22,'[5]july-2025'!$A:$A,'[5]july-2025'!$J:$J,0,0)</f>
        <v>0</v>
      </c>
      <c r="EF22">
        <f>_xlfn.XLOOKUP(B22,'[6]august-2025'!$A:$A,'[6]august-2025'!$J:$J,0,0)</f>
        <v>0</v>
      </c>
      <c r="EG22">
        <f>_xlfn.XLOOKUP(B22,'[7]september-2025'!$A:$A,'[7]september-2025'!$J:$J,0,0)</f>
        <v>0</v>
      </c>
      <c r="EH22">
        <f>_xlfn.XLOOKUP(B22,'[8]october-2025'!$A:$A,'[8]october-2025'!$J:$J,0,0)</f>
        <v>0</v>
      </c>
      <c r="EI22">
        <f>_xlfn.XLOOKUP(C22,'[9]november-2025'!$A:$A,'[9]november-2025'!$J:$J,0,0)</f>
        <v>0</v>
      </c>
      <c r="EJ22">
        <f>_xlfn.XLOOKUP(B22,'[10]december-2025'!$A:$A,'[10]december-2025'!$J:$J,0,0)</f>
        <v>0</v>
      </c>
      <c r="EK22">
        <f>_xlfn.XLOOKUP(B22,'[11]january-2026'!$A:$A,'[11]january-2026'!$J:$J,0,0)</f>
        <v>0</v>
      </c>
      <c r="EL22">
        <f>_xlfn.XLOOKUP(B22,'[12]february-2026'!$A:$A,'[12]february-2026'!$J:$J,0,0)</f>
        <v>0</v>
      </c>
      <c r="EM22">
        <f t="shared" si="106"/>
        <v>0</v>
      </c>
      <c r="EN22">
        <f t="shared" si="56"/>
        <v>783728</v>
      </c>
      <c r="EO22">
        <f t="shared" si="57"/>
        <v>2400</v>
      </c>
      <c r="EP22">
        <f t="shared" si="58"/>
        <v>50000</v>
      </c>
      <c r="EQ22">
        <v>0</v>
      </c>
      <c r="ER22">
        <f t="shared" si="107"/>
        <v>731328</v>
      </c>
      <c r="ES22">
        <f t="shared" si="59"/>
        <v>48000</v>
      </c>
      <c r="ET22">
        <f t="shared" si="60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1"/>
        <v>48000</v>
      </c>
      <c r="FF22">
        <f t="shared" si="62"/>
        <v>48000</v>
      </c>
      <c r="FG22">
        <f t="shared" si="63"/>
        <v>683328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4"/>
        <v>0</v>
      </c>
      <c r="FP22">
        <f t="shared" si="65"/>
        <v>683328</v>
      </c>
      <c r="FQ22">
        <f t="shared" si="66"/>
        <v>12500</v>
      </c>
      <c r="FR22">
        <f t="shared" si="67"/>
        <v>36666</v>
      </c>
      <c r="FS22">
        <f t="shared" si="68"/>
        <v>49166</v>
      </c>
      <c r="FT22">
        <f t="shared" si="69"/>
        <v>49166</v>
      </c>
      <c r="FU22">
        <f t="shared" si="70"/>
        <v>1966.64</v>
      </c>
      <c r="FV22">
        <f t="shared" si="71"/>
        <v>51133</v>
      </c>
      <c r="FW22">
        <v>0</v>
      </c>
      <c r="FX22">
        <f t="shared" si="72"/>
        <v>51133</v>
      </c>
      <c r="FY22" t="b">
        <f t="shared" si="73"/>
        <v>1</v>
      </c>
      <c r="FZ22">
        <f t="shared" ca="1" si="74"/>
        <v>905</v>
      </c>
      <c r="GA22">
        <f t="shared" ca="1" si="75"/>
        <v>784633</v>
      </c>
      <c r="GB22">
        <f t="shared" si="76"/>
        <v>75000</v>
      </c>
      <c r="GC22">
        <f t="shared" ca="1" si="77"/>
        <v>709633</v>
      </c>
      <c r="GD22">
        <f t="shared" ca="1" si="78"/>
        <v>0</v>
      </c>
      <c r="GE22">
        <f t="shared" ca="1" si="79"/>
        <v>0</v>
      </c>
      <c r="GF22">
        <f t="shared" ca="1" si="80"/>
        <v>0</v>
      </c>
      <c r="GG22">
        <f t="shared" ca="1" si="81"/>
        <v>0</v>
      </c>
      <c r="GH22">
        <f t="shared" ca="1" si="82"/>
        <v>0</v>
      </c>
      <c r="GI22">
        <f t="shared" ca="1" si="83"/>
        <v>0</v>
      </c>
      <c r="GJ22">
        <f t="shared" ca="1" si="84"/>
        <v>0</v>
      </c>
      <c r="GK22">
        <f t="shared" ca="1" si="85"/>
        <v>0</v>
      </c>
      <c r="GL22">
        <f t="shared" ca="1" si="86"/>
        <v>0</v>
      </c>
      <c r="GM22">
        <f t="shared" ca="1" si="87"/>
        <v>0</v>
      </c>
      <c r="GN22">
        <f t="shared" ca="1" si="88"/>
        <v>309633</v>
      </c>
      <c r="GO22">
        <f t="shared" ca="1" si="89"/>
        <v>15481.650000000001</v>
      </c>
      <c r="GP22">
        <f t="shared" ca="1" si="90"/>
        <v>15482</v>
      </c>
      <c r="GQ22">
        <f t="shared" ca="1" si="91"/>
        <v>0</v>
      </c>
      <c r="GR22">
        <f t="shared" ca="1" si="92"/>
        <v>0</v>
      </c>
      <c r="GS22">
        <f t="shared" ca="1" si="93"/>
        <v>15482</v>
      </c>
      <c r="GT22">
        <f t="shared" ca="1" si="94"/>
        <v>0</v>
      </c>
      <c r="GU22" t="b">
        <f t="shared" ca="1" si="95"/>
        <v>0</v>
      </c>
      <c r="GV22">
        <f t="shared" ca="1" si="96"/>
        <v>0</v>
      </c>
      <c r="GW22">
        <f t="shared" ca="1" si="97"/>
        <v>15482</v>
      </c>
      <c r="GX22">
        <f t="shared" ca="1" si="98"/>
        <v>0</v>
      </c>
      <c r="GY22">
        <f t="shared" ca="1" si="99"/>
        <v>0</v>
      </c>
      <c r="GZ22">
        <f t="shared" ca="1" si="100"/>
        <v>0</v>
      </c>
    </row>
    <row r="23" spans="1:208" x14ac:dyDescent="0.3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956</v>
      </c>
      <c r="G23" t="s">
        <v>887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1"/>
        <v>200</v>
      </c>
      <c r="S23">
        <f t="shared" si="102"/>
        <v>45302</v>
      </c>
      <c r="T23">
        <f>_xlfn.XLOOKUP(B23,'[2]april-2025'!$A:$A,'[2]april-2025'!$C:$C,0,0)</f>
        <v>37700</v>
      </c>
      <c r="U23">
        <f t="shared" si="4"/>
        <v>6786</v>
      </c>
      <c r="V23">
        <f t="shared" si="5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103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6"/>
        <v>200</v>
      </c>
      <c r="AC23">
        <f t="shared" si="7"/>
        <v>46810</v>
      </c>
      <c r="AD23">
        <f>_xlfn.XLOOKUP(B23,'[3]may-2025'!$A:$A,'[3]may-2025'!$C:$C,0,0)</f>
        <v>37700</v>
      </c>
      <c r="AE23">
        <f t="shared" si="8"/>
        <v>6786</v>
      </c>
      <c r="AF23">
        <f t="shared" si="9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04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0"/>
        <v>200</v>
      </c>
      <c r="AM23">
        <f t="shared" si="11"/>
        <v>46810</v>
      </c>
      <c r="AN23">
        <f>_xlfn.XLOOKUP(B23,'[4]june-2025'!$A:$A,'[4]june-2025'!$C:$C,0,0)</f>
        <v>37700</v>
      </c>
      <c r="AO23">
        <f t="shared" si="12"/>
        <v>6786</v>
      </c>
      <c r="AP23">
        <f t="shared" si="13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05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4"/>
        <v>200</v>
      </c>
      <c r="AW23">
        <f t="shared" si="15"/>
        <v>46810</v>
      </c>
      <c r="AX23">
        <f>_xlfn.XLOOKUP(B23,'[5]july-2025'!$A:$A,'[5]july-2025'!$C:$C,0,0)</f>
        <v>38800</v>
      </c>
      <c r="AY23">
        <f t="shared" si="16"/>
        <v>6984</v>
      </c>
      <c r="AZ23">
        <v>0</v>
      </c>
      <c r="BA23">
        <f t="shared" si="17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18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19"/>
        <v>200</v>
      </c>
      <c r="BH23">
        <f t="shared" si="20"/>
        <v>48240</v>
      </c>
      <c r="BI23">
        <f>_xlfn.XLOOKUP(B23,'[6]august-2025'!$A:$A,'[6]august-2025'!$C:$C,0,0)</f>
        <v>38800</v>
      </c>
      <c r="BJ23">
        <f t="shared" si="21"/>
        <v>6984</v>
      </c>
      <c r="BK23">
        <f t="shared" si="22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3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4"/>
        <v>200</v>
      </c>
      <c r="BR23">
        <f t="shared" si="25"/>
        <v>48240</v>
      </c>
      <c r="BS23">
        <f>_xlfn.XLOOKUP(B23,'[7]september-2025'!$A:$A,'[7]september-2025'!$C:$C,0,0)</f>
        <v>38800</v>
      </c>
      <c r="BT23">
        <f t="shared" si="26"/>
        <v>6984</v>
      </c>
      <c r="BU23">
        <f t="shared" si="27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28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29"/>
        <v>200</v>
      </c>
      <c r="CB23">
        <f t="shared" si="30"/>
        <v>48240</v>
      </c>
      <c r="CC23">
        <f>_xlfn.XLOOKUP(B23,'[8]october-2025'!$A:$A,'[8]october-2025'!$C:$C,0,0)</f>
        <v>38800</v>
      </c>
      <c r="CD23">
        <f t="shared" si="31"/>
        <v>6984</v>
      </c>
      <c r="CE23">
        <f t="shared" si="32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3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4"/>
        <v>200</v>
      </c>
      <c r="CL23">
        <f t="shared" si="35"/>
        <v>48240</v>
      </c>
      <c r="CM23">
        <f>_xlfn.XLOOKUP(B23,'[9]november-2025'!$A:$A,'[9]november-2025'!$C:$C,0,0)</f>
        <v>38800</v>
      </c>
      <c r="CN23">
        <f t="shared" si="36"/>
        <v>6984</v>
      </c>
      <c r="CO23">
        <f t="shared" si="37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38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39"/>
        <v>200</v>
      </c>
      <c r="CV23">
        <f t="shared" si="40"/>
        <v>48240</v>
      </c>
      <c r="CW23">
        <f>_xlfn.XLOOKUP(B23,'[10]december-2025'!$A:$A,'[10]december-2025'!$C:$C,0,0)</f>
        <v>38800</v>
      </c>
      <c r="CX23">
        <f t="shared" si="41"/>
        <v>6984</v>
      </c>
      <c r="CY23">
        <f t="shared" si="42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3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4"/>
        <v>200</v>
      </c>
      <c r="DF23">
        <f t="shared" si="45"/>
        <v>48240</v>
      </c>
      <c r="DG23">
        <f>_xlfn.XLOOKUP(B23,'[11]january-2026'!$A:$A,'[11]january-2026'!$C:$C,0,0)</f>
        <v>38800</v>
      </c>
      <c r="DH23">
        <f t="shared" si="46"/>
        <v>6984</v>
      </c>
      <c r="DI23">
        <f t="shared" si="47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48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49"/>
        <v>200</v>
      </c>
      <c r="DP23">
        <f t="shared" si="50"/>
        <v>48240</v>
      </c>
      <c r="DQ23">
        <f>_xlfn.XLOOKUP(B23,'[12]february-2026'!$A:$A,'[12]february-2026'!$C:$C,0,0)</f>
        <v>38800</v>
      </c>
      <c r="DR23">
        <f t="shared" si="51"/>
        <v>6984</v>
      </c>
      <c r="DS23">
        <f t="shared" si="52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3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4"/>
        <v>200</v>
      </c>
      <c r="DZ23">
        <f t="shared" si="55"/>
        <v>48240</v>
      </c>
      <c r="EA23">
        <f>_xlfn.XLOOKUP(B23,'[1]march-2025'!$A:$A,'[1]march-2025'!$J:$J,0,0)</f>
        <v>0</v>
      </c>
      <c r="EB23">
        <f>_xlfn.XLOOKUP(B23,'[2]april-2025'!$A:$A,'[2]april-2025'!$J:$J,0,0)</f>
        <v>0</v>
      </c>
      <c r="EC23">
        <f>_xlfn.XLOOKUP(B23,'[3]may-2025'!$A:$A,'[3]may-2025'!$J:$J,0,0)</f>
        <v>0</v>
      </c>
      <c r="ED23">
        <f>_xlfn.XLOOKUP(B23,'[4]june-2025'!$A:$A,'[4]june-2025'!$J:$J,0,0)</f>
        <v>0</v>
      </c>
      <c r="EE23">
        <f>_xlfn.XLOOKUP(B23,'[5]july-2025'!$A:$A,'[5]july-2025'!$J:$J,0,0)</f>
        <v>0</v>
      </c>
      <c r="EF23">
        <f>_xlfn.XLOOKUP(B23,'[6]august-2025'!$A:$A,'[6]august-2025'!$J:$J,0,0)</f>
        <v>0</v>
      </c>
      <c r="EG23">
        <f>_xlfn.XLOOKUP(B23,'[7]september-2025'!$A:$A,'[7]september-2025'!$J:$J,0,0)</f>
        <v>0</v>
      </c>
      <c r="EH23">
        <f>_xlfn.XLOOKUP(B23,'[8]october-2025'!$A:$A,'[8]october-2025'!$J:$J,0,0)</f>
        <v>0</v>
      </c>
      <c r="EI23">
        <f>_xlfn.XLOOKUP(C23,'[9]november-2025'!$A:$A,'[9]november-2025'!$J:$J,0,0)</f>
        <v>0</v>
      </c>
      <c r="EJ23">
        <f>_xlfn.XLOOKUP(B23,'[10]december-2025'!$A:$A,'[10]december-2025'!$J:$J,0,0)</f>
        <v>0</v>
      </c>
      <c r="EK23">
        <f>_xlfn.XLOOKUP(B23,'[11]january-2026'!$A:$A,'[11]january-2026'!$J:$J,0,0)</f>
        <v>0</v>
      </c>
      <c r="EL23">
        <f>_xlfn.XLOOKUP(B23,'[12]february-2026'!$A:$A,'[12]february-2026'!$J:$J,0,0)</f>
        <v>0</v>
      </c>
      <c r="EM23">
        <f t="shared" si="106"/>
        <v>0</v>
      </c>
      <c r="EN23">
        <f t="shared" si="56"/>
        <v>610852</v>
      </c>
      <c r="EO23">
        <f t="shared" si="57"/>
        <v>2400</v>
      </c>
      <c r="EP23">
        <f t="shared" si="58"/>
        <v>50000</v>
      </c>
      <c r="EQ23">
        <v>0</v>
      </c>
      <c r="ER23">
        <f t="shared" si="107"/>
        <v>558452</v>
      </c>
      <c r="ES23">
        <f t="shared" si="59"/>
        <v>30000</v>
      </c>
      <c r="ET23">
        <f t="shared" si="60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1"/>
        <v>30000</v>
      </c>
      <c r="FF23">
        <f t="shared" si="62"/>
        <v>30000</v>
      </c>
      <c r="FG23">
        <f t="shared" si="63"/>
        <v>528452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4"/>
        <v>0</v>
      </c>
      <c r="FP23">
        <f t="shared" si="65"/>
        <v>528452</v>
      </c>
      <c r="FQ23">
        <f t="shared" si="66"/>
        <v>12500</v>
      </c>
      <c r="FR23">
        <f t="shared" si="67"/>
        <v>5690</v>
      </c>
      <c r="FS23">
        <f t="shared" si="68"/>
        <v>18190</v>
      </c>
      <c r="FT23">
        <f t="shared" si="69"/>
        <v>18190</v>
      </c>
      <c r="FU23">
        <f t="shared" si="70"/>
        <v>727.6</v>
      </c>
      <c r="FV23">
        <f t="shared" si="71"/>
        <v>18918</v>
      </c>
      <c r="FW23">
        <v>0</v>
      </c>
      <c r="FX23">
        <f t="shared" si="72"/>
        <v>18918</v>
      </c>
      <c r="FY23" t="b">
        <f t="shared" si="73"/>
        <v>1</v>
      </c>
      <c r="FZ23">
        <f t="shared" ca="1" si="74"/>
        <v>904</v>
      </c>
      <c r="GA23">
        <f t="shared" ca="1" si="75"/>
        <v>611756</v>
      </c>
      <c r="GB23">
        <f t="shared" si="76"/>
        <v>75000</v>
      </c>
      <c r="GC23">
        <f t="shared" ca="1" si="77"/>
        <v>536756</v>
      </c>
      <c r="GD23">
        <f t="shared" ca="1" si="78"/>
        <v>0</v>
      </c>
      <c r="GE23">
        <f t="shared" ca="1" si="79"/>
        <v>0</v>
      </c>
      <c r="GF23">
        <f t="shared" ca="1" si="80"/>
        <v>0</v>
      </c>
      <c r="GG23">
        <f t="shared" ca="1" si="81"/>
        <v>0</v>
      </c>
      <c r="GH23">
        <f t="shared" ca="1" si="82"/>
        <v>0</v>
      </c>
      <c r="GI23">
        <f t="shared" ca="1" si="83"/>
        <v>0</v>
      </c>
      <c r="GJ23">
        <f t="shared" ca="1" si="84"/>
        <v>0</v>
      </c>
      <c r="GK23">
        <f t="shared" ca="1" si="85"/>
        <v>0</v>
      </c>
      <c r="GL23">
        <f t="shared" ca="1" si="86"/>
        <v>0</v>
      </c>
      <c r="GM23">
        <f t="shared" ca="1" si="87"/>
        <v>0</v>
      </c>
      <c r="GN23">
        <f t="shared" ca="1" si="88"/>
        <v>136756</v>
      </c>
      <c r="GO23">
        <f t="shared" ca="1" si="89"/>
        <v>6837.8</v>
      </c>
      <c r="GP23">
        <f t="shared" ca="1" si="90"/>
        <v>6838</v>
      </c>
      <c r="GQ23">
        <f t="shared" ca="1" si="91"/>
        <v>0</v>
      </c>
      <c r="GR23">
        <f t="shared" ca="1" si="92"/>
        <v>0</v>
      </c>
      <c r="GS23">
        <f t="shared" ca="1" si="93"/>
        <v>6838</v>
      </c>
      <c r="GT23">
        <f t="shared" ca="1" si="94"/>
        <v>0</v>
      </c>
      <c r="GU23" t="b">
        <f t="shared" ca="1" si="95"/>
        <v>0</v>
      </c>
      <c r="GV23">
        <f t="shared" ca="1" si="96"/>
        <v>0</v>
      </c>
      <c r="GW23">
        <f t="shared" ca="1" si="97"/>
        <v>6838</v>
      </c>
      <c r="GX23">
        <f t="shared" ca="1" si="98"/>
        <v>0</v>
      </c>
      <c r="GY23">
        <f t="shared" ca="1" si="99"/>
        <v>0</v>
      </c>
      <c r="GZ23">
        <f t="shared" ca="1" si="100"/>
        <v>0</v>
      </c>
    </row>
    <row r="24" spans="1:208" x14ac:dyDescent="0.3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956</v>
      </c>
      <c r="G24" t="s">
        <v>888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1"/>
        <v>150</v>
      </c>
      <c r="S24">
        <f t="shared" si="102"/>
        <v>34764</v>
      </c>
      <c r="T24">
        <f>_xlfn.XLOOKUP(B24,'[2]april-2025'!$A:$A,'[2]april-2025'!$C:$C,0,0)</f>
        <v>28900</v>
      </c>
      <c r="U24">
        <f t="shared" si="4"/>
        <v>5202</v>
      </c>
      <c r="V24">
        <f t="shared" si="5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103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6"/>
        <v>150</v>
      </c>
      <c r="AC24">
        <f t="shared" si="7"/>
        <v>35920</v>
      </c>
      <c r="AD24">
        <f>_xlfn.XLOOKUP(B24,'[3]may-2025'!$A:$A,'[3]may-2025'!$C:$C,0,0)</f>
        <v>28900</v>
      </c>
      <c r="AE24">
        <f t="shared" si="8"/>
        <v>5202</v>
      </c>
      <c r="AF24">
        <f t="shared" si="9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04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0"/>
        <v>150</v>
      </c>
      <c r="AM24">
        <f t="shared" si="11"/>
        <v>35920</v>
      </c>
      <c r="AN24">
        <f>_xlfn.XLOOKUP(B24,'[4]june-2025'!$A:$A,'[4]june-2025'!$C:$C,0,0)</f>
        <v>28900</v>
      </c>
      <c r="AO24">
        <f t="shared" si="12"/>
        <v>5202</v>
      </c>
      <c r="AP24">
        <f t="shared" si="13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05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4"/>
        <v>150</v>
      </c>
      <c r="AW24">
        <f t="shared" si="15"/>
        <v>35920</v>
      </c>
      <c r="AX24">
        <f>_xlfn.XLOOKUP(B24,'[5]july-2025'!$A:$A,'[5]july-2025'!$C:$C,0,0)</f>
        <v>29800</v>
      </c>
      <c r="AY24">
        <f t="shared" si="16"/>
        <v>5364</v>
      </c>
      <c r="AZ24">
        <v>0</v>
      </c>
      <c r="BA24">
        <f t="shared" si="17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18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19"/>
        <v>150</v>
      </c>
      <c r="BH24">
        <f t="shared" si="20"/>
        <v>37090</v>
      </c>
      <c r="BI24">
        <f>_xlfn.XLOOKUP(B24,'[6]august-2025'!$A:$A,'[6]august-2025'!$C:$C,0,0)</f>
        <v>29800</v>
      </c>
      <c r="BJ24">
        <f t="shared" si="21"/>
        <v>5364</v>
      </c>
      <c r="BK24">
        <f t="shared" si="22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3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4"/>
        <v>150</v>
      </c>
      <c r="BR24">
        <f t="shared" si="25"/>
        <v>37090</v>
      </c>
      <c r="BS24">
        <f>_xlfn.XLOOKUP(B24,'[7]september-2025'!$A:$A,'[7]september-2025'!$C:$C,0,0)</f>
        <v>29800</v>
      </c>
      <c r="BT24">
        <f t="shared" si="26"/>
        <v>5364</v>
      </c>
      <c r="BU24">
        <f t="shared" si="27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28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29"/>
        <v>150</v>
      </c>
      <c r="CB24">
        <f t="shared" si="30"/>
        <v>37090</v>
      </c>
      <c r="CC24">
        <f>_xlfn.XLOOKUP(B24,'[8]october-2025'!$A:$A,'[8]october-2025'!$C:$C,0,0)</f>
        <v>29800</v>
      </c>
      <c r="CD24">
        <f t="shared" si="31"/>
        <v>5364</v>
      </c>
      <c r="CE24">
        <f t="shared" si="32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3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4"/>
        <v>150</v>
      </c>
      <c r="CL24">
        <f t="shared" si="35"/>
        <v>37090</v>
      </c>
      <c r="CM24">
        <f>_xlfn.XLOOKUP(B24,'[9]november-2025'!$A:$A,'[9]november-2025'!$C:$C,0,0)</f>
        <v>29800</v>
      </c>
      <c r="CN24">
        <f t="shared" si="36"/>
        <v>5364</v>
      </c>
      <c r="CO24">
        <f t="shared" si="37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38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39"/>
        <v>150</v>
      </c>
      <c r="CV24">
        <f t="shared" si="40"/>
        <v>37090</v>
      </c>
      <c r="CW24">
        <f>_xlfn.XLOOKUP(B24,'[10]december-2025'!$A:$A,'[10]december-2025'!$C:$C,0,0)</f>
        <v>29800</v>
      </c>
      <c r="CX24">
        <f t="shared" si="41"/>
        <v>5364</v>
      </c>
      <c r="CY24">
        <f t="shared" si="42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3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4"/>
        <v>150</v>
      </c>
      <c r="DF24">
        <f t="shared" si="45"/>
        <v>37090</v>
      </c>
      <c r="DG24">
        <f>_xlfn.XLOOKUP(B24,'[11]january-2026'!$A:$A,'[11]january-2026'!$C:$C,0,0)</f>
        <v>29800</v>
      </c>
      <c r="DH24">
        <f t="shared" si="46"/>
        <v>5364</v>
      </c>
      <c r="DI24">
        <f t="shared" si="47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48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49"/>
        <v>150</v>
      </c>
      <c r="DP24">
        <f t="shared" si="50"/>
        <v>37090</v>
      </c>
      <c r="DQ24">
        <f>_xlfn.XLOOKUP(B24,'[12]february-2026'!$A:$A,'[12]february-2026'!$C:$C,0,0)</f>
        <v>29800</v>
      </c>
      <c r="DR24">
        <f t="shared" si="51"/>
        <v>5364</v>
      </c>
      <c r="DS24">
        <f t="shared" si="52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3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4"/>
        <v>150</v>
      </c>
      <c r="DZ24">
        <f t="shared" si="55"/>
        <v>37090</v>
      </c>
      <c r="EA24">
        <f>_xlfn.XLOOKUP(B24,'[1]march-2025'!$A:$A,'[1]march-2025'!$J:$J,0,0)</f>
        <v>0</v>
      </c>
      <c r="EB24">
        <f>_xlfn.XLOOKUP(B24,'[2]april-2025'!$A:$A,'[2]april-2025'!$J:$J,0,0)</f>
        <v>0</v>
      </c>
      <c r="EC24">
        <f>_xlfn.XLOOKUP(B24,'[3]may-2025'!$A:$A,'[3]may-2025'!$J:$J,0,0)</f>
        <v>60294</v>
      </c>
      <c r="ED24">
        <f>_xlfn.XLOOKUP(B24,'[4]june-2025'!$A:$A,'[4]june-2025'!$J:$J,0,0)</f>
        <v>0</v>
      </c>
      <c r="EE24">
        <f>_xlfn.XLOOKUP(B24,'[5]july-2025'!$A:$A,'[5]july-2025'!$J:$J,0,0)</f>
        <v>0</v>
      </c>
      <c r="EF24">
        <f>_xlfn.XLOOKUP(B24,'[6]august-2025'!$A:$A,'[6]august-2025'!$J:$J,0,0)</f>
        <v>0</v>
      </c>
      <c r="EG24">
        <f>_xlfn.XLOOKUP(B24,'[7]september-2025'!$A:$A,'[7]september-2025'!$J:$J,0,0)</f>
        <v>0</v>
      </c>
      <c r="EH24">
        <f>_xlfn.XLOOKUP(B24,'[8]october-2025'!$A:$A,'[8]october-2025'!$J:$J,0,0)</f>
        <v>0</v>
      </c>
      <c r="EI24">
        <f>_xlfn.XLOOKUP(C24,'[9]november-2025'!$A:$A,'[9]november-2025'!$J:$J,0,0)</f>
        <v>0</v>
      </c>
      <c r="EJ24">
        <f>_xlfn.XLOOKUP(B24,'[10]december-2025'!$A:$A,'[10]december-2025'!$J:$J,0,0)</f>
        <v>0</v>
      </c>
      <c r="EK24">
        <f>_xlfn.XLOOKUP(B24,'[11]january-2026'!$A:$A,'[11]january-2026'!$J:$J,0,0)</f>
        <v>0</v>
      </c>
      <c r="EL24">
        <f>_xlfn.XLOOKUP(B24,'[12]february-2026'!$A:$A,'[12]february-2026'!$J:$J,0,0)</f>
        <v>0</v>
      </c>
      <c r="EM24">
        <f t="shared" si="106"/>
        <v>60294</v>
      </c>
      <c r="EN24">
        <f t="shared" si="56"/>
        <v>471844</v>
      </c>
      <c r="EO24">
        <f t="shared" si="57"/>
        <v>1800</v>
      </c>
      <c r="EP24">
        <f t="shared" si="58"/>
        <v>50000</v>
      </c>
      <c r="EQ24">
        <v>0</v>
      </c>
      <c r="ER24">
        <f t="shared" si="107"/>
        <v>480338</v>
      </c>
      <c r="ES24">
        <f t="shared" si="59"/>
        <v>24000</v>
      </c>
      <c r="ET24">
        <f t="shared" si="60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1"/>
        <v>24000</v>
      </c>
      <c r="FF24">
        <f t="shared" si="62"/>
        <v>24000</v>
      </c>
      <c r="FG24">
        <f t="shared" si="63"/>
        <v>456338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4"/>
        <v>0</v>
      </c>
      <c r="FP24">
        <f t="shared" si="65"/>
        <v>456338</v>
      </c>
      <c r="FQ24">
        <f t="shared" si="66"/>
        <v>10317</v>
      </c>
      <c r="FR24">
        <f t="shared" si="67"/>
        <v>0</v>
      </c>
      <c r="FS24">
        <f t="shared" si="68"/>
        <v>10317</v>
      </c>
      <c r="FT24">
        <f t="shared" si="69"/>
        <v>0</v>
      </c>
      <c r="FU24">
        <f t="shared" si="70"/>
        <v>0</v>
      </c>
      <c r="FV24">
        <f t="shared" si="71"/>
        <v>0</v>
      </c>
      <c r="FW24">
        <v>0</v>
      </c>
      <c r="FX24">
        <f t="shared" si="72"/>
        <v>0</v>
      </c>
      <c r="FY24" t="b">
        <f t="shared" si="73"/>
        <v>0</v>
      </c>
      <c r="FZ24">
        <f t="shared" ca="1" si="74"/>
        <v>1337</v>
      </c>
      <c r="GA24">
        <f t="shared" ca="1" si="75"/>
        <v>473181</v>
      </c>
      <c r="GB24">
        <f t="shared" si="76"/>
        <v>75000</v>
      </c>
      <c r="GC24">
        <f t="shared" ca="1" si="77"/>
        <v>398181</v>
      </c>
      <c r="GD24">
        <f t="shared" ca="1" si="78"/>
        <v>0</v>
      </c>
      <c r="GE24">
        <f t="shared" ca="1" si="79"/>
        <v>0</v>
      </c>
      <c r="GF24">
        <f t="shared" ca="1" si="80"/>
        <v>0</v>
      </c>
      <c r="GG24">
        <f t="shared" ca="1" si="81"/>
        <v>0</v>
      </c>
      <c r="GH24">
        <f t="shared" ca="1" si="82"/>
        <v>0</v>
      </c>
      <c r="GI24">
        <f t="shared" ca="1" si="83"/>
        <v>0</v>
      </c>
      <c r="GJ24">
        <f t="shared" ca="1" si="84"/>
        <v>0</v>
      </c>
      <c r="GK24">
        <f t="shared" ca="1" si="85"/>
        <v>0</v>
      </c>
      <c r="GL24">
        <f t="shared" ca="1" si="86"/>
        <v>0</v>
      </c>
      <c r="GM24">
        <f t="shared" ca="1" si="87"/>
        <v>0</v>
      </c>
      <c r="GN24">
        <f t="shared" ca="1" si="88"/>
        <v>0</v>
      </c>
      <c r="GO24">
        <f t="shared" ca="1" si="89"/>
        <v>0</v>
      </c>
      <c r="GP24">
        <f t="shared" ca="1" si="90"/>
        <v>0</v>
      </c>
      <c r="GQ24">
        <f t="shared" ca="1" si="91"/>
        <v>0</v>
      </c>
      <c r="GR24">
        <f t="shared" ca="1" si="92"/>
        <v>0</v>
      </c>
      <c r="GS24">
        <f t="shared" ca="1" si="93"/>
        <v>0</v>
      </c>
      <c r="GT24">
        <f t="shared" ca="1" si="94"/>
        <v>0</v>
      </c>
      <c r="GU24" t="b">
        <f t="shared" ca="1" si="95"/>
        <v>0</v>
      </c>
      <c r="GV24">
        <f t="shared" ca="1" si="96"/>
        <v>0</v>
      </c>
      <c r="GW24">
        <f t="shared" ca="1" si="97"/>
        <v>0</v>
      </c>
      <c r="GX24">
        <f t="shared" ca="1" si="98"/>
        <v>0</v>
      </c>
      <c r="GY24">
        <f t="shared" ca="1" si="99"/>
        <v>0</v>
      </c>
      <c r="GZ24">
        <f t="shared" ca="1" si="100"/>
        <v>0</v>
      </c>
    </row>
    <row r="25" spans="1:208" x14ac:dyDescent="0.3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958</v>
      </c>
      <c r="G25" t="s">
        <v>889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1"/>
        <v>0</v>
      </c>
      <c r="S25">
        <f t="shared" si="102"/>
        <v>0</v>
      </c>
      <c r="T25">
        <f>_xlfn.XLOOKUP(B25,'[2]april-2025'!$A:$A,'[2]april-2025'!$C:$C,0,0)</f>
        <v>0</v>
      </c>
      <c r="U25">
        <f t="shared" si="4"/>
        <v>0</v>
      </c>
      <c r="V25">
        <f t="shared" si="5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103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6"/>
        <v>0</v>
      </c>
      <c r="AC25">
        <f t="shared" si="7"/>
        <v>0</v>
      </c>
      <c r="AD25">
        <f>_xlfn.XLOOKUP(B25,'[3]may-2025'!$A:$A,'[3]may-2025'!$C:$C,0,0)</f>
        <v>24700</v>
      </c>
      <c r="AE25">
        <f t="shared" si="8"/>
        <v>4446</v>
      </c>
      <c r="AF25">
        <f t="shared" si="9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04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0"/>
        <v>150</v>
      </c>
      <c r="AM25">
        <f t="shared" si="11"/>
        <v>32460</v>
      </c>
      <c r="AN25">
        <f>_xlfn.XLOOKUP(B25,'[4]june-2025'!$A:$A,'[4]june-2025'!$C:$C,0,0)</f>
        <v>24700</v>
      </c>
      <c r="AO25">
        <f t="shared" si="12"/>
        <v>4446</v>
      </c>
      <c r="AP25">
        <f t="shared" si="13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05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4"/>
        <v>150</v>
      </c>
      <c r="AW25">
        <f t="shared" si="15"/>
        <v>32460</v>
      </c>
      <c r="AX25">
        <f>_xlfn.XLOOKUP(B25,'[5]july-2025'!$A:$A,'[5]july-2025'!$C:$C,0,0)</f>
        <v>24700</v>
      </c>
      <c r="AY25">
        <f t="shared" si="16"/>
        <v>4446</v>
      </c>
      <c r="AZ25">
        <v>0</v>
      </c>
      <c r="BA25">
        <f t="shared" si="17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18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19"/>
        <v>150</v>
      </c>
      <c r="BH25">
        <f t="shared" si="20"/>
        <v>32460</v>
      </c>
      <c r="BI25">
        <f>_xlfn.XLOOKUP(B25,'[6]august-2025'!$A:$A,'[6]august-2025'!$C:$C,0,0)</f>
        <v>24700</v>
      </c>
      <c r="BJ25">
        <f t="shared" si="21"/>
        <v>4446</v>
      </c>
      <c r="BK25">
        <f t="shared" si="22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3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4"/>
        <v>150</v>
      </c>
      <c r="BR25">
        <f t="shared" si="25"/>
        <v>32460</v>
      </c>
      <c r="BS25">
        <f>_xlfn.XLOOKUP(B25,'[7]september-2025'!$A:$A,'[7]september-2025'!$C:$C,0,0)</f>
        <v>24700</v>
      </c>
      <c r="BT25">
        <f t="shared" si="26"/>
        <v>4446</v>
      </c>
      <c r="BU25">
        <f t="shared" si="27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28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29"/>
        <v>150</v>
      </c>
      <c r="CB25">
        <f t="shared" si="30"/>
        <v>32460</v>
      </c>
      <c r="CC25">
        <f>_xlfn.XLOOKUP(B25,'[8]october-2025'!$A:$A,'[8]october-2025'!$C:$C,0,0)</f>
        <v>24700</v>
      </c>
      <c r="CD25">
        <f t="shared" si="31"/>
        <v>4446</v>
      </c>
      <c r="CE25">
        <f t="shared" si="32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3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4"/>
        <v>150</v>
      </c>
      <c r="CL25">
        <f t="shared" si="35"/>
        <v>32460</v>
      </c>
      <c r="CM25">
        <f>_xlfn.XLOOKUP(B25,'[9]november-2025'!$A:$A,'[9]november-2025'!$C:$C,0,0)</f>
        <v>24700</v>
      </c>
      <c r="CN25">
        <f t="shared" si="36"/>
        <v>4446</v>
      </c>
      <c r="CO25">
        <f t="shared" si="37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38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39"/>
        <v>150</v>
      </c>
      <c r="CV25">
        <f t="shared" si="40"/>
        <v>32460</v>
      </c>
      <c r="CW25">
        <f>_xlfn.XLOOKUP(B25,'[10]december-2025'!$A:$A,'[10]december-2025'!$C:$C,0,0)</f>
        <v>24700</v>
      </c>
      <c r="CX25">
        <f t="shared" si="41"/>
        <v>4446</v>
      </c>
      <c r="CY25">
        <f t="shared" si="42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3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4"/>
        <v>150</v>
      </c>
      <c r="DF25">
        <f t="shared" si="45"/>
        <v>32460</v>
      </c>
      <c r="DG25">
        <f>_xlfn.XLOOKUP(B25,'[11]january-2026'!$A:$A,'[11]january-2026'!$C:$C,0,0)</f>
        <v>24700</v>
      </c>
      <c r="DH25">
        <f t="shared" si="46"/>
        <v>4446</v>
      </c>
      <c r="DI25">
        <f t="shared" si="47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48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49"/>
        <v>150</v>
      </c>
      <c r="DP25">
        <f t="shared" si="50"/>
        <v>30460</v>
      </c>
      <c r="DQ25">
        <f>_xlfn.XLOOKUP(B25,'[12]february-2026'!$A:$A,'[12]february-2026'!$C:$C,0,0)</f>
        <v>24700</v>
      </c>
      <c r="DR25">
        <f t="shared" si="51"/>
        <v>4446</v>
      </c>
      <c r="DS25">
        <f t="shared" si="52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3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4"/>
        <v>150</v>
      </c>
      <c r="DZ25">
        <f t="shared" si="55"/>
        <v>30460</v>
      </c>
      <c r="EA25">
        <f>_xlfn.XLOOKUP(B25,'[1]march-2025'!$A:$A,'[1]march-2025'!$J:$J,0,0)</f>
        <v>0</v>
      </c>
      <c r="EB25">
        <f>_xlfn.XLOOKUP(B25,'[2]april-2025'!$A:$A,'[2]april-2025'!$J:$J,0,0)</f>
        <v>0</v>
      </c>
      <c r="EC25">
        <f>_xlfn.XLOOKUP(B25,'[3]may-2025'!$A:$A,'[3]may-2025'!$J:$J,0,0)</f>
        <v>0</v>
      </c>
      <c r="ED25">
        <f>_xlfn.XLOOKUP(B25,'[4]june-2025'!$A:$A,'[4]june-2025'!$J:$J,0,0)</f>
        <v>0</v>
      </c>
      <c r="EE25">
        <f>_xlfn.XLOOKUP(B25,'[5]july-2025'!$A:$A,'[5]july-2025'!$J:$J,0,0)</f>
        <v>0</v>
      </c>
      <c r="EF25">
        <f>_xlfn.XLOOKUP(B25,'[6]august-2025'!$A:$A,'[6]august-2025'!$J:$J,0,0)</f>
        <v>0</v>
      </c>
      <c r="EG25">
        <f>_xlfn.XLOOKUP(B25,'[7]september-2025'!$A:$A,'[7]september-2025'!$J:$J,0,0)</f>
        <v>0</v>
      </c>
      <c r="EH25">
        <f>_xlfn.XLOOKUP(B25,'[8]october-2025'!$A:$A,'[8]october-2025'!$J:$J,0,0)</f>
        <v>0</v>
      </c>
      <c r="EI25">
        <f>_xlfn.XLOOKUP(C25,'[9]november-2025'!$A:$A,'[9]november-2025'!$J:$J,0,0)</f>
        <v>0</v>
      </c>
      <c r="EJ25">
        <f>_xlfn.XLOOKUP(B25,'[10]december-2025'!$A:$A,'[10]december-2025'!$J:$J,0,0)</f>
        <v>0</v>
      </c>
      <c r="EK25">
        <f>_xlfn.XLOOKUP(B25,'[11]january-2026'!$A:$A,'[11]january-2026'!$J:$J,0,0)</f>
        <v>0</v>
      </c>
      <c r="EL25">
        <f>_xlfn.XLOOKUP(B25,'[12]february-2026'!$A:$A,'[12]february-2026'!$J:$J,0,0)</f>
        <v>0</v>
      </c>
      <c r="EM25">
        <f t="shared" si="106"/>
        <v>0</v>
      </c>
      <c r="EN25">
        <f t="shared" si="56"/>
        <v>326100</v>
      </c>
      <c r="EO25">
        <f t="shared" si="57"/>
        <v>1500</v>
      </c>
      <c r="EP25">
        <f t="shared" si="58"/>
        <v>50000</v>
      </c>
      <c r="EQ25">
        <v>0</v>
      </c>
      <c r="ER25">
        <f t="shared" si="107"/>
        <v>274600</v>
      </c>
      <c r="ES25">
        <f t="shared" si="59"/>
        <v>4000</v>
      </c>
      <c r="ET25">
        <f t="shared" si="60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1"/>
        <v>4000</v>
      </c>
      <c r="FF25">
        <f t="shared" si="62"/>
        <v>4000</v>
      </c>
      <c r="FG25">
        <f t="shared" si="63"/>
        <v>270600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4"/>
        <v>0</v>
      </c>
      <c r="FP25">
        <f t="shared" si="65"/>
        <v>270600</v>
      </c>
      <c r="FQ25">
        <f t="shared" si="66"/>
        <v>1030</v>
      </c>
      <c r="FR25">
        <f t="shared" si="67"/>
        <v>0</v>
      </c>
      <c r="FS25">
        <f t="shared" si="68"/>
        <v>1030</v>
      </c>
      <c r="FT25">
        <f t="shared" si="69"/>
        <v>0</v>
      </c>
      <c r="FU25">
        <f t="shared" si="70"/>
        <v>0</v>
      </c>
      <c r="FV25">
        <f t="shared" si="71"/>
        <v>0</v>
      </c>
      <c r="FW25">
        <v>0</v>
      </c>
      <c r="FX25">
        <f t="shared" si="72"/>
        <v>0</v>
      </c>
      <c r="FY25" t="b">
        <f t="shared" si="73"/>
        <v>0</v>
      </c>
      <c r="FZ25">
        <f t="shared" ca="1" si="74"/>
        <v>2496</v>
      </c>
      <c r="GA25">
        <f t="shared" ca="1" si="75"/>
        <v>328596</v>
      </c>
      <c r="GB25">
        <f t="shared" si="76"/>
        <v>75000</v>
      </c>
      <c r="GC25">
        <f t="shared" ca="1" si="77"/>
        <v>253596</v>
      </c>
      <c r="GD25">
        <f t="shared" ca="1" si="78"/>
        <v>0</v>
      </c>
      <c r="GE25">
        <f t="shared" ca="1" si="79"/>
        <v>0</v>
      </c>
      <c r="GF25">
        <f t="shared" ca="1" si="80"/>
        <v>0</v>
      </c>
      <c r="GG25">
        <f t="shared" ca="1" si="81"/>
        <v>0</v>
      </c>
      <c r="GH25">
        <f t="shared" ca="1" si="82"/>
        <v>0</v>
      </c>
      <c r="GI25">
        <f t="shared" ca="1" si="83"/>
        <v>0</v>
      </c>
      <c r="GJ25">
        <f t="shared" ca="1" si="84"/>
        <v>0</v>
      </c>
      <c r="GK25">
        <f t="shared" ca="1" si="85"/>
        <v>0</v>
      </c>
      <c r="GL25">
        <f t="shared" ca="1" si="86"/>
        <v>0</v>
      </c>
      <c r="GM25">
        <f t="shared" ca="1" si="87"/>
        <v>0</v>
      </c>
      <c r="GN25">
        <f t="shared" ca="1" si="88"/>
        <v>0</v>
      </c>
      <c r="GO25">
        <f t="shared" ca="1" si="89"/>
        <v>0</v>
      </c>
      <c r="GP25">
        <f t="shared" ca="1" si="90"/>
        <v>0</v>
      </c>
      <c r="GQ25">
        <f t="shared" ca="1" si="91"/>
        <v>0</v>
      </c>
      <c r="GR25">
        <f t="shared" ca="1" si="92"/>
        <v>0</v>
      </c>
      <c r="GS25">
        <f t="shared" ca="1" si="93"/>
        <v>0</v>
      </c>
      <c r="GT25">
        <f t="shared" ca="1" si="94"/>
        <v>0</v>
      </c>
      <c r="GU25" t="b">
        <f t="shared" ca="1" si="95"/>
        <v>0</v>
      </c>
      <c r="GV25">
        <f t="shared" ca="1" si="96"/>
        <v>0</v>
      </c>
      <c r="GW25">
        <f t="shared" ca="1" si="97"/>
        <v>0</v>
      </c>
      <c r="GX25">
        <f t="shared" ca="1" si="98"/>
        <v>0</v>
      </c>
      <c r="GY25">
        <f t="shared" ca="1" si="99"/>
        <v>0</v>
      </c>
      <c r="GZ25">
        <f t="shared" ca="1" si="100"/>
        <v>0</v>
      </c>
    </row>
    <row r="26" spans="1:208" x14ac:dyDescent="0.3">
      <c r="A26">
        <f>_xlfn.AGGREGATE(3,5,$B$2:B26)</f>
        <v>25</v>
      </c>
      <c r="B26" t="s">
        <v>167</v>
      </c>
      <c r="C26" t="s">
        <v>168</v>
      </c>
      <c r="D26" t="s">
        <v>754</v>
      </c>
      <c r="E26" t="s">
        <v>831</v>
      </c>
      <c r="F26" t="s">
        <v>956</v>
      </c>
      <c r="G26" t="s">
        <v>884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1"/>
        <v>200</v>
      </c>
      <c r="S26">
        <f t="shared" si="102"/>
        <v>60842</v>
      </c>
      <c r="T26">
        <f>_xlfn.XLOOKUP(B26,'[2]april-2025'!$A:$A,'[2]april-2025'!$C:$C,0,0)</f>
        <v>51700</v>
      </c>
      <c r="U26">
        <f t="shared" si="4"/>
        <v>9306</v>
      </c>
      <c r="V26">
        <f t="shared" si="5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103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6"/>
        <v>200</v>
      </c>
      <c r="AC26">
        <f t="shared" si="7"/>
        <v>62850</v>
      </c>
      <c r="AD26">
        <f>_xlfn.XLOOKUP(B26,'[3]may-2025'!$A:$A,'[3]may-2025'!$C:$C,0,0)</f>
        <v>51700</v>
      </c>
      <c r="AE26">
        <f t="shared" si="8"/>
        <v>9306</v>
      </c>
      <c r="AF26">
        <f t="shared" si="9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04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0"/>
        <v>200</v>
      </c>
      <c r="AM26">
        <f t="shared" si="11"/>
        <v>62850</v>
      </c>
      <c r="AN26">
        <f>_xlfn.XLOOKUP(B26,'[4]june-2025'!$A:$A,'[4]june-2025'!$C:$C,0,0)</f>
        <v>51700</v>
      </c>
      <c r="AO26">
        <f t="shared" si="12"/>
        <v>9306</v>
      </c>
      <c r="AP26">
        <f t="shared" si="13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05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4"/>
        <v>200</v>
      </c>
      <c r="AW26">
        <f t="shared" si="15"/>
        <v>62850</v>
      </c>
      <c r="AX26">
        <f>_xlfn.XLOOKUP(B26,'[5]july-2025'!$A:$A,'[5]july-2025'!$C:$C,0,0)</f>
        <v>53300</v>
      </c>
      <c r="AY26">
        <f t="shared" si="16"/>
        <v>9594</v>
      </c>
      <c r="AZ26">
        <v>0</v>
      </c>
      <c r="BA26">
        <f t="shared" si="17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18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19"/>
        <v>200</v>
      </c>
      <c r="BH26">
        <f t="shared" si="20"/>
        <v>64930</v>
      </c>
      <c r="BI26">
        <f>_xlfn.XLOOKUP(B26,'[6]august-2025'!$A:$A,'[6]august-2025'!$C:$C,0,0)</f>
        <v>53300</v>
      </c>
      <c r="BJ26">
        <f t="shared" si="21"/>
        <v>9594</v>
      </c>
      <c r="BK26">
        <f t="shared" si="22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3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4"/>
        <v>200</v>
      </c>
      <c r="BR26">
        <f t="shared" si="25"/>
        <v>64930</v>
      </c>
      <c r="BS26">
        <f>_xlfn.XLOOKUP(B26,'[7]september-2025'!$A:$A,'[7]september-2025'!$C:$C,0,0)</f>
        <v>53300</v>
      </c>
      <c r="BT26">
        <f t="shared" si="26"/>
        <v>9594</v>
      </c>
      <c r="BU26">
        <f t="shared" si="27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28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29"/>
        <v>200</v>
      </c>
      <c r="CB26">
        <f t="shared" si="30"/>
        <v>64930</v>
      </c>
      <c r="CC26">
        <f>_xlfn.XLOOKUP(B26,'[8]october-2025'!$A:$A,'[8]october-2025'!$C:$C,0,0)</f>
        <v>53300</v>
      </c>
      <c r="CD26">
        <f t="shared" si="31"/>
        <v>9594</v>
      </c>
      <c r="CE26">
        <f t="shared" si="32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3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4"/>
        <v>200</v>
      </c>
      <c r="CL26">
        <f t="shared" si="35"/>
        <v>64930</v>
      </c>
      <c r="CM26">
        <f>_xlfn.XLOOKUP(B26,'[9]november-2025'!$A:$A,'[9]november-2025'!$C:$C,0,0)</f>
        <v>53300</v>
      </c>
      <c r="CN26">
        <f t="shared" si="36"/>
        <v>9594</v>
      </c>
      <c r="CO26">
        <f t="shared" si="37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38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39"/>
        <v>200</v>
      </c>
      <c r="CV26">
        <f t="shared" si="40"/>
        <v>64930</v>
      </c>
      <c r="CW26">
        <f>_xlfn.XLOOKUP(B26,'[10]december-2025'!$A:$A,'[10]december-2025'!$C:$C,0,0)</f>
        <v>53300</v>
      </c>
      <c r="CX26">
        <f t="shared" si="41"/>
        <v>9594</v>
      </c>
      <c r="CY26">
        <f t="shared" si="42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3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4"/>
        <v>200</v>
      </c>
      <c r="DF26">
        <f t="shared" si="45"/>
        <v>64930</v>
      </c>
      <c r="DG26">
        <f>_xlfn.XLOOKUP(B26,'[11]january-2026'!$A:$A,'[11]january-2026'!$C:$C,0,0)</f>
        <v>53300</v>
      </c>
      <c r="DH26">
        <f t="shared" si="46"/>
        <v>9594</v>
      </c>
      <c r="DI26">
        <f t="shared" si="47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48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49"/>
        <v>200</v>
      </c>
      <c r="DP26">
        <f t="shared" si="50"/>
        <v>69930</v>
      </c>
      <c r="DQ26">
        <f>_xlfn.XLOOKUP(B26,'[12]february-2026'!$A:$A,'[12]february-2026'!$C:$C,0,0)</f>
        <v>53300</v>
      </c>
      <c r="DR26">
        <f t="shared" si="51"/>
        <v>9594</v>
      </c>
      <c r="DS26">
        <f t="shared" si="52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3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4"/>
        <v>200</v>
      </c>
      <c r="DZ26">
        <f t="shared" si="55"/>
        <v>69930</v>
      </c>
      <c r="EA26">
        <f>_xlfn.XLOOKUP(B26,'[1]march-2025'!$A:$A,'[1]march-2025'!$J:$J,0,0)</f>
        <v>0</v>
      </c>
      <c r="EB26">
        <f>_xlfn.XLOOKUP(B26,'[2]april-2025'!$A:$A,'[2]april-2025'!$J:$J,0,0)</f>
        <v>0</v>
      </c>
      <c r="EC26">
        <f>_xlfn.XLOOKUP(B26,'[3]may-2025'!$A:$A,'[3]may-2025'!$J:$J,0,0)</f>
        <v>0</v>
      </c>
      <c r="ED26">
        <f>_xlfn.XLOOKUP(B26,'[4]june-2025'!$A:$A,'[4]june-2025'!$J:$J,0,0)</f>
        <v>0</v>
      </c>
      <c r="EE26">
        <f>_xlfn.XLOOKUP(B26,'[5]july-2025'!$A:$A,'[5]july-2025'!$J:$J,0,0)</f>
        <v>0</v>
      </c>
      <c r="EF26">
        <f>_xlfn.XLOOKUP(B26,'[6]august-2025'!$A:$A,'[6]august-2025'!$J:$J,0,0)</f>
        <v>0</v>
      </c>
      <c r="EG26">
        <f>_xlfn.XLOOKUP(B26,'[7]september-2025'!$A:$A,'[7]september-2025'!$J:$J,0,0)</f>
        <v>0</v>
      </c>
      <c r="EH26">
        <f>_xlfn.XLOOKUP(B26,'[8]october-2025'!$A:$A,'[8]october-2025'!$J:$J,0,0)</f>
        <v>0</v>
      </c>
      <c r="EI26">
        <f>_xlfn.XLOOKUP(C26,'[9]november-2025'!$A:$A,'[9]november-2025'!$J:$J,0,0)</f>
        <v>0</v>
      </c>
      <c r="EJ26">
        <f>_xlfn.XLOOKUP(B26,'[10]december-2025'!$A:$A,'[10]december-2025'!$J:$J,0,0)</f>
        <v>0</v>
      </c>
      <c r="EK26">
        <f>_xlfn.XLOOKUP(B26,'[11]january-2026'!$A:$A,'[11]january-2026'!$J:$J,0,0)</f>
        <v>0</v>
      </c>
      <c r="EL26">
        <f>_xlfn.XLOOKUP(B26,'[12]february-2026'!$A:$A,'[12]february-2026'!$J:$J,0,0)</f>
        <v>0</v>
      </c>
      <c r="EM26">
        <f t="shared" si="106"/>
        <v>0</v>
      </c>
      <c r="EN26">
        <f t="shared" si="56"/>
        <v>838692</v>
      </c>
      <c r="EO26">
        <f t="shared" si="57"/>
        <v>2400</v>
      </c>
      <c r="EP26">
        <f t="shared" si="58"/>
        <v>50000</v>
      </c>
      <c r="EQ26">
        <v>0</v>
      </c>
      <c r="ER26">
        <f t="shared" si="107"/>
        <v>786292</v>
      </c>
      <c r="ES26">
        <f t="shared" si="59"/>
        <v>50000</v>
      </c>
      <c r="ET26">
        <f t="shared" si="60"/>
        <v>660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si="61"/>
        <v>50660</v>
      </c>
      <c r="FF26">
        <f t="shared" si="62"/>
        <v>50660</v>
      </c>
      <c r="FG26">
        <f t="shared" si="63"/>
        <v>735632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si="64"/>
        <v>0</v>
      </c>
      <c r="FP26">
        <f t="shared" si="65"/>
        <v>735632</v>
      </c>
      <c r="FQ26">
        <f t="shared" si="66"/>
        <v>12500</v>
      </c>
      <c r="FR26">
        <f t="shared" si="67"/>
        <v>47126</v>
      </c>
      <c r="FS26">
        <f t="shared" si="68"/>
        <v>59626</v>
      </c>
      <c r="FT26">
        <f t="shared" si="69"/>
        <v>59626</v>
      </c>
      <c r="FU26">
        <f t="shared" si="70"/>
        <v>2385.04</v>
      </c>
      <c r="FV26">
        <f t="shared" si="71"/>
        <v>62011</v>
      </c>
      <c r="FW26">
        <v>0</v>
      </c>
      <c r="FX26">
        <f t="shared" si="72"/>
        <v>62011</v>
      </c>
      <c r="FY26" t="b">
        <f t="shared" si="73"/>
        <v>1</v>
      </c>
      <c r="FZ26">
        <f t="shared" ca="1" si="74"/>
        <v>528</v>
      </c>
      <c r="GA26">
        <f t="shared" ca="1" si="75"/>
        <v>839220</v>
      </c>
      <c r="GB26">
        <f t="shared" si="76"/>
        <v>75000</v>
      </c>
      <c r="GC26">
        <f t="shared" ca="1" si="77"/>
        <v>764220</v>
      </c>
      <c r="GD26">
        <f t="shared" ca="1" si="78"/>
        <v>0</v>
      </c>
      <c r="GE26">
        <f t="shared" ca="1" si="79"/>
        <v>0</v>
      </c>
      <c r="GF26">
        <f t="shared" ca="1" si="80"/>
        <v>0</v>
      </c>
      <c r="GG26">
        <f t="shared" ca="1" si="81"/>
        <v>0</v>
      </c>
      <c r="GH26">
        <f t="shared" ca="1" si="82"/>
        <v>0</v>
      </c>
      <c r="GI26">
        <f t="shared" ca="1" si="83"/>
        <v>0</v>
      </c>
      <c r="GJ26">
        <f t="shared" ca="1" si="84"/>
        <v>0</v>
      </c>
      <c r="GK26">
        <f t="shared" ca="1" si="85"/>
        <v>0</v>
      </c>
      <c r="GL26">
        <f t="shared" ca="1" si="86"/>
        <v>0</v>
      </c>
      <c r="GM26">
        <f t="shared" ca="1" si="87"/>
        <v>0</v>
      </c>
      <c r="GN26">
        <f t="shared" ca="1" si="88"/>
        <v>364220</v>
      </c>
      <c r="GO26">
        <f t="shared" ca="1" si="89"/>
        <v>18211</v>
      </c>
      <c r="GP26">
        <f t="shared" ca="1" si="90"/>
        <v>18211</v>
      </c>
      <c r="GQ26">
        <f t="shared" ca="1" si="91"/>
        <v>0</v>
      </c>
      <c r="GR26">
        <f t="shared" ca="1" si="92"/>
        <v>0</v>
      </c>
      <c r="GS26">
        <f t="shared" ca="1" si="93"/>
        <v>18211</v>
      </c>
      <c r="GT26">
        <f t="shared" ca="1" si="94"/>
        <v>0</v>
      </c>
      <c r="GU26" t="b">
        <f t="shared" ca="1" si="95"/>
        <v>0</v>
      </c>
      <c r="GV26">
        <f t="shared" ca="1" si="96"/>
        <v>0</v>
      </c>
      <c r="GW26">
        <f t="shared" ca="1" si="97"/>
        <v>18211</v>
      </c>
      <c r="GX26">
        <f t="shared" ca="1" si="98"/>
        <v>0</v>
      </c>
      <c r="GY26">
        <f t="shared" ca="1" si="99"/>
        <v>0</v>
      </c>
      <c r="GZ26">
        <f t="shared" ca="1" si="100"/>
        <v>0</v>
      </c>
    </row>
    <row r="27" spans="1:208" x14ac:dyDescent="0.3">
      <c r="A27">
        <f>_xlfn.AGGREGATE(3,5,$B$2:B27)</f>
        <v>26</v>
      </c>
      <c r="B27" t="s">
        <v>169</v>
      </c>
      <c r="C27" t="s">
        <v>170</v>
      </c>
      <c r="D27" t="s">
        <v>754</v>
      </c>
      <c r="E27" t="s">
        <v>830</v>
      </c>
      <c r="F27" t="s">
        <v>956</v>
      </c>
      <c r="G27" t="s">
        <v>877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1"/>
        <v>200</v>
      </c>
      <c r="S27">
        <f t="shared" si="102"/>
        <v>40770</v>
      </c>
      <c r="T27">
        <f>_xlfn.XLOOKUP(B27,'[2]april-2025'!$A:$A,'[2]april-2025'!$C:$C,0,0)</f>
        <v>34500</v>
      </c>
      <c r="U27">
        <f t="shared" si="4"/>
        <v>6210</v>
      </c>
      <c r="V27">
        <f t="shared" si="5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103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6"/>
        <v>200</v>
      </c>
      <c r="AC27">
        <f t="shared" si="7"/>
        <v>42150</v>
      </c>
      <c r="AD27">
        <f>_xlfn.XLOOKUP(B27,'[3]may-2025'!$A:$A,'[3]may-2025'!$C:$C,0,0)</f>
        <v>34500</v>
      </c>
      <c r="AE27">
        <f t="shared" si="8"/>
        <v>6210</v>
      </c>
      <c r="AF27">
        <f t="shared" si="9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04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0"/>
        <v>200</v>
      </c>
      <c r="AM27">
        <f t="shared" si="11"/>
        <v>42150</v>
      </c>
      <c r="AN27">
        <f>_xlfn.XLOOKUP(B27,'[4]june-2025'!$A:$A,'[4]june-2025'!$C:$C,0,0)</f>
        <v>34500</v>
      </c>
      <c r="AO27">
        <f t="shared" si="12"/>
        <v>6210</v>
      </c>
      <c r="AP27">
        <f t="shared" si="13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05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4"/>
        <v>200</v>
      </c>
      <c r="AW27">
        <f t="shared" si="15"/>
        <v>42150</v>
      </c>
      <c r="AX27">
        <f>_xlfn.XLOOKUP(B27,'[5]july-2025'!$A:$A,'[5]july-2025'!$C:$C,0,0)</f>
        <v>35500</v>
      </c>
      <c r="AY27">
        <f t="shared" si="16"/>
        <v>6390</v>
      </c>
      <c r="AZ27">
        <v>0</v>
      </c>
      <c r="BA27">
        <f t="shared" si="17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18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19"/>
        <v>200</v>
      </c>
      <c r="BH27">
        <f t="shared" si="20"/>
        <v>43450</v>
      </c>
      <c r="BI27">
        <f>_xlfn.XLOOKUP(B27,'[6]august-2025'!$A:$A,'[6]august-2025'!$C:$C,0,0)</f>
        <v>35500</v>
      </c>
      <c r="BJ27">
        <f t="shared" si="21"/>
        <v>6390</v>
      </c>
      <c r="BK27">
        <f t="shared" si="22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3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4"/>
        <v>200</v>
      </c>
      <c r="BR27">
        <f t="shared" si="25"/>
        <v>43450</v>
      </c>
      <c r="BS27">
        <f>_xlfn.XLOOKUP(B27,'[7]september-2025'!$A:$A,'[7]september-2025'!$C:$C,0,0)</f>
        <v>35500</v>
      </c>
      <c r="BT27">
        <f t="shared" si="26"/>
        <v>6390</v>
      </c>
      <c r="BU27">
        <f t="shared" si="27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28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29"/>
        <v>200</v>
      </c>
      <c r="CB27">
        <f t="shared" si="30"/>
        <v>43450</v>
      </c>
      <c r="CC27">
        <f>_xlfn.XLOOKUP(B27,'[8]october-2025'!$A:$A,'[8]october-2025'!$C:$C,0,0)</f>
        <v>35500</v>
      </c>
      <c r="CD27">
        <f t="shared" si="31"/>
        <v>6390</v>
      </c>
      <c r="CE27">
        <f t="shared" si="32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3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4"/>
        <v>200</v>
      </c>
      <c r="CL27">
        <f t="shared" si="35"/>
        <v>43450</v>
      </c>
      <c r="CM27">
        <f>_xlfn.XLOOKUP(B27,'[9]november-2025'!$A:$A,'[9]november-2025'!$C:$C,0,0)</f>
        <v>35500</v>
      </c>
      <c r="CN27">
        <f t="shared" si="36"/>
        <v>6390</v>
      </c>
      <c r="CO27">
        <f t="shared" si="37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38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39"/>
        <v>200</v>
      </c>
      <c r="CV27">
        <f t="shared" si="40"/>
        <v>43450</v>
      </c>
      <c r="CW27">
        <f>_xlfn.XLOOKUP(B27,'[10]december-2025'!$A:$A,'[10]december-2025'!$C:$C,0,0)</f>
        <v>35500</v>
      </c>
      <c r="CX27">
        <f t="shared" si="41"/>
        <v>6390</v>
      </c>
      <c r="CY27">
        <f t="shared" si="42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3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4"/>
        <v>200</v>
      </c>
      <c r="DF27">
        <f t="shared" si="45"/>
        <v>43450</v>
      </c>
      <c r="DG27">
        <f>_xlfn.XLOOKUP(B27,'[11]january-2026'!$A:$A,'[11]january-2026'!$C:$C,0,0)</f>
        <v>35500</v>
      </c>
      <c r="DH27">
        <f t="shared" si="46"/>
        <v>6390</v>
      </c>
      <c r="DI27">
        <f t="shared" si="47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48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49"/>
        <v>200</v>
      </c>
      <c r="DP27">
        <f t="shared" si="50"/>
        <v>43450</v>
      </c>
      <c r="DQ27">
        <f>_xlfn.XLOOKUP(B27,'[12]february-2026'!$A:$A,'[12]february-2026'!$C:$C,0,0)</f>
        <v>35500</v>
      </c>
      <c r="DR27">
        <f t="shared" si="51"/>
        <v>6390</v>
      </c>
      <c r="DS27">
        <f t="shared" si="52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3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4"/>
        <v>200</v>
      </c>
      <c r="DZ27">
        <f t="shared" si="55"/>
        <v>43450</v>
      </c>
      <c r="EA27">
        <f>_xlfn.XLOOKUP(B27,'[1]march-2025'!$A:$A,'[1]march-2025'!$J:$J,0,0)</f>
        <v>0</v>
      </c>
      <c r="EB27">
        <f>_xlfn.XLOOKUP(B27,'[2]april-2025'!$A:$A,'[2]april-2025'!$J:$J,0,0)</f>
        <v>0</v>
      </c>
      <c r="EC27">
        <f>_xlfn.XLOOKUP(B27,'[3]may-2025'!$A:$A,'[3]may-2025'!$J:$J,0,0)</f>
        <v>0</v>
      </c>
      <c r="ED27">
        <f>_xlfn.XLOOKUP(B27,'[4]june-2025'!$A:$A,'[4]june-2025'!$J:$J,0,0)</f>
        <v>0</v>
      </c>
      <c r="EE27">
        <f>_xlfn.XLOOKUP(B27,'[5]july-2025'!$A:$A,'[5]july-2025'!$J:$J,0,0)</f>
        <v>0</v>
      </c>
      <c r="EF27">
        <f>_xlfn.XLOOKUP(B27,'[6]august-2025'!$A:$A,'[6]august-2025'!$J:$J,0,0)</f>
        <v>0</v>
      </c>
      <c r="EG27">
        <f>_xlfn.XLOOKUP(B27,'[7]september-2025'!$A:$A,'[7]september-2025'!$J:$J,0,0)</f>
        <v>0</v>
      </c>
      <c r="EH27">
        <f>_xlfn.XLOOKUP(B27,'[8]october-2025'!$A:$A,'[8]october-2025'!$J:$J,0,0)</f>
        <v>0</v>
      </c>
      <c r="EI27">
        <f>_xlfn.XLOOKUP(C27,'[9]november-2025'!$A:$A,'[9]november-2025'!$J:$J,0,0)</f>
        <v>0</v>
      </c>
      <c r="EJ27">
        <f>_xlfn.XLOOKUP(B27,'[10]december-2025'!$A:$A,'[10]december-2025'!$J:$J,0,0)</f>
        <v>0</v>
      </c>
      <c r="EK27">
        <f>_xlfn.XLOOKUP(B27,'[11]january-2026'!$A:$A,'[11]january-2026'!$J:$J,0,0)</f>
        <v>0</v>
      </c>
      <c r="EL27">
        <f>_xlfn.XLOOKUP(B27,'[12]february-2026'!$A:$A,'[12]february-2026'!$J:$J,0,0)</f>
        <v>0</v>
      </c>
      <c r="EM27">
        <f t="shared" si="106"/>
        <v>0</v>
      </c>
      <c r="EN27">
        <f t="shared" si="56"/>
        <v>560020</v>
      </c>
      <c r="EO27">
        <f t="shared" si="57"/>
        <v>2400</v>
      </c>
      <c r="EP27">
        <f t="shared" si="58"/>
        <v>50000</v>
      </c>
      <c r="EQ27">
        <v>0</v>
      </c>
      <c r="ER27">
        <f t="shared" si="107"/>
        <v>507620</v>
      </c>
      <c r="ES27">
        <f t="shared" si="59"/>
        <v>36000</v>
      </c>
      <c r="ET27">
        <f t="shared" si="60"/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1"/>
        <v>36000</v>
      </c>
      <c r="FF27">
        <f t="shared" si="62"/>
        <v>36000</v>
      </c>
      <c r="FG27">
        <f t="shared" si="63"/>
        <v>471620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4"/>
        <v>0</v>
      </c>
      <c r="FP27">
        <f t="shared" si="65"/>
        <v>471620</v>
      </c>
      <c r="FQ27">
        <f t="shared" si="66"/>
        <v>11081</v>
      </c>
      <c r="FR27">
        <f t="shared" si="67"/>
        <v>0</v>
      </c>
      <c r="FS27">
        <f t="shared" si="68"/>
        <v>11081</v>
      </c>
      <c r="FT27">
        <f t="shared" si="69"/>
        <v>0</v>
      </c>
      <c r="FU27">
        <f t="shared" si="70"/>
        <v>0</v>
      </c>
      <c r="FV27">
        <f t="shared" si="71"/>
        <v>0</v>
      </c>
      <c r="FW27">
        <v>0</v>
      </c>
      <c r="FX27">
        <f t="shared" si="72"/>
        <v>0</v>
      </c>
      <c r="FY27" t="b">
        <f t="shared" si="73"/>
        <v>1</v>
      </c>
      <c r="FZ27">
        <f t="shared" ca="1" si="74"/>
        <v>939</v>
      </c>
      <c r="GA27">
        <f t="shared" ca="1" si="75"/>
        <v>560959</v>
      </c>
      <c r="GB27">
        <f t="shared" si="76"/>
        <v>75000</v>
      </c>
      <c r="GC27">
        <f t="shared" ca="1" si="77"/>
        <v>485959</v>
      </c>
      <c r="GD27">
        <f t="shared" ca="1" si="78"/>
        <v>0</v>
      </c>
      <c r="GE27">
        <f t="shared" ca="1" si="79"/>
        <v>0</v>
      </c>
      <c r="GF27">
        <f t="shared" ca="1" si="80"/>
        <v>0</v>
      </c>
      <c r="GG27">
        <f t="shared" ca="1" si="81"/>
        <v>0</v>
      </c>
      <c r="GH27">
        <f t="shared" ca="1" si="82"/>
        <v>0</v>
      </c>
      <c r="GI27">
        <f t="shared" ca="1" si="83"/>
        <v>0</v>
      </c>
      <c r="GJ27">
        <f t="shared" ca="1" si="84"/>
        <v>0</v>
      </c>
      <c r="GK27">
        <f t="shared" ca="1" si="85"/>
        <v>0</v>
      </c>
      <c r="GL27">
        <f t="shared" ca="1" si="86"/>
        <v>0</v>
      </c>
      <c r="GM27">
        <f t="shared" ca="1" si="87"/>
        <v>0</v>
      </c>
      <c r="GN27">
        <f t="shared" ca="1" si="88"/>
        <v>85959</v>
      </c>
      <c r="GO27">
        <f t="shared" ca="1" si="89"/>
        <v>4297.95</v>
      </c>
      <c r="GP27">
        <f t="shared" ca="1" si="90"/>
        <v>4298</v>
      </c>
      <c r="GQ27">
        <f t="shared" ca="1" si="91"/>
        <v>0</v>
      </c>
      <c r="GR27">
        <f t="shared" ca="1" si="92"/>
        <v>0</v>
      </c>
      <c r="GS27">
        <f t="shared" ca="1" si="93"/>
        <v>4298</v>
      </c>
      <c r="GT27">
        <f t="shared" ca="1" si="94"/>
        <v>0</v>
      </c>
      <c r="GU27" t="b">
        <f t="shared" ca="1" si="95"/>
        <v>0</v>
      </c>
      <c r="GV27">
        <f t="shared" ca="1" si="96"/>
        <v>0</v>
      </c>
      <c r="GW27">
        <f t="shared" ca="1" si="97"/>
        <v>4298</v>
      </c>
      <c r="GX27">
        <f t="shared" ca="1" si="98"/>
        <v>0</v>
      </c>
      <c r="GY27">
        <f t="shared" ca="1" si="99"/>
        <v>0</v>
      </c>
      <c r="GZ27">
        <f t="shared" ca="1" si="100"/>
        <v>0</v>
      </c>
    </row>
    <row r="28" spans="1:208" x14ac:dyDescent="0.3">
      <c r="A28">
        <f>_xlfn.AGGREGATE(3,5,$B$2:B28)</f>
        <v>27</v>
      </c>
      <c r="B28" t="s">
        <v>171</v>
      </c>
      <c r="C28" t="s">
        <v>172</v>
      </c>
      <c r="D28" t="s">
        <v>754</v>
      </c>
      <c r="E28" t="s">
        <v>830</v>
      </c>
      <c r="F28" t="s">
        <v>956</v>
      </c>
      <c r="G28" t="s">
        <v>890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1"/>
        <v>200</v>
      </c>
      <c r="S28">
        <f t="shared" si="102"/>
        <v>41270</v>
      </c>
      <c r="T28">
        <f>_xlfn.XLOOKUP(B28,'[2]april-2025'!$A:$A,'[2]april-2025'!$C:$C,0,0)</f>
        <v>34500</v>
      </c>
      <c r="U28">
        <f t="shared" si="4"/>
        <v>6210</v>
      </c>
      <c r="V28">
        <f t="shared" si="5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103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6"/>
        <v>200</v>
      </c>
      <c r="AC28">
        <f t="shared" si="7"/>
        <v>42650</v>
      </c>
      <c r="AD28">
        <f>_xlfn.XLOOKUP(B28,'[3]may-2025'!$A:$A,'[3]may-2025'!$C:$C,0,0)</f>
        <v>34500</v>
      </c>
      <c r="AE28">
        <f t="shared" si="8"/>
        <v>6210</v>
      </c>
      <c r="AF28">
        <f t="shared" si="9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04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0"/>
        <v>200</v>
      </c>
      <c r="AM28">
        <f t="shared" si="11"/>
        <v>42650</v>
      </c>
      <c r="AN28">
        <f>_xlfn.XLOOKUP(B28,'[4]june-2025'!$A:$A,'[4]june-2025'!$C:$C,0,0)</f>
        <v>34500</v>
      </c>
      <c r="AO28">
        <f t="shared" si="12"/>
        <v>6210</v>
      </c>
      <c r="AP28">
        <f t="shared" si="13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05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4"/>
        <v>200</v>
      </c>
      <c r="AW28">
        <f t="shared" si="15"/>
        <v>42650</v>
      </c>
      <c r="AX28">
        <f>_xlfn.XLOOKUP(B28,'[5]july-2025'!$A:$A,'[5]july-2025'!$C:$C,0,0)</f>
        <v>35500</v>
      </c>
      <c r="AY28">
        <f t="shared" si="16"/>
        <v>6390</v>
      </c>
      <c r="AZ28">
        <v>0</v>
      </c>
      <c r="BA28">
        <f t="shared" si="17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18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19"/>
        <v>200</v>
      </c>
      <c r="BH28">
        <f t="shared" si="20"/>
        <v>43950</v>
      </c>
      <c r="BI28">
        <f>_xlfn.XLOOKUP(B28,'[6]august-2025'!$A:$A,'[6]august-2025'!$C:$C,0,0)</f>
        <v>35500</v>
      </c>
      <c r="BJ28">
        <f t="shared" si="21"/>
        <v>6390</v>
      </c>
      <c r="BK28">
        <f t="shared" si="22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3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4"/>
        <v>200</v>
      </c>
      <c r="BR28">
        <f t="shared" si="25"/>
        <v>43950</v>
      </c>
      <c r="BS28">
        <f>_xlfn.XLOOKUP(B28,'[7]september-2025'!$A:$A,'[7]september-2025'!$C:$C,0,0)</f>
        <v>35500</v>
      </c>
      <c r="BT28">
        <f t="shared" si="26"/>
        <v>6390</v>
      </c>
      <c r="BU28">
        <f t="shared" si="27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28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29"/>
        <v>200</v>
      </c>
      <c r="CB28">
        <f t="shared" si="30"/>
        <v>43950</v>
      </c>
      <c r="CC28">
        <f>_xlfn.XLOOKUP(B28,'[8]october-2025'!$A:$A,'[8]october-2025'!$C:$C,0,0)</f>
        <v>35500</v>
      </c>
      <c r="CD28">
        <f t="shared" si="31"/>
        <v>6390</v>
      </c>
      <c r="CE28">
        <f t="shared" si="32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3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4"/>
        <v>200</v>
      </c>
      <c r="CL28">
        <f t="shared" si="35"/>
        <v>43950</v>
      </c>
      <c r="CM28">
        <f>_xlfn.XLOOKUP(B28,'[9]november-2025'!$A:$A,'[9]november-2025'!$C:$C,0,0)</f>
        <v>35500</v>
      </c>
      <c r="CN28">
        <f t="shared" si="36"/>
        <v>6390</v>
      </c>
      <c r="CO28">
        <f t="shared" si="37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38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39"/>
        <v>200</v>
      </c>
      <c r="CV28">
        <f t="shared" si="40"/>
        <v>43950</v>
      </c>
      <c r="CW28">
        <f>_xlfn.XLOOKUP(B28,'[10]december-2025'!$A:$A,'[10]december-2025'!$C:$C,0,0)</f>
        <v>35500</v>
      </c>
      <c r="CX28">
        <f t="shared" si="41"/>
        <v>6390</v>
      </c>
      <c r="CY28">
        <f t="shared" si="42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3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4"/>
        <v>200</v>
      </c>
      <c r="DF28">
        <f t="shared" si="45"/>
        <v>43950</v>
      </c>
      <c r="DG28">
        <f>_xlfn.XLOOKUP(B28,'[11]january-2026'!$A:$A,'[11]january-2026'!$C:$C,0,0)</f>
        <v>35500</v>
      </c>
      <c r="DH28">
        <f t="shared" si="46"/>
        <v>6390</v>
      </c>
      <c r="DI28">
        <f t="shared" si="47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48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49"/>
        <v>200</v>
      </c>
      <c r="DP28">
        <f t="shared" si="50"/>
        <v>43950</v>
      </c>
      <c r="DQ28">
        <f>_xlfn.XLOOKUP(B28,'[12]february-2026'!$A:$A,'[12]february-2026'!$C:$C,0,0)</f>
        <v>35500</v>
      </c>
      <c r="DR28">
        <f t="shared" si="51"/>
        <v>6390</v>
      </c>
      <c r="DS28">
        <f t="shared" si="52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3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4"/>
        <v>200</v>
      </c>
      <c r="DZ28">
        <f t="shared" si="55"/>
        <v>43950</v>
      </c>
      <c r="EA28">
        <f>_xlfn.XLOOKUP(B28,'[1]march-2025'!$A:$A,'[1]march-2025'!$J:$J,0,0)</f>
        <v>0</v>
      </c>
      <c r="EB28">
        <f>_xlfn.XLOOKUP(B28,'[2]april-2025'!$A:$A,'[2]april-2025'!$J:$J,0,0)</f>
        <v>0</v>
      </c>
      <c r="EC28">
        <f>_xlfn.XLOOKUP(B28,'[3]may-2025'!$A:$A,'[3]may-2025'!$J:$J,0,0)</f>
        <v>0</v>
      </c>
      <c r="ED28">
        <f>_xlfn.XLOOKUP(B28,'[4]june-2025'!$A:$A,'[4]june-2025'!$J:$J,0,0)</f>
        <v>0</v>
      </c>
      <c r="EE28">
        <f>_xlfn.XLOOKUP(B28,'[5]july-2025'!$A:$A,'[5]july-2025'!$J:$J,0,0)</f>
        <v>0</v>
      </c>
      <c r="EF28">
        <f>_xlfn.XLOOKUP(B28,'[6]august-2025'!$A:$A,'[6]august-2025'!$J:$J,0,0)</f>
        <v>0</v>
      </c>
      <c r="EG28">
        <f>_xlfn.XLOOKUP(B28,'[7]september-2025'!$A:$A,'[7]september-2025'!$J:$J,0,0)</f>
        <v>0</v>
      </c>
      <c r="EH28">
        <f>_xlfn.XLOOKUP(B28,'[8]october-2025'!$A:$A,'[8]october-2025'!$J:$J,0,0)</f>
        <v>0</v>
      </c>
      <c r="EI28">
        <f>_xlfn.XLOOKUP(C28,'[9]november-2025'!$A:$A,'[9]november-2025'!$J:$J,0,0)</f>
        <v>0</v>
      </c>
      <c r="EJ28">
        <f>_xlfn.XLOOKUP(B28,'[10]december-2025'!$A:$A,'[10]december-2025'!$J:$J,0,0)</f>
        <v>0</v>
      </c>
      <c r="EK28">
        <f>_xlfn.XLOOKUP(B28,'[11]january-2026'!$A:$A,'[11]january-2026'!$J:$J,0,0)</f>
        <v>0</v>
      </c>
      <c r="EL28">
        <f>_xlfn.XLOOKUP(B28,'[12]february-2026'!$A:$A,'[12]february-2026'!$J:$J,0,0)</f>
        <v>0</v>
      </c>
      <c r="EM28">
        <f t="shared" si="106"/>
        <v>0</v>
      </c>
      <c r="EN28">
        <f t="shared" si="56"/>
        <v>560020</v>
      </c>
      <c r="EO28">
        <f t="shared" si="57"/>
        <v>2400</v>
      </c>
      <c r="EP28">
        <f t="shared" si="58"/>
        <v>50000</v>
      </c>
      <c r="EQ28">
        <v>0</v>
      </c>
      <c r="ER28">
        <f t="shared" si="107"/>
        <v>507620</v>
      </c>
      <c r="ES28">
        <f t="shared" si="59"/>
        <v>30000</v>
      </c>
      <c r="ET28">
        <f t="shared" si="60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1"/>
        <v>30000</v>
      </c>
      <c r="FF28">
        <f t="shared" si="62"/>
        <v>30000</v>
      </c>
      <c r="FG28">
        <f t="shared" si="63"/>
        <v>477620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4"/>
        <v>0</v>
      </c>
      <c r="FP28">
        <f t="shared" si="65"/>
        <v>477620</v>
      </c>
      <c r="FQ28">
        <f t="shared" si="66"/>
        <v>11381</v>
      </c>
      <c r="FR28">
        <f t="shared" si="67"/>
        <v>0</v>
      </c>
      <c r="FS28">
        <f t="shared" si="68"/>
        <v>11381</v>
      </c>
      <c r="FT28">
        <f t="shared" si="69"/>
        <v>0</v>
      </c>
      <c r="FU28">
        <f t="shared" si="70"/>
        <v>0</v>
      </c>
      <c r="FV28">
        <f t="shared" si="71"/>
        <v>0</v>
      </c>
      <c r="FW28">
        <v>0</v>
      </c>
      <c r="FX28">
        <f t="shared" si="72"/>
        <v>0</v>
      </c>
      <c r="FY28" t="b">
        <f t="shared" si="73"/>
        <v>1</v>
      </c>
      <c r="FZ28">
        <f t="shared" ca="1" si="74"/>
        <v>607</v>
      </c>
      <c r="GA28">
        <f t="shared" ca="1" si="75"/>
        <v>560627</v>
      </c>
      <c r="GB28">
        <f t="shared" si="76"/>
        <v>75000</v>
      </c>
      <c r="GC28">
        <f t="shared" ca="1" si="77"/>
        <v>485627</v>
      </c>
      <c r="GD28">
        <f t="shared" ca="1" si="78"/>
        <v>0</v>
      </c>
      <c r="GE28">
        <f t="shared" ca="1" si="79"/>
        <v>0</v>
      </c>
      <c r="GF28">
        <f t="shared" ca="1" si="80"/>
        <v>0</v>
      </c>
      <c r="GG28">
        <f t="shared" ca="1" si="81"/>
        <v>0</v>
      </c>
      <c r="GH28">
        <f t="shared" ca="1" si="82"/>
        <v>0</v>
      </c>
      <c r="GI28">
        <f t="shared" ca="1" si="83"/>
        <v>0</v>
      </c>
      <c r="GJ28">
        <f t="shared" ca="1" si="84"/>
        <v>0</v>
      </c>
      <c r="GK28">
        <f t="shared" ca="1" si="85"/>
        <v>0</v>
      </c>
      <c r="GL28">
        <f t="shared" ca="1" si="86"/>
        <v>0</v>
      </c>
      <c r="GM28">
        <f t="shared" ca="1" si="87"/>
        <v>0</v>
      </c>
      <c r="GN28">
        <f t="shared" ca="1" si="88"/>
        <v>85627</v>
      </c>
      <c r="GO28">
        <f t="shared" ca="1" si="89"/>
        <v>4281.3500000000004</v>
      </c>
      <c r="GP28">
        <f t="shared" ca="1" si="90"/>
        <v>4281</v>
      </c>
      <c r="GQ28">
        <f t="shared" ca="1" si="91"/>
        <v>0</v>
      </c>
      <c r="GR28">
        <f t="shared" ca="1" si="92"/>
        <v>0</v>
      </c>
      <c r="GS28">
        <f t="shared" ca="1" si="93"/>
        <v>4281</v>
      </c>
      <c r="GT28">
        <f t="shared" ca="1" si="94"/>
        <v>0</v>
      </c>
      <c r="GU28" t="b">
        <f t="shared" ca="1" si="95"/>
        <v>0</v>
      </c>
      <c r="GV28">
        <f t="shared" ca="1" si="96"/>
        <v>0</v>
      </c>
      <c r="GW28">
        <f t="shared" ca="1" si="97"/>
        <v>4281</v>
      </c>
      <c r="GX28">
        <f t="shared" ca="1" si="98"/>
        <v>0</v>
      </c>
      <c r="GY28">
        <f t="shared" ca="1" si="99"/>
        <v>0</v>
      </c>
      <c r="GZ28">
        <f t="shared" ca="1" si="100"/>
        <v>0</v>
      </c>
    </row>
    <row r="29" spans="1:208" x14ac:dyDescent="0.3">
      <c r="A29">
        <f>_xlfn.AGGREGATE(3,5,$B$2:B29)</f>
        <v>28</v>
      </c>
      <c r="B29" t="s">
        <v>173</v>
      </c>
      <c r="C29" t="s">
        <v>174</v>
      </c>
      <c r="D29" t="s">
        <v>755</v>
      </c>
      <c r="E29" t="s">
        <v>831</v>
      </c>
      <c r="F29" t="s">
        <v>956</v>
      </c>
      <c r="G29" t="s">
        <v>884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1"/>
        <v>200</v>
      </c>
      <c r="S29">
        <f t="shared" si="102"/>
        <v>50842</v>
      </c>
      <c r="T29">
        <f>_xlfn.XLOOKUP(B29,'[2]april-2025'!$A:$A,'[2]april-2025'!$C:$C,0,0)</f>
        <v>51700</v>
      </c>
      <c r="U29">
        <f t="shared" si="4"/>
        <v>9306</v>
      </c>
      <c r="V29">
        <f t="shared" si="5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103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6"/>
        <v>200</v>
      </c>
      <c r="AC29">
        <f t="shared" si="7"/>
        <v>52910</v>
      </c>
      <c r="AD29">
        <f>_xlfn.XLOOKUP(B29,'[3]may-2025'!$A:$A,'[3]may-2025'!$C:$C,0,0)</f>
        <v>51700</v>
      </c>
      <c r="AE29">
        <f t="shared" si="8"/>
        <v>9306</v>
      </c>
      <c r="AF29">
        <f t="shared" si="9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04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0"/>
        <v>200</v>
      </c>
      <c r="AM29">
        <f t="shared" si="11"/>
        <v>52910</v>
      </c>
      <c r="AN29">
        <f>_xlfn.XLOOKUP(B29,'[4]june-2025'!$A:$A,'[4]june-2025'!$C:$C,0,0)</f>
        <v>51700</v>
      </c>
      <c r="AO29">
        <f t="shared" si="12"/>
        <v>9306</v>
      </c>
      <c r="AP29">
        <f t="shared" si="13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05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4"/>
        <v>200</v>
      </c>
      <c r="AW29">
        <f t="shared" si="15"/>
        <v>52910</v>
      </c>
      <c r="AX29">
        <f>_xlfn.XLOOKUP(B29,'[5]july-2025'!$A:$A,'[5]july-2025'!$C:$C,0,0)</f>
        <v>53300</v>
      </c>
      <c r="AY29">
        <f t="shared" si="16"/>
        <v>9594</v>
      </c>
      <c r="AZ29">
        <v>0</v>
      </c>
      <c r="BA29">
        <f t="shared" si="17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18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19"/>
        <v>200</v>
      </c>
      <c r="BH29">
        <f t="shared" si="20"/>
        <v>54990</v>
      </c>
      <c r="BI29">
        <f>_xlfn.XLOOKUP(B29,'[6]august-2025'!$A:$A,'[6]august-2025'!$C:$C,0,0)</f>
        <v>53300</v>
      </c>
      <c r="BJ29">
        <f t="shared" si="21"/>
        <v>9594</v>
      </c>
      <c r="BK29">
        <f t="shared" si="22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3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4"/>
        <v>200</v>
      </c>
      <c r="BR29">
        <f t="shared" si="25"/>
        <v>54990</v>
      </c>
      <c r="BS29">
        <f>_xlfn.XLOOKUP(B29,'[7]september-2025'!$A:$A,'[7]september-2025'!$C:$C,0,0)</f>
        <v>53300</v>
      </c>
      <c r="BT29">
        <f t="shared" si="26"/>
        <v>9594</v>
      </c>
      <c r="BU29">
        <f t="shared" si="27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28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29"/>
        <v>200</v>
      </c>
      <c r="CB29">
        <f t="shared" si="30"/>
        <v>54990</v>
      </c>
      <c r="CC29">
        <f>_xlfn.XLOOKUP(B29,'[8]october-2025'!$A:$A,'[8]october-2025'!$C:$C,0,0)</f>
        <v>53300</v>
      </c>
      <c r="CD29">
        <f t="shared" si="31"/>
        <v>9594</v>
      </c>
      <c r="CE29">
        <f t="shared" si="32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3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4"/>
        <v>200</v>
      </c>
      <c r="CL29">
        <f t="shared" si="35"/>
        <v>54990</v>
      </c>
      <c r="CM29">
        <f>_xlfn.XLOOKUP(B29,'[9]november-2025'!$A:$A,'[9]november-2025'!$C:$C,0,0)</f>
        <v>53300</v>
      </c>
      <c r="CN29">
        <f t="shared" si="36"/>
        <v>9594</v>
      </c>
      <c r="CO29">
        <f t="shared" si="37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38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39"/>
        <v>200</v>
      </c>
      <c r="CV29">
        <f t="shared" si="40"/>
        <v>54990</v>
      </c>
      <c r="CW29">
        <f>_xlfn.XLOOKUP(B29,'[10]december-2025'!$A:$A,'[10]december-2025'!$C:$C,0,0)</f>
        <v>53300</v>
      </c>
      <c r="CX29">
        <f t="shared" si="41"/>
        <v>9594</v>
      </c>
      <c r="CY29">
        <f t="shared" si="42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3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4"/>
        <v>200</v>
      </c>
      <c r="DF29">
        <f t="shared" si="45"/>
        <v>54990</v>
      </c>
      <c r="DG29">
        <f>_xlfn.XLOOKUP(B29,'[11]january-2026'!$A:$A,'[11]january-2026'!$C:$C,0,0)</f>
        <v>53300</v>
      </c>
      <c r="DH29">
        <f t="shared" si="46"/>
        <v>9594</v>
      </c>
      <c r="DI29">
        <f t="shared" si="47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48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49"/>
        <v>200</v>
      </c>
      <c r="DP29">
        <f t="shared" si="50"/>
        <v>54990</v>
      </c>
      <c r="DQ29">
        <f>_xlfn.XLOOKUP(B29,'[12]february-2026'!$A:$A,'[12]february-2026'!$C:$C,0,0)</f>
        <v>53300</v>
      </c>
      <c r="DR29">
        <f t="shared" si="51"/>
        <v>9594</v>
      </c>
      <c r="DS29">
        <f t="shared" si="52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3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4"/>
        <v>200</v>
      </c>
      <c r="DZ29">
        <f t="shared" si="55"/>
        <v>54990</v>
      </c>
      <c r="EA29">
        <f>_xlfn.XLOOKUP(B29,'[1]march-2025'!$A:$A,'[1]march-2025'!$J:$J,0,0)</f>
        <v>0</v>
      </c>
      <c r="EB29">
        <f>_xlfn.XLOOKUP(B29,'[2]april-2025'!$A:$A,'[2]april-2025'!$J:$J,0,0)</f>
        <v>0</v>
      </c>
      <c r="EC29">
        <f>_xlfn.XLOOKUP(B29,'[3]may-2025'!$A:$A,'[3]may-2025'!$J:$J,0,0)</f>
        <v>0</v>
      </c>
      <c r="ED29">
        <f>_xlfn.XLOOKUP(B29,'[4]june-2025'!$A:$A,'[4]june-2025'!$J:$J,0,0)</f>
        <v>0</v>
      </c>
      <c r="EE29">
        <f>_xlfn.XLOOKUP(B29,'[5]july-2025'!$A:$A,'[5]july-2025'!$J:$J,0,0)</f>
        <v>0</v>
      </c>
      <c r="EF29">
        <f>_xlfn.XLOOKUP(B29,'[6]august-2025'!$A:$A,'[6]august-2025'!$J:$J,0,0)</f>
        <v>0</v>
      </c>
      <c r="EG29">
        <f>_xlfn.XLOOKUP(B29,'[7]september-2025'!$A:$A,'[7]september-2025'!$J:$J,0,0)</f>
        <v>0</v>
      </c>
      <c r="EH29">
        <f>_xlfn.XLOOKUP(B29,'[8]october-2025'!$A:$A,'[8]october-2025'!$J:$J,0,0)</f>
        <v>0</v>
      </c>
      <c r="EI29">
        <f>_xlfn.XLOOKUP(C29,'[9]november-2025'!$A:$A,'[9]november-2025'!$J:$J,0,0)</f>
        <v>0</v>
      </c>
      <c r="EJ29">
        <f>_xlfn.XLOOKUP(B29,'[10]december-2025'!$A:$A,'[10]december-2025'!$J:$J,0,0)</f>
        <v>0</v>
      </c>
      <c r="EK29">
        <f>_xlfn.XLOOKUP(B29,'[11]january-2026'!$A:$A,'[11]january-2026'!$J:$J,0,0)</f>
        <v>0</v>
      </c>
      <c r="EL29">
        <f>_xlfn.XLOOKUP(B29,'[12]february-2026'!$A:$A,'[12]february-2026'!$J:$J,0,0)</f>
        <v>0</v>
      </c>
      <c r="EM29">
        <f t="shared" si="106"/>
        <v>0</v>
      </c>
      <c r="EN29">
        <f t="shared" si="56"/>
        <v>838692</v>
      </c>
      <c r="EO29">
        <f t="shared" si="57"/>
        <v>2400</v>
      </c>
      <c r="EP29">
        <f t="shared" si="58"/>
        <v>50000</v>
      </c>
      <c r="EQ29">
        <v>0</v>
      </c>
      <c r="ER29">
        <f t="shared" si="107"/>
        <v>786292</v>
      </c>
      <c r="ES29">
        <f t="shared" si="59"/>
        <v>180000</v>
      </c>
      <c r="ET29">
        <f t="shared" si="60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1"/>
        <v>180000</v>
      </c>
      <c r="FF29">
        <f t="shared" si="62"/>
        <v>150000</v>
      </c>
      <c r="FG29">
        <f t="shared" si="63"/>
        <v>636292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4"/>
        <v>0</v>
      </c>
      <c r="FP29">
        <f t="shared" si="65"/>
        <v>636292</v>
      </c>
      <c r="FQ29">
        <f t="shared" si="66"/>
        <v>12500</v>
      </c>
      <c r="FR29">
        <f t="shared" si="67"/>
        <v>27258</v>
      </c>
      <c r="FS29">
        <f t="shared" si="68"/>
        <v>39758</v>
      </c>
      <c r="FT29">
        <f t="shared" si="69"/>
        <v>39758</v>
      </c>
      <c r="FU29">
        <f t="shared" si="70"/>
        <v>1590.32</v>
      </c>
      <c r="FV29">
        <f t="shared" si="71"/>
        <v>41348</v>
      </c>
      <c r="FW29">
        <v>0</v>
      </c>
      <c r="FX29">
        <f t="shared" si="72"/>
        <v>41348</v>
      </c>
      <c r="FY29" t="b">
        <f t="shared" si="73"/>
        <v>1</v>
      </c>
      <c r="FZ29">
        <f t="shared" ca="1" si="74"/>
        <v>661</v>
      </c>
      <c r="GA29">
        <f t="shared" ca="1" si="75"/>
        <v>839353</v>
      </c>
      <c r="GB29">
        <f t="shared" si="76"/>
        <v>75000</v>
      </c>
      <c r="GC29">
        <f t="shared" ca="1" si="77"/>
        <v>764353</v>
      </c>
      <c r="GD29">
        <f t="shared" ca="1" si="78"/>
        <v>0</v>
      </c>
      <c r="GE29">
        <f t="shared" ca="1" si="79"/>
        <v>0</v>
      </c>
      <c r="GF29">
        <f t="shared" ca="1" si="80"/>
        <v>0</v>
      </c>
      <c r="GG29">
        <f t="shared" ca="1" si="81"/>
        <v>0</v>
      </c>
      <c r="GH29">
        <f t="shared" ca="1" si="82"/>
        <v>0</v>
      </c>
      <c r="GI29">
        <f t="shared" ca="1" si="83"/>
        <v>0</v>
      </c>
      <c r="GJ29">
        <f t="shared" ca="1" si="84"/>
        <v>0</v>
      </c>
      <c r="GK29">
        <f t="shared" ca="1" si="85"/>
        <v>0</v>
      </c>
      <c r="GL29">
        <f t="shared" ca="1" si="86"/>
        <v>0</v>
      </c>
      <c r="GM29">
        <f t="shared" ca="1" si="87"/>
        <v>0</v>
      </c>
      <c r="GN29">
        <f t="shared" ca="1" si="88"/>
        <v>364353</v>
      </c>
      <c r="GO29">
        <f t="shared" ca="1" si="89"/>
        <v>18217.650000000001</v>
      </c>
      <c r="GP29">
        <f t="shared" ca="1" si="90"/>
        <v>18218</v>
      </c>
      <c r="GQ29">
        <f t="shared" ca="1" si="91"/>
        <v>0</v>
      </c>
      <c r="GR29">
        <f t="shared" ca="1" si="92"/>
        <v>0</v>
      </c>
      <c r="GS29">
        <f t="shared" ca="1" si="93"/>
        <v>18218</v>
      </c>
      <c r="GT29">
        <f t="shared" ca="1" si="94"/>
        <v>0</v>
      </c>
      <c r="GU29" t="b">
        <f t="shared" ca="1" si="95"/>
        <v>0</v>
      </c>
      <c r="GV29">
        <f t="shared" ca="1" si="96"/>
        <v>0</v>
      </c>
      <c r="GW29">
        <f t="shared" ca="1" si="97"/>
        <v>18218</v>
      </c>
      <c r="GX29">
        <f t="shared" ca="1" si="98"/>
        <v>0</v>
      </c>
      <c r="GY29">
        <f t="shared" ca="1" si="99"/>
        <v>0</v>
      </c>
      <c r="GZ29">
        <f t="shared" ca="1" si="100"/>
        <v>0</v>
      </c>
    </row>
    <row r="30" spans="1:208" x14ac:dyDescent="0.3">
      <c r="A30">
        <f>_xlfn.AGGREGATE(3,5,$B$2:B30)</f>
        <v>29</v>
      </c>
      <c r="B30" t="s">
        <v>175</v>
      </c>
      <c r="C30" t="s">
        <v>176</v>
      </c>
      <c r="D30" t="s">
        <v>755</v>
      </c>
      <c r="E30" t="s">
        <v>831</v>
      </c>
      <c r="F30" t="s">
        <v>956</v>
      </c>
      <c r="G30" t="s">
        <v>891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1"/>
        <v>150</v>
      </c>
      <c r="S30">
        <f t="shared" si="102"/>
        <v>30370</v>
      </c>
      <c r="T30">
        <f>_xlfn.XLOOKUP(B30,'[2]april-2025'!$A:$A,'[2]april-2025'!$C:$C,0,0)</f>
        <v>27000</v>
      </c>
      <c r="U30">
        <f t="shared" si="4"/>
        <v>4860</v>
      </c>
      <c r="V30">
        <f t="shared" si="5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103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6"/>
        <v>150</v>
      </c>
      <c r="AC30">
        <f t="shared" si="7"/>
        <v>31450</v>
      </c>
      <c r="AD30">
        <f>_xlfn.XLOOKUP(B30,'[3]may-2025'!$A:$A,'[3]may-2025'!$C:$C,0,0)</f>
        <v>31600</v>
      </c>
      <c r="AE30">
        <f t="shared" si="8"/>
        <v>5688</v>
      </c>
      <c r="AF30">
        <f t="shared" si="9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04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0"/>
        <v>200</v>
      </c>
      <c r="AM30">
        <f t="shared" si="11"/>
        <v>37380</v>
      </c>
      <c r="AN30">
        <f>_xlfn.XLOOKUP(B30,'[4]june-2025'!$A:$A,'[4]june-2025'!$C:$C,0,0)</f>
        <v>31600</v>
      </c>
      <c r="AO30">
        <f t="shared" si="12"/>
        <v>5688</v>
      </c>
      <c r="AP30">
        <f t="shared" si="13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05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4"/>
        <v>200</v>
      </c>
      <c r="AW30">
        <f t="shared" si="15"/>
        <v>37380</v>
      </c>
      <c r="AX30">
        <f>_xlfn.XLOOKUP(B30,'[5]july-2025'!$A:$A,'[5]july-2025'!$C:$C,0,0)</f>
        <v>32500</v>
      </c>
      <c r="AY30">
        <f t="shared" si="16"/>
        <v>5850</v>
      </c>
      <c r="AZ30">
        <v>0</v>
      </c>
      <c r="BA30">
        <f t="shared" si="17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18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19"/>
        <v>200</v>
      </c>
      <c r="BH30">
        <f t="shared" si="20"/>
        <v>38550</v>
      </c>
      <c r="BI30">
        <f>_xlfn.XLOOKUP(B30,'[6]august-2025'!$A:$A,'[6]august-2025'!$C:$C,0,0)</f>
        <v>32500</v>
      </c>
      <c r="BJ30">
        <f t="shared" si="21"/>
        <v>5850</v>
      </c>
      <c r="BK30">
        <f t="shared" si="22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3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4"/>
        <v>200</v>
      </c>
      <c r="BR30">
        <f t="shared" si="25"/>
        <v>38550</v>
      </c>
      <c r="BS30">
        <f>_xlfn.XLOOKUP(B30,'[7]september-2025'!$A:$A,'[7]september-2025'!$C:$C,0,0)</f>
        <v>32500</v>
      </c>
      <c r="BT30">
        <f t="shared" si="26"/>
        <v>5850</v>
      </c>
      <c r="BU30">
        <f t="shared" si="27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28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29"/>
        <v>200</v>
      </c>
      <c r="CB30">
        <f t="shared" si="30"/>
        <v>38550</v>
      </c>
      <c r="CC30">
        <f>_xlfn.XLOOKUP(B30,'[8]october-2025'!$A:$A,'[8]october-2025'!$C:$C,0,0)</f>
        <v>32500</v>
      </c>
      <c r="CD30">
        <f t="shared" si="31"/>
        <v>5850</v>
      </c>
      <c r="CE30">
        <f t="shared" si="32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3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4"/>
        <v>200</v>
      </c>
      <c r="CL30">
        <f t="shared" si="35"/>
        <v>38550</v>
      </c>
      <c r="CM30">
        <f>_xlfn.XLOOKUP(B30,'[9]november-2025'!$A:$A,'[9]november-2025'!$C:$C,0,0)</f>
        <v>32500</v>
      </c>
      <c r="CN30">
        <f t="shared" si="36"/>
        <v>5850</v>
      </c>
      <c r="CO30">
        <f t="shared" si="37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38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39"/>
        <v>200</v>
      </c>
      <c r="CV30">
        <f t="shared" si="40"/>
        <v>38550</v>
      </c>
      <c r="CW30">
        <f>_xlfn.XLOOKUP(B30,'[10]december-2025'!$A:$A,'[10]december-2025'!$C:$C,0,0)</f>
        <v>32500</v>
      </c>
      <c r="CX30">
        <f t="shared" si="41"/>
        <v>5850</v>
      </c>
      <c r="CY30">
        <f t="shared" si="42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3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4"/>
        <v>200</v>
      </c>
      <c r="DF30">
        <f t="shared" si="45"/>
        <v>38550</v>
      </c>
      <c r="DG30">
        <f>_xlfn.XLOOKUP(B30,'[11]january-2026'!$A:$A,'[11]january-2026'!$C:$C,0,0)</f>
        <v>32500</v>
      </c>
      <c r="DH30">
        <f t="shared" si="46"/>
        <v>5850</v>
      </c>
      <c r="DI30">
        <f t="shared" si="47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48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49"/>
        <v>200</v>
      </c>
      <c r="DP30">
        <f t="shared" si="50"/>
        <v>38550</v>
      </c>
      <c r="DQ30">
        <f>_xlfn.XLOOKUP(B30,'[12]february-2026'!$A:$A,'[12]february-2026'!$C:$C,0,0)</f>
        <v>32500</v>
      </c>
      <c r="DR30">
        <f t="shared" si="51"/>
        <v>5850</v>
      </c>
      <c r="DS30">
        <f t="shared" si="52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3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4"/>
        <v>200</v>
      </c>
      <c r="DZ30">
        <f t="shared" si="55"/>
        <v>38550</v>
      </c>
      <c r="EA30">
        <f>_xlfn.XLOOKUP(B30,'[1]march-2025'!$A:$A,'[1]march-2025'!$J:$J,0,0)</f>
        <v>0</v>
      </c>
      <c r="EB30">
        <f>_xlfn.XLOOKUP(B30,'[2]april-2025'!$A:$A,'[2]april-2025'!$J:$J,0,0)</f>
        <v>0</v>
      </c>
      <c r="EC30">
        <f>_xlfn.XLOOKUP(B30,'[3]may-2025'!$A:$A,'[3]may-2025'!$J:$J,0,0)</f>
        <v>0</v>
      </c>
      <c r="ED30">
        <f>_xlfn.XLOOKUP(B30,'[4]june-2025'!$A:$A,'[4]june-2025'!$J:$J,0,0)</f>
        <v>0</v>
      </c>
      <c r="EE30">
        <f>_xlfn.XLOOKUP(B30,'[5]july-2025'!$A:$A,'[5]july-2025'!$J:$J,0,0)</f>
        <v>0</v>
      </c>
      <c r="EF30">
        <f>_xlfn.XLOOKUP(B30,'[6]august-2025'!$A:$A,'[6]august-2025'!$J:$J,0,0)</f>
        <v>0</v>
      </c>
      <c r="EG30">
        <f>_xlfn.XLOOKUP(B30,'[7]september-2025'!$A:$A,'[7]september-2025'!$J:$J,0,0)</f>
        <v>0</v>
      </c>
      <c r="EH30">
        <f>_xlfn.XLOOKUP(B30,'[8]october-2025'!$A:$A,'[8]october-2025'!$J:$J,0,0)</f>
        <v>0</v>
      </c>
      <c r="EI30">
        <f>_xlfn.XLOOKUP(C30,'[9]november-2025'!$A:$A,'[9]november-2025'!$J:$J,0,0)</f>
        <v>0</v>
      </c>
      <c r="EJ30">
        <f>_xlfn.XLOOKUP(B30,'[10]december-2025'!$A:$A,'[10]december-2025'!$J:$J,0,0)</f>
        <v>0</v>
      </c>
      <c r="EK30">
        <f>_xlfn.XLOOKUP(B30,'[11]january-2026'!$A:$A,'[11]january-2026'!$J:$J,0,0)</f>
        <v>0</v>
      </c>
      <c r="EL30">
        <f>_xlfn.XLOOKUP(B30,'[12]february-2026'!$A:$A,'[12]february-2026'!$J:$J,0,0)</f>
        <v>0</v>
      </c>
      <c r="EM30">
        <f t="shared" si="106"/>
        <v>0</v>
      </c>
      <c r="EN30">
        <f t="shared" si="56"/>
        <v>502080</v>
      </c>
      <c r="EO30">
        <f t="shared" si="57"/>
        <v>2300</v>
      </c>
      <c r="EP30">
        <f t="shared" si="58"/>
        <v>50000</v>
      </c>
      <c r="EQ30">
        <v>0</v>
      </c>
      <c r="ER30">
        <f t="shared" si="107"/>
        <v>449780</v>
      </c>
      <c r="ES30">
        <f t="shared" si="59"/>
        <v>48000</v>
      </c>
      <c r="ET30">
        <f t="shared" si="60"/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si="61"/>
        <v>48000</v>
      </c>
      <c r="FF30">
        <f t="shared" si="62"/>
        <v>48000</v>
      </c>
      <c r="FG30">
        <f t="shared" si="63"/>
        <v>401780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si="64"/>
        <v>0</v>
      </c>
      <c r="FP30">
        <f t="shared" si="65"/>
        <v>401780</v>
      </c>
      <c r="FQ30">
        <f t="shared" si="66"/>
        <v>7589</v>
      </c>
      <c r="FR30">
        <f t="shared" si="67"/>
        <v>0</v>
      </c>
      <c r="FS30">
        <f t="shared" si="68"/>
        <v>7589</v>
      </c>
      <c r="FT30">
        <f t="shared" si="69"/>
        <v>0</v>
      </c>
      <c r="FU30">
        <f t="shared" si="70"/>
        <v>0</v>
      </c>
      <c r="FV30">
        <f t="shared" si="71"/>
        <v>0</v>
      </c>
      <c r="FW30">
        <v>0</v>
      </c>
      <c r="FX30">
        <f t="shared" si="72"/>
        <v>0</v>
      </c>
      <c r="FY30" t="b">
        <f t="shared" si="73"/>
        <v>1</v>
      </c>
      <c r="FZ30">
        <f t="shared" ca="1" si="74"/>
        <v>648</v>
      </c>
      <c r="GA30">
        <f t="shared" ca="1" si="75"/>
        <v>502728</v>
      </c>
      <c r="GB30">
        <f t="shared" si="76"/>
        <v>75000</v>
      </c>
      <c r="GC30">
        <f t="shared" ca="1" si="77"/>
        <v>427728</v>
      </c>
      <c r="GD30">
        <f t="shared" ca="1" si="78"/>
        <v>0</v>
      </c>
      <c r="GE30">
        <f t="shared" ca="1" si="79"/>
        <v>0</v>
      </c>
      <c r="GF30">
        <f t="shared" ca="1" si="80"/>
        <v>0</v>
      </c>
      <c r="GG30">
        <f t="shared" ca="1" si="81"/>
        <v>0</v>
      </c>
      <c r="GH30">
        <f t="shared" ca="1" si="82"/>
        <v>0</v>
      </c>
      <c r="GI30">
        <f t="shared" ca="1" si="83"/>
        <v>0</v>
      </c>
      <c r="GJ30">
        <f t="shared" ca="1" si="84"/>
        <v>0</v>
      </c>
      <c r="GK30">
        <f t="shared" ca="1" si="85"/>
        <v>0</v>
      </c>
      <c r="GL30">
        <f t="shared" ca="1" si="86"/>
        <v>0</v>
      </c>
      <c r="GM30">
        <f t="shared" ca="1" si="87"/>
        <v>0</v>
      </c>
      <c r="GN30">
        <f t="shared" ca="1" si="88"/>
        <v>27728</v>
      </c>
      <c r="GO30">
        <f t="shared" ca="1" si="89"/>
        <v>1386.4</v>
      </c>
      <c r="GP30">
        <f t="shared" ca="1" si="90"/>
        <v>1386</v>
      </c>
      <c r="GQ30">
        <f t="shared" ca="1" si="91"/>
        <v>0</v>
      </c>
      <c r="GR30">
        <f t="shared" ca="1" si="92"/>
        <v>0</v>
      </c>
      <c r="GS30">
        <f t="shared" ca="1" si="93"/>
        <v>1386</v>
      </c>
      <c r="GT30">
        <f t="shared" ca="1" si="94"/>
        <v>0</v>
      </c>
      <c r="GU30" t="b">
        <f t="shared" ca="1" si="95"/>
        <v>0</v>
      </c>
      <c r="GV30">
        <f t="shared" ca="1" si="96"/>
        <v>0</v>
      </c>
      <c r="GW30">
        <f t="shared" ca="1" si="97"/>
        <v>1386</v>
      </c>
      <c r="GX30">
        <f t="shared" ca="1" si="98"/>
        <v>0</v>
      </c>
      <c r="GY30">
        <f t="shared" ca="1" si="99"/>
        <v>0</v>
      </c>
      <c r="GZ30">
        <f t="shared" ca="1" si="100"/>
        <v>0</v>
      </c>
    </row>
    <row r="31" spans="1:208" x14ac:dyDescent="0.3">
      <c r="A31">
        <f>_xlfn.AGGREGATE(3,5,$B$2:B31)</f>
        <v>30</v>
      </c>
      <c r="B31" t="s">
        <v>177</v>
      </c>
      <c r="C31" t="s">
        <v>178</v>
      </c>
      <c r="D31" t="s">
        <v>756</v>
      </c>
      <c r="E31" t="s">
        <v>831</v>
      </c>
      <c r="F31" t="s">
        <v>956</v>
      </c>
      <c r="G31" t="s">
        <v>884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1"/>
        <v>200</v>
      </c>
      <c r="S31">
        <f t="shared" si="102"/>
        <v>61782</v>
      </c>
      <c r="T31">
        <f>_xlfn.XLOOKUP(B31,'[2]april-2025'!$A:$A,'[2]april-2025'!$C:$C,0,0)</f>
        <v>51700</v>
      </c>
      <c r="U31">
        <f t="shared" si="4"/>
        <v>9306</v>
      </c>
      <c r="V31">
        <f t="shared" si="5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103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6"/>
        <v>200</v>
      </c>
      <c r="AC31">
        <f t="shared" si="7"/>
        <v>63850</v>
      </c>
      <c r="AD31">
        <f>_xlfn.XLOOKUP(B31,'[3]may-2025'!$A:$A,'[3]may-2025'!$C:$C,0,0)</f>
        <v>51700</v>
      </c>
      <c r="AE31">
        <f t="shared" si="8"/>
        <v>9306</v>
      </c>
      <c r="AF31">
        <f t="shared" si="9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04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0"/>
        <v>200</v>
      </c>
      <c r="AM31">
        <f t="shared" si="11"/>
        <v>63850</v>
      </c>
      <c r="AN31">
        <f>_xlfn.XLOOKUP(B31,'[4]june-2025'!$A:$A,'[4]june-2025'!$C:$C,0,0)</f>
        <v>51700</v>
      </c>
      <c r="AO31">
        <f t="shared" si="12"/>
        <v>9306</v>
      </c>
      <c r="AP31">
        <f t="shared" si="13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05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4"/>
        <v>200</v>
      </c>
      <c r="AW31">
        <f t="shared" si="15"/>
        <v>63850</v>
      </c>
      <c r="AX31">
        <f>_xlfn.XLOOKUP(B31,'[5]july-2025'!$A:$A,'[5]july-2025'!$C:$C,0,0)</f>
        <v>53300</v>
      </c>
      <c r="AY31">
        <f t="shared" si="16"/>
        <v>9594</v>
      </c>
      <c r="AZ31">
        <v>0</v>
      </c>
      <c r="BA31">
        <f t="shared" si="17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18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19"/>
        <v>200</v>
      </c>
      <c r="BH31">
        <f t="shared" si="20"/>
        <v>65930</v>
      </c>
      <c r="BI31">
        <f>_xlfn.XLOOKUP(B31,'[6]august-2025'!$A:$A,'[6]august-2025'!$C:$C,0,0)</f>
        <v>53300</v>
      </c>
      <c r="BJ31">
        <f t="shared" si="21"/>
        <v>9594</v>
      </c>
      <c r="BK31">
        <f t="shared" si="22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3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4"/>
        <v>200</v>
      </c>
      <c r="BR31">
        <f t="shared" si="25"/>
        <v>65930</v>
      </c>
      <c r="BS31">
        <f>_xlfn.XLOOKUP(B31,'[7]september-2025'!$A:$A,'[7]september-2025'!$C:$C,0,0)</f>
        <v>53300</v>
      </c>
      <c r="BT31">
        <f t="shared" si="26"/>
        <v>9594</v>
      </c>
      <c r="BU31">
        <f t="shared" si="27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28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29"/>
        <v>200</v>
      </c>
      <c r="CB31">
        <f t="shared" si="30"/>
        <v>65930</v>
      </c>
      <c r="CC31">
        <f>_xlfn.XLOOKUP(B31,'[8]october-2025'!$A:$A,'[8]october-2025'!$C:$C,0,0)</f>
        <v>53300</v>
      </c>
      <c r="CD31">
        <f t="shared" si="31"/>
        <v>9594</v>
      </c>
      <c r="CE31">
        <f t="shared" si="32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3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4"/>
        <v>200</v>
      </c>
      <c r="CL31">
        <f t="shared" si="35"/>
        <v>65930</v>
      </c>
      <c r="CM31">
        <f>_xlfn.XLOOKUP(B31,'[9]november-2025'!$A:$A,'[9]november-2025'!$C:$C,0,0)</f>
        <v>53300</v>
      </c>
      <c r="CN31">
        <f t="shared" si="36"/>
        <v>9594</v>
      </c>
      <c r="CO31">
        <f t="shared" si="37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38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39"/>
        <v>200</v>
      </c>
      <c r="CV31">
        <f t="shared" si="40"/>
        <v>65930</v>
      </c>
      <c r="CW31">
        <f>_xlfn.XLOOKUP(B31,'[10]december-2025'!$A:$A,'[10]december-2025'!$C:$C,0,0)</f>
        <v>53300</v>
      </c>
      <c r="CX31">
        <f t="shared" si="41"/>
        <v>9594</v>
      </c>
      <c r="CY31">
        <f t="shared" si="42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3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4"/>
        <v>200</v>
      </c>
      <c r="DF31">
        <f t="shared" si="45"/>
        <v>65930</v>
      </c>
      <c r="DG31">
        <f>_xlfn.XLOOKUP(B31,'[11]january-2026'!$A:$A,'[11]january-2026'!$C:$C,0,0)</f>
        <v>53300</v>
      </c>
      <c r="DH31">
        <f t="shared" si="46"/>
        <v>9594</v>
      </c>
      <c r="DI31">
        <f t="shared" si="47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48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49"/>
        <v>200</v>
      </c>
      <c r="DP31">
        <f t="shared" si="50"/>
        <v>65930</v>
      </c>
      <c r="DQ31">
        <f>_xlfn.XLOOKUP(B31,'[12]february-2026'!$A:$A,'[12]february-2026'!$C:$C,0,0)</f>
        <v>53300</v>
      </c>
      <c r="DR31">
        <f t="shared" si="51"/>
        <v>9594</v>
      </c>
      <c r="DS31">
        <f t="shared" si="52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3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4"/>
        <v>200</v>
      </c>
      <c r="DZ31">
        <f t="shared" si="55"/>
        <v>65930</v>
      </c>
      <c r="EA31">
        <f>_xlfn.XLOOKUP(B31,'[1]march-2025'!$A:$A,'[1]march-2025'!$J:$J,0,0)</f>
        <v>0</v>
      </c>
      <c r="EB31">
        <f>_xlfn.XLOOKUP(B31,'[2]april-2025'!$A:$A,'[2]april-2025'!$J:$J,0,0)</f>
        <v>0</v>
      </c>
      <c r="EC31">
        <f>_xlfn.XLOOKUP(B31,'[3]may-2025'!$A:$A,'[3]may-2025'!$J:$J,0,0)</f>
        <v>0</v>
      </c>
      <c r="ED31">
        <f>_xlfn.XLOOKUP(B31,'[4]june-2025'!$A:$A,'[4]june-2025'!$J:$J,0,0)</f>
        <v>0</v>
      </c>
      <c r="EE31">
        <f>_xlfn.XLOOKUP(B31,'[5]july-2025'!$A:$A,'[5]july-2025'!$J:$J,0,0)</f>
        <v>0</v>
      </c>
      <c r="EF31">
        <f>_xlfn.XLOOKUP(B31,'[6]august-2025'!$A:$A,'[6]august-2025'!$J:$J,0,0)</f>
        <v>0</v>
      </c>
      <c r="EG31">
        <f>_xlfn.XLOOKUP(B31,'[7]september-2025'!$A:$A,'[7]september-2025'!$J:$J,0,0)</f>
        <v>0</v>
      </c>
      <c r="EH31">
        <f>_xlfn.XLOOKUP(B31,'[8]october-2025'!$A:$A,'[8]october-2025'!$J:$J,0,0)</f>
        <v>0</v>
      </c>
      <c r="EI31">
        <f>_xlfn.XLOOKUP(C31,'[9]november-2025'!$A:$A,'[9]november-2025'!$J:$J,0,0)</f>
        <v>0</v>
      </c>
      <c r="EJ31">
        <f>_xlfn.XLOOKUP(B31,'[10]december-2025'!$A:$A,'[10]december-2025'!$J:$J,0,0)</f>
        <v>0</v>
      </c>
      <c r="EK31">
        <f>_xlfn.XLOOKUP(B31,'[11]january-2026'!$A:$A,'[11]january-2026'!$J:$J,0,0)</f>
        <v>0</v>
      </c>
      <c r="EL31">
        <f>_xlfn.XLOOKUP(B31,'[12]february-2026'!$A:$A,'[12]february-2026'!$J:$J,0,0)</f>
        <v>0</v>
      </c>
      <c r="EM31">
        <f t="shared" si="106"/>
        <v>0</v>
      </c>
      <c r="EN31">
        <f t="shared" si="56"/>
        <v>838692</v>
      </c>
      <c r="EO31">
        <f t="shared" si="57"/>
        <v>2400</v>
      </c>
      <c r="EP31">
        <f t="shared" si="58"/>
        <v>50000</v>
      </c>
      <c r="EQ31">
        <v>0</v>
      </c>
      <c r="ER31">
        <f t="shared" si="107"/>
        <v>786292</v>
      </c>
      <c r="ES31">
        <f t="shared" si="59"/>
        <v>48000</v>
      </c>
      <c r="ET31">
        <f t="shared" si="60"/>
        <v>720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1"/>
        <v>48720</v>
      </c>
      <c r="FF31">
        <f t="shared" si="62"/>
        <v>48720</v>
      </c>
      <c r="FG31">
        <f t="shared" si="63"/>
        <v>737572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4"/>
        <v>0</v>
      </c>
      <c r="FP31">
        <f t="shared" si="65"/>
        <v>737572</v>
      </c>
      <c r="FQ31">
        <f t="shared" si="66"/>
        <v>12500</v>
      </c>
      <c r="FR31">
        <f t="shared" si="67"/>
        <v>47514</v>
      </c>
      <c r="FS31">
        <f t="shared" si="68"/>
        <v>60014</v>
      </c>
      <c r="FT31">
        <f t="shared" si="69"/>
        <v>60014</v>
      </c>
      <c r="FU31">
        <f t="shared" si="70"/>
        <v>2400.56</v>
      </c>
      <c r="FV31">
        <f t="shared" si="71"/>
        <v>62415</v>
      </c>
      <c r="FW31">
        <v>0</v>
      </c>
      <c r="FX31">
        <f t="shared" si="72"/>
        <v>62415</v>
      </c>
      <c r="FY31" t="b">
        <f t="shared" si="73"/>
        <v>1</v>
      </c>
      <c r="FZ31">
        <f t="shared" ca="1" si="74"/>
        <v>897</v>
      </c>
      <c r="GA31">
        <f t="shared" ca="1" si="75"/>
        <v>839589</v>
      </c>
      <c r="GB31">
        <f t="shared" si="76"/>
        <v>75000</v>
      </c>
      <c r="GC31">
        <f t="shared" ca="1" si="77"/>
        <v>764589</v>
      </c>
      <c r="GD31">
        <f t="shared" ca="1" si="78"/>
        <v>0</v>
      </c>
      <c r="GE31">
        <f t="shared" ca="1" si="79"/>
        <v>0</v>
      </c>
      <c r="GF31">
        <f t="shared" ca="1" si="80"/>
        <v>0</v>
      </c>
      <c r="GG31">
        <f t="shared" ca="1" si="81"/>
        <v>0</v>
      </c>
      <c r="GH31">
        <f t="shared" ca="1" si="82"/>
        <v>0</v>
      </c>
      <c r="GI31">
        <f t="shared" ca="1" si="83"/>
        <v>0</v>
      </c>
      <c r="GJ31">
        <f t="shared" ca="1" si="84"/>
        <v>0</v>
      </c>
      <c r="GK31">
        <f t="shared" ca="1" si="85"/>
        <v>0</v>
      </c>
      <c r="GL31">
        <f t="shared" ca="1" si="86"/>
        <v>0</v>
      </c>
      <c r="GM31">
        <f t="shared" ca="1" si="87"/>
        <v>0</v>
      </c>
      <c r="GN31">
        <f t="shared" ca="1" si="88"/>
        <v>364589</v>
      </c>
      <c r="GO31">
        <f t="shared" ca="1" si="89"/>
        <v>18229.45</v>
      </c>
      <c r="GP31">
        <f t="shared" ca="1" si="90"/>
        <v>18229</v>
      </c>
      <c r="GQ31">
        <f t="shared" ca="1" si="91"/>
        <v>0</v>
      </c>
      <c r="GR31">
        <f t="shared" ca="1" si="92"/>
        <v>0</v>
      </c>
      <c r="GS31">
        <f t="shared" ca="1" si="93"/>
        <v>18229</v>
      </c>
      <c r="GT31">
        <f t="shared" ca="1" si="94"/>
        <v>0</v>
      </c>
      <c r="GU31" t="b">
        <f t="shared" ca="1" si="95"/>
        <v>0</v>
      </c>
      <c r="GV31">
        <f t="shared" ca="1" si="96"/>
        <v>0</v>
      </c>
      <c r="GW31">
        <f t="shared" ca="1" si="97"/>
        <v>18229</v>
      </c>
      <c r="GX31">
        <f t="shared" ca="1" si="98"/>
        <v>0</v>
      </c>
      <c r="GY31">
        <f t="shared" ca="1" si="99"/>
        <v>0</v>
      </c>
      <c r="GZ31">
        <f t="shared" ca="1" si="100"/>
        <v>0</v>
      </c>
    </row>
    <row r="32" spans="1:208" x14ac:dyDescent="0.3">
      <c r="A32">
        <f>_xlfn.AGGREGATE(3,5,$B$2:B32)</f>
        <v>31</v>
      </c>
      <c r="B32" t="s">
        <v>179</v>
      </c>
      <c r="C32" t="s">
        <v>180</v>
      </c>
      <c r="D32" t="s">
        <v>756</v>
      </c>
      <c r="E32" t="s">
        <v>830</v>
      </c>
      <c r="F32" t="s">
        <v>956</v>
      </c>
      <c r="G32" t="s">
        <v>880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1"/>
        <v>150</v>
      </c>
      <c r="S32">
        <f t="shared" si="102"/>
        <v>34764</v>
      </c>
      <c r="T32">
        <f>_xlfn.XLOOKUP(B32,'[2]april-2025'!$A:$A,'[2]april-2025'!$C:$C,0,0)</f>
        <v>28900</v>
      </c>
      <c r="U32">
        <f t="shared" si="4"/>
        <v>5202</v>
      </c>
      <c r="V32">
        <f t="shared" si="5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103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6"/>
        <v>150</v>
      </c>
      <c r="AC32">
        <f t="shared" si="7"/>
        <v>35920</v>
      </c>
      <c r="AD32">
        <f>_xlfn.XLOOKUP(B32,'[3]may-2025'!$A:$A,'[3]may-2025'!$C:$C,0,0)</f>
        <v>28900</v>
      </c>
      <c r="AE32">
        <f t="shared" si="8"/>
        <v>5202</v>
      </c>
      <c r="AF32">
        <f t="shared" si="9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04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0"/>
        <v>150</v>
      </c>
      <c r="AM32">
        <f t="shared" si="11"/>
        <v>35920</v>
      </c>
      <c r="AN32">
        <f>_xlfn.XLOOKUP(B32,'[4]june-2025'!$A:$A,'[4]june-2025'!$C:$C,0,0)</f>
        <v>28900</v>
      </c>
      <c r="AO32">
        <f t="shared" si="12"/>
        <v>5202</v>
      </c>
      <c r="AP32">
        <f t="shared" si="13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05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4"/>
        <v>150</v>
      </c>
      <c r="AW32">
        <f t="shared" si="15"/>
        <v>35920</v>
      </c>
      <c r="AX32">
        <f>_xlfn.XLOOKUP(B32,'[5]july-2025'!$A:$A,'[5]july-2025'!$C:$C,0,0)</f>
        <v>29800</v>
      </c>
      <c r="AY32">
        <f t="shared" si="16"/>
        <v>5364</v>
      </c>
      <c r="AZ32">
        <v>0</v>
      </c>
      <c r="BA32">
        <f t="shared" si="17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18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19"/>
        <v>150</v>
      </c>
      <c r="BH32">
        <f t="shared" si="20"/>
        <v>37090</v>
      </c>
      <c r="BI32">
        <f>_xlfn.XLOOKUP(B32,'[6]august-2025'!$A:$A,'[6]august-2025'!$C:$C,0,0)</f>
        <v>29800</v>
      </c>
      <c r="BJ32">
        <f t="shared" si="21"/>
        <v>5364</v>
      </c>
      <c r="BK32">
        <f t="shared" si="22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3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4"/>
        <v>150</v>
      </c>
      <c r="BR32">
        <f t="shared" si="25"/>
        <v>37090</v>
      </c>
      <c r="BS32">
        <f>_xlfn.XLOOKUP(B32,'[7]september-2025'!$A:$A,'[7]september-2025'!$C:$C,0,0)</f>
        <v>29800</v>
      </c>
      <c r="BT32">
        <f t="shared" si="26"/>
        <v>5364</v>
      </c>
      <c r="BU32">
        <f t="shared" si="27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28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29"/>
        <v>150</v>
      </c>
      <c r="CB32">
        <f t="shared" si="30"/>
        <v>37090</v>
      </c>
      <c r="CC32">
        <f>_xlfn.XLOOKUP(B32,'[8]october-2025'!$A:$A,'[8]october-2025'!$C:$C,0,0)</f>
        <v>29800</v>
      </c>
      <c r="CD32">
        <f t="shared" si="31"/>
        <v>5364</v>
      </c>
      <c r="CE32">
        <f t="shared" si="32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3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4"/>
        <v>150</v>
      </c>
      <c r="CL32">
        <f t="shared" si="35"/>
        <v>37090</v>
      </c>
      <c r="CM32">
        <f>_xlfn.XLOOKUP(B32,'[9]november-2025'!$A:$A,'[9]november-2025'!$C:$C,0,0)</f>
        <v>29800</v>
      </c>
      <c r="CN32">
        <f t="shared" si="36"/>
        <v>5364</v>
      </c>
      <c r="CO32">
        <f t="shared" si="37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38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39"/>
        <v>150</v>
      </c>
      <c r="CV32">
        <f t="shared" si="40"/>
        <v>37090</v>
      </c>
      <c r="CW32">
        <f>_xlfn.XLOOKUP(B32,'[10]december-2025'!$A:$A,'[10]december-2025'!$C:$C,0,0)</f>
        <v>29800</v>
      </c>
      <c r="CX32">
        <f t="shared" si="41"/>
        <v>5364</v>
      </c>
      <c r="CY32">
        <f t="shared" si="42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3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4"/>
        <v>150</v>
      </c>
      <c r="DF32">
        <f t="shared" si="45"/>
        <v>37090</v>
      </c>
      <c r="DG32">
        <f>_xlfn.XLOOKUP(B32,'[11]january-2026'!$A:$A,'[11]january-2026'!$C:$C,0,0)</f>
        <v>29800</v>
      </c>
      <c r="DH32">
        <f t="shared" si="46"/>
        <v>5364</v>
      </c>
      <c r="DI32">
        <f t="shared" si="47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48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49"/>
        <v>150</v>
      </c>
      <c r="DP32">
        <f t="shared" si="50"/>
        <v>37090</v>
      </c>
      <c r="DQ32">
        <f>_xlfn.XLOOKUP(B32,'[12]february-2026'!$A:$A,'[12]february-2026'!$C:$C,0,0)</f>
        <v>29800</v>
      </c>
      <c r="DR32">
        <f t="shared" si="51"/>
        <v>5364</v>
      </c>
      <c r="DS32">
        <f t="shared" si="52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3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4"/>
        <v>150</v>
      </c>
      <c r="DZ32">
        <f t="shared" si="55"/>
        <v>37090</v>
      </c>
      <c r="EA32">
        <f>_xlfn.XLOOKUP(B32,'[1]march-2025'!$A:$A,'[1]march-2025'!$J:$J,0,0)</f>
        <v>0</v>
      </c>
      <c r="EB32">
        <f>_xlfn.XLOOKUP(B32,'[2]april-2025'!$A:$A,'[2]april-2025'!$J:$J,0,0)</f>
        <v>0</v>
      </c>
      <c r="EC32">
        <f>_xlfn.XLOOKUP(B32,'[3]may-2025'!$A:$A,'[3]may-2025'!$J:$J,0,0)</f>
        <v>61490</v>
      </c>
      <c r="ED32">
        <f>_xlfn.XLOOKUP(B32,'[4]june-2025'!$A:$A,'[4]june-2025'!$J:$J,0,0)</f>
        <v>0</v>
      </c>
      <c r="EE32">
        <f>_xlfn.XLOOKUP(B32,'[5]july-2025'!$A:$A,'[5]july-2025'!$J:$J,0,0)</f>
        <v>0</v>
      </c>
      <c r="EF32">
        <f>_xlfn.XLOOKUP(B32,'[6]august-2025'!$A:$A,'[6]august-2025'!$J:$J,0,0)</f>
        <v>0</v>
      </c>
      <c r="EG32">
        <f>_xlfn.XLOOKUP(B32,'[7]september-2025'!$A:$A,'[7]september-2025'!$J:$J,0,0)</f>
        <v>0</v>
      </c>
      <c r="EH32">
        <f>_xlfn.XLOOKUP(B32,'[8]october-2025'!$A:$A,'[8]october-2025'!$J:$J,0,0)</f>
        <v>0</v>
      </c>
      <c r="EI32">
        <f>_xlfn.XLOOKUP(C32,'[9]november-2025'!$A:$A,'[9]november-2025'!$J:$J,0,0)</f>
        <v>0</v>
      </c>
      <c r="EJ32">
        <f>_xlfn.XLOOKUP(B32,'[10]december-2025'!$A:$A,'[10]december-2025'!$J:$J,0,0)</f>
        <v>0</v>
      </c>
      <c r="EK32">
        <f>_xlfn.XLOOKUP(B32,'[11]january-2026'!$A:$A,'[11]january-2026'!$J:$J,0,0)</f>
        <v>0</v>
      </c>
      <c r="EL32">
        <f>_xlfn.XLOOKUP(B32,'[12]february-2026'!$A:$A,'[12]february-2026'!$J:$J,0,0)</f>
        <v>0</v>
      </c>
      <c r="EM32">
        <f t="shared" si="106"/>
        <v>61490</v>
      </c>
      <c r="EN32">
        <f t="shared" si="56"/>
        <v>471844</v>
      </c>
      <c r="EO32">
        <f t="shared" si="57"/>
        <v>1800</v>
      </c>
      <c r="EP32">
        <f t="shared" si="58"/>
        <v>50000</v>
      </c>
      <c r="EQ32">
        <v>0</v>
      </c>
      <c r="ER32">
        <f t="shared" si="107"/>
        <v>481534</v>
      </c>
      <c r="ES32">
        <f t="shared" si="59"/>
        <v>24000</v>
      </c>
      <c r="ET32">
        <f t="shared" si="60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1"/>
        <v>24000</v>
      </c>
      <c r="FF32">
        <f t="shared" si="62"/>
        <v>24000</v>
      </c>
      <c r="FG32">
        <f t="shared" si="63"/>
        <v>457534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4"/>
        <v>0</v>
      </c>
      <c r="FP32">
        <f t="shared" si="65"/>
        <v>457534</v>
      </c>
      <c r="FQ32">
        <f t="shared" si="66"/>
        <v>10377</v>
      </c>
      <c r="FR32">
        <f t="shared" si="67"/>
        <v>0</v>
      </c>
      <c r="FS32">
        <f t="shared" si="68"/>
        <v>10377</v>
      </c>
      <c r="FT32">
        <f t="shared" si="69"/>
        <v>0</v>
      </c>
      <c r="FU32">
        <f t="shared" si="70"/>
        <v>0</v>
      </c>
      <c r="FV32">
        <f t="shared" si="71"/>
        <v>0</v>
      </c>
      <c r="FW32">
        <v>0</v>
      </c>
      <c r="FX32">
        <f t="shared" si="72"/>
        <v>0</v>
      </c>
      <c r="FY32" t="b">
        <f t="shared" si="73"/>
        <v>0</v>
      </c>
      <c r="FZ32">
        <f t="shared" ca="1" si="74"/>
        <v>1462</v>
      </c>
      <c r="GA32">
        <f t="shared" ca="1" si="75"/>
        <v>473306</v>
      </c>
      <c r="GB32">
        <f t="shared" si="76"/>
        <v>75000</v>
      </c>
      <c r="GC32">
        <f t="shared" ca="1" si="77"/>
        <v>398306</v>
      </c>
      <c r="GD32">
        <f t="shared" ca="1" si="78"/>
        <v>0</v>
      </c>
      <c r="GE32">
        <f t="shared" ca="1" si="79"/>
        <v>0</v>
      </c>
      <c r="GF32">
        <f t="shared" ca="1" si="80"/>
        <v>0</v>
      </c>
      <c r="GG32">
        <f t="shared" ca="1" si="81"/>
        <v>0</v>
      </c>
      <c r="GH32">
        <f t="shared" ca="1" si="82"/>
        <v>0</v>
      </c>
      <c r="GI32">
        <f t="shared" ca="1" si="83"/>
        <v>0</v>
      </c>
      <c r="GJ32">
        <f t="shared" ca="1" si="84"/>
        <v>0</v>
      </c>
      <c r="GK32">
        <f t="shared" ca="1" si="85"/>
        <v>0</v>
      </c>
      <c r="GL32">
        <f t="shared" ca="1" si="86"/>
        <v>0</v>
      </c>
      <c r="GM32">
        <f t="shared" ca="1" si="87"/>
        <v>0</v>
      </c>
      <c r="GN32">
        <f t="shared" ca="1" si="88"/>
        <v>0</v>
      </c>
      <c r="GO32">
        <f t="shared" ca="1" si="89"/>
        <v>0</v>
      </c>
      <c r="GP32">
        <f t="shared" ca="1" si="90"/>
        <v>0</v>
      </c>
      <c r="GQ32">
        <f t="shared" ca="1" si="91"/>
        <v>0</v>
      </c>
      <c r="GR32">
        <f t="shared" ca="1" si="92"/>
        <v>0</v>
      </c>
      <c r="GS32">
        <f t="shared" ca="1" si="93"/>
        <v>0</v>
      </c>
      <c r="GT32">
        <f t="shared" ca="1" si="94"/>
        <v>0</v>
      </c>
      <c r="GU32" t="b">
        <f t="shared" ca="1" si="95"/>
        <v>0</v>
      </c>
      <c r="GV32">
        <f t="shared" ca="1" si="96"/>
        <v>0</v>
      </c>
      <c r="GW32">
        <f t="shared" ca="1" si="97"/>
        <v>0</v>
      </c>
      <c r="GX32">
        <f t="shared" ca="1" si="98"/>
        <v>0</v>
      </c>
      <c r="GY32">
        <f t="shared" ca="1" si="99"/>
        <v>0</v>
      </c>
      <c r="GZ32">
        <f t="shared" ca="1" si="100"/>
        <v>0</v>
      </c>
    </row>
    <row r="33" spans="1:208" x14ac:dyDescent="0.3">
      <c r="A33">
        <f>_xlfn.AGGREGATE(3,5,$B$2:B33)</f>
        <v>32</v>
      </c>
      <c r="B33" t="s">
        <v>181</v>
      </c>
      <c r="C33" t="s">
        <v>182</v>
      </c>
      <c r="D33" t="s">
        <v>757</v>
      </c>
      <c r="E33" t="s">
        <v>831</v>
      </c>
      <c r="F33" t="s">
        <v>956</v>
      </c>
      <c r="G33" t="s">
        <v>879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1"/>
        <v>200</v>
      </c>
      <c r="S33">
        <f t="shared" si="102"/>
        <v>61282</v>
      </c>
      <c r="T33">
        <f>_xlfn.XLOOKUP(B33,'[2]april-2025'!$A:$A,'[2]april-2025'!$C:$C,0,0)</f>
        <v>51700</v>
      </c>
      <c r="U33">
        <f t="shared" si="4"/>
        <v>9306</v>
      </c>
      <c r="V33">
        <f t="shared" si="5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103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6"/>
        <v>200</v>
      </c>
      <c r="AC33">
        <f t="shared" si="7"/>
        <v>63350</v>
      </c>
      <c r="AD33">
        <f>_xlfn.XLOOKUP(B33,'[3]may-2025'!$A:$A,'[3]may-2025'!$C:$C,0,0)</f>
        <v>51700</v>
      </c>
      <c r="AE33">
        <f t="shared" si="8"/>
        <v>9306</v>
      </c>
      <c r="AF33">
        <f t="shared" si="9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04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0"/>
        <v>200</v>
      </c>
      <c r="AM33">
        <f t="shared" si="11"/>
        <v>63350</v>
      </c>
      <c r="AN33">
        <f>_xlfn.XLOOKUP(B33,'[4]june-2025'!$A:$A,'[4]june-2025'!$C:$C,0,0)</f>
        <v>51700</v>
      </c>
      <c r="AO33">
        <f t="shared" si="12"/>
        <v>9306</v>
      </c>
      <c r="AP33">
        <f t="shared" si="13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05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4"/>
        <v>200</v>
      </c>
      <c r="AW33">
        <f t="shared" si="15"/>
        <v>63350</v>
      </c>
      <c r="AX33">
        <f>_xlfn.XLOOKUP(B33,'[5]july-2025'!$A:$A,'[5]july-2025'!$C:$C,0,0)</f>
        <v>53300</v>
      </c>
      <c r="AY33">
        <f t="shared" si="16"/>
        <v>9594</v>
      </c>
      <c r="AZ33">
        <v>0</v>
      </c>
      <c r="BA33">
        <f t="shared" si="17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18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19"/>
        <v>200</v>
      </c>
      <c r="BH33">
        <f t="shared" si="20"/>
        <v>65430</v>
      </c>
      <c r="BI33">
        <f>_xlfn.XLOOKUP(B33,'[6]august-2025'!$A:$A,'[6]august-2025'!$C:$C,0,0)</f>
        <v>53300</v>
      </c>
      <c r="BJ33">
        <f t="shared" si="21"/>
        <v>9594</v>
      </c>
      <c r="BK33">
        <f t="shared" si="22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3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4"/>
        <v>200</v>
      </c>
      <c r="BR33">
        <f t="shared" si="25"/>
        <v>65430</v>
      </c>
      <c r="BS33">
        <f>_xlfn.XLOOKUP(B33,'[7]september-2025'!$A:$A,'[7]september-2025'!$C:$C,0,0)</f>
        <v>53300</v>
      </c>
      <c r="BT33">
        <f t="shared" si="26"/>
        <v>9594</v>
      </c>
      <c r="BU33">
        <f t="shared" si="27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28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29"/>
        <v>200</v>
      </c>
      <c r="CB33">
        <f t="shared" si="30"/>
        <v>65430</v>
      </c>
      <c r="CC33">
        <f>_xlfn.XLOOKUP(B33,'[8]october-2025'!$A:$A,'[8]october-2025'!$C:$C,0,0)</f>
        <v>53300</v>
      </c>
      <c r="CD33">
        <f t="shared" si="31"/>
        <v>9594</v>
      </c>
      <c r="CE33">
        <f t="shared" si="32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3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4"/>
        <v>200</v>
      </c>
      <c r="CL33">
        <f t="shared" si="35"/>
        <v>65430</v>
      </c>
      <c r="CM33">
        <f>_xlfn.XLOOKUP(B33,'[9]november-2025'!$A:$A,'[9]november-2025'!$C:$C,0,0)</f>
        <v>53300</v>
      </c>
      <c r="CN33">
        <f t="shared" si="36"/>
        <v>9594</v>
      </c>
      <c r="CO33">
        <f t="shared" si="37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38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39"/>
        <v>200</v>
      </c>
      <c r="CV33">
        <f t="shared" si="40"/>
        <v>65430</v>
      </c>
      <c r="CW33">
        <f>_xlfn.XLOOKUP(B33,'[10]december-2025'!$A:$A,'[10]december-2025'!$C:$C,0,0)</f>
        <v>53300</v>
      </c>
      <c r="CX33">
        <f t="shared" si="41"/>
        <v>9594</v>
      </c>
      <c r="CY33">
        <f t="shared" si="42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3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4"/>
        <v>200</v>
      </c>
      <c r="DF33">
        <f t="shared" si="45"/>
        <v>65430</v>
      </c>
      <c r="DG33">
        <f>_xlfn.XLOOKUP(B33,'[11]january-2026'!$A:$A,'[11]january-2026'!$C:$C,0,0)</f>
        <v>53300</v>
      </c>
      <c r="DH33">
        <f t="shared" si="46"/>
        <v>9594</v>
      </c>
      <c r="DI33">
        <f t="shared" si="47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48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49"/>
        <v>200</v>
      </c>
      <c r="DP33">
        <f t="shared" si="50"/>
        <v>65430</v>
      </c>
      <c r="DQ33">
        <f>_xlfn.XLOOKUP(B33,'[12]february-2026'!$A:$A,'[12]february-2026'!$C:$C,0,0)</f>
        <v>53300</v>
      </c>
      <c r="DR33">
        <f t="shared" si="51"/>
        <v>9594</v>
      </c>
      <c r="DS33">
        <f t="shared" si="52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3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4"/>
        <v>200</v>
      </c>
      <c r="DZ33">
        <f t="shared" si="55"/>
        <v>65430</v>
      </c>
      <c r="EA33">
        <f>_xlfn.XLOOKUP(B33,'[1]march-2025'!$A:$A,'[1]march-2025'!$J:$J,0,0)</f>
        <v>0</v>
      </c>
      <c r="EB33">
        <f>_xlfn.XLOOKUP(B33,'[2]april-2025'!$A:$A,'[2]april-2025'!$J:$J,0,0)</f>
        <v>0</v>
      </c>
      <c r="EC33">
        <f>_xlfn.XLOOKUP(B33,'[3]may-2025'!$A:$A,'[3]may-2025'!$J:$J,0,0)</f>
        <v>0</v>
      </c>
      <c r="ED33">
        <f>_xlfn.XLOOKUP(B33,'[4]june-2025'!$A:$A,'[4]june-2025'!$J:$J,0,0)</f>
        <v>0</v>
      </c>
      <c r="EE33">
        <f>_xlfn.XLOOKUP(B33,'[5]july-2025'!$A:$A,'[5]july-2025'!$J:$J,0,0)</f>
        <v>0</v>
      </c>
      <c r="EF33">
        <f>_xlfn.XLOOKUP(B33,'[6]august-2025'!$A:$A,'[6]august-2025'!$J:$J,0,0)</f>
        <v>0</v>
      </c>
      <c r="EG33">
        <f>_xlfn.XLOOKUP(B33,'[7]september-2025'!$A:$A,'[7]september-2025'!$J:$J,0,0)</f>
        <v>0</v>
      </c>
      <c r="EH33">
        <f>_xlfn.XLOOKUP(B33,'[8]october-2025'!$A:$A,'[8]october-2025'!$J:$J,0,0)</f>
        <v>0</v>
      </c>
      <c r="EI33">
        <f>_xlfn.XLOOKUP(C33,'[9]november-2025'!$A:$A,'[9]november-2025'!$J:$J,0,0)</f>
        <v>0</v>
      </c>
      <c r="EJ33">
        <f>_xlfn.XLOOKUP(B33,'[10]december-2025'!$A:$A,'[10]december-2025'!$J:$J,0,0)</f>
        <v>0</v>
      </c>
      <c r="EK33">
        <f>_xlfn.XLOOKUP(B33,'[11]january-2026'!$A:$A,'[11]january-2026'!$J:$J,0,0)</f>
        <v>0</v>
      </c>
      <c r="EL33">
        <f>_xlfn.XLOOKUP(B33,'[12]february-2026'!$A:$A,'[12]february-2026'!$J:$J,0,0)</f>
        <v>0</v>
      </c>
      <c r="EM33">
        <f t="shared" si="106"/>
        <v>0</v>
      </c>
      <c r="EN33">
        <f t="shared" si="56"/>
        <v>832692</v>
      </c>
      <c r="EO33">
        <f t="shared" si="57"/>
        <v>2400</v>
      </c>
      <c r="EP33">
        <f t="shared" si="58"/>
        <v>50000</v>
      </c>
      <c r="EQ33">
        <v>0</v>
      </c>
      <c r="ER33">
        <f t="shared" si="107"/>
        <v>780292</v>
      </c>
      <c r="ES33">
        <f t="shared" si="59"/>
        <v>48000</v>
      </c>
      <c r="ET33">
        <f t="shared" si="60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1"/>
        <v>48720</v>
      </c>
      <c r="FF33">
        <f t="shared" si="62"/>
        <v>48720</v>
      </c>
      <c r="FG33">
        <f t="shared" si="63"/>
        <v>731572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4"/>
        <v>0</v>
      </c>
      <c r="FP33">
        <f t="shared" si="65"/>
        <v>731572</v>
      </c>
      <c r="FQ33">
        <f t="shared" si="66"/>
        <v>12500</v>
      </c>
      <c r="FR33">
        <f t="shared" si="67"/>
        <v>46314</v>
      </c>
      <c r="FS33">
        <f t="shared" si="68"/>
        <v>58814</v>
      </c>
      <c r="FT33">
        <f t="shared" si="69"/>
        <v>58814</v>
      </c>
      <c r="FU33">
        <f t="shared" si="70"/>
        <v>2352.56</v>
      </c>
      <c r="FV33">
        <f t="shared" si="71"/>
        <v>61167</v>
      </c>
      <c r="FW33">
        <v>0</v>
      </c>
      <c r="FX33">
        <f t="shared" si="72"/>
        <v>61167</v>
      </c>
      <c r="FY33" t="b">
        <f t="shared" si="73"/>
        <v>1</v>
      </c>
      <c r="FZ33">
        <f t="shared" ca="1" si="74"/>
        <v>531</v>
      </c>
      <c r="GA33">
        <f t="shared" ca="1" si="75"/>
        <v>833223</v>
      </c>
      <c r="GB33">
        <f t="shared" si="76"/>
        <v>75000</v>
      </c>
      <c r="GC33">
        <f t="shared" ca="1" si="77"/>
        <v>758223</v>
      </c>
      <c r="GD33">
        <f t="shared" ca="1" si="78"/>
        <v>0</v>
      </c>
      <c r="GE33">
        <f t="shared" ca="1" si="79"/>
        <v>0</v>
      </c>
      <c r="GF33">
        <f t="shared" ca="1" si="80"/>
        <v>0</v>
      </c>
      <c r="GG33">
        <f t="shared" ca="1" si="81"/>
        <v>0</v>
      </c>
      <c r="GH33">
        <f t="shared" ca="1" si="82"/>
        <v>0</v>
      </c>
      <c r="GI33">
        <f t="shared" ca="1" si="83"/>
        <v>0</v>
      </c>
      <c r="GJ33">
        <f t="shared" ca="1" si="84"/>
        <v>0</v>
      </c>
      <c r="GK33">
        <f t="shared" ca="1" si="85"/>
        <v>0</v>
      </c>
      <c r="GL33">
        <f t="shared" ca="1" si="86"/>
        <v>0</v>
      </c>
      <c r="GM33">
        <f t="shared" ca="1" si="87"/>
        <v>0</v>
      </c>
      <c r="GN33">
        <f t="shared" ca="1" si="88"/>
        <v>358223</v>
      </c>
      <c r="GO33">
        <f t="shared" ca="1" si="89"/>
        <v>17911.150000000001</v>
      </c>
      <c r="GP33">
        <f t="shared" ca="1" si="90"/>
        <v>17911</v>
      </c>
      <c r="GQ33">
        <f t="shared" ca="1" si="91"/>
        <v>0</v>
      </c>
      <c r="GR33">
        <f t="shared" ca="1" si="92"/>
        <v>0</v>
      </c>
      <c r="GS33">
        <f t="shared" ca="1" si="93"/>
        <v>17911</v>
      </c>
      <c r="GT33">
        <f t="shared" ca="1" si="94"/>
        <v>0</v>
      </c>
      <c r="GU33" t="b">
        <f t="shared" ca="1" si="95"/>
        <v>0</v>
      </c>
      <c r="GV33">
        <f t="shared" ca="1" si="96"/>
        <v>0</v>
      </c>
      <c r="GW33">
        <f t="shared" ca="1" si="97"/>
        <v>17911</v>
      </c>
      <c r="GX33">
        <f t="shared" ca="1" si="98"/>
        <v>0</v>
      </c>
      <c r="GY33">
        <f t="shared" ca="1" si="99"/>
        <v>0</v>
      </c>
      <c r="GZ33">
        <f t="shared" ca="1" si="100"/>
        <v>0</v>
      </c>
    </row>
    <row r="34" spans="1:208" x14ac:dyDescent="0.3">
      <c r="A34">
        <f>_xlfn.AGGREGATE(3,5,$B$2:B34)</f>
        <v>33</v>
      </c>
      <c r="B34" t="s">
        <v>183</v>
      </c>
      <c r="C34" t="s">
        <v>184</v>
      </c>
      <c r="D34" t="s">
        <v>757</v>
      </c>
      <c r="E34" t="s">
        <v>831</v>
      </c>
      <c r="F34" t="s">
        <v>956</v>
      </c>
      <c r="G34" t="s">
        <v>892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1"/>
        <v>200</v>
      </c>
      <c r="S34">
        <f t="shared" si="102"/>
        <v>39510</v>
      </c>
      <c r="T34">
        <f>_xlfn.XLOOKUP(B34,'[2]april-2025'!$A:$A,'[2]april-2025'!$C:$C,0,0)</f>
        <v>33500</v>
      </c>
      <c r="U34">
        <f t="shared" si="4"/>
        <v>6030</v>
      </c>
      <c r="V34">
        <f t="shared" si="5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103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6"/>
        <v>200</v>
      </c>
      <c r="AC34">
        <f t="shared" si="7"/>
        <v>40850</v>
      </c>
      <c r="AD34">
        <f>_xlfn.XLOOKUP(B34,'[3]may-2025'!$A:$A,'[3]may-2025'!$C:$C,0,0)</f>
        <v>33500</v>
      </c>
      <c r="AE34">
        <f t="shared" si="8"/>
        <v>6030</v>
      </c>
      <c r="AF34">
        <f t="shared" si="9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04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0"/>
        <v>200</v>
      </c>
      <c r="AM34">
        <f t="shared" si="11"/>
        <v>40850</v>
      </c>
      <c r="AN34">
        <f>_xlfn.XLOOKUP(B34,'[4]june-2025'!$A:$A,'[4]june-2025'!$C:$C,0,0)</f>
        <v>33500</v>
      </c>
      <c r="AO34">
        <f t="shared" si="12"/>
        <v>6030</v>
      </c>
      <c r="AP34">
        <f t="shared" si="13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05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4"/>
        <v>200</v>
      </c>
      <c r="AW34">
        <f t="shared" si="15"/>
        <v>40850</v>
      </c>
      <c r="AX34">
        <f>_xlfn.XLOOKUP(B34,'[5]july-2025'!$A:$A,'[5]july-2025'!$C:$C,0,0)</f>
        <v>35500</v>
      </c>
      <c r="AY34">
        <f t="shared" si="16"/>
        <v>6390</v>
      </c>
      <c r="AZ34">
        <v>0</v>
      </c>
      <c r="BA34">
        <f t="shared" si="17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18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19"/>
        <v>200</v>
      </c>
      <c r="BH34">
        <f t="shared" si="20"/>
        <v>43450</v>
      </c>
      <c r="BI34">
        <f>_xlfn.XLOOKUP(B34,'[6]august-2025'!$A:$A,'[6]august-2025'!$C:$C,0,0)</f>
        <v>35500</v>
      </c>
      <c r="BJ34">
        <f t="shared" si="21"/>
        <v>6390</v>
      </c>
      <c r="BK34">
        <f t="shared" si="22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3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4"/>
        <v>200</v>
      </c>
      <c r="BR34">
        <f t="shared" si="25"/>
        <v>43450</v>
      </c>
      <c r="BS34">
        <f>_xlfn.XLOOKUP(B34,'[7]september-2025'!$A:$A,'[7]september-2025'!$C:$C,0,0)</f>
        <v>35500</v>
      </c>
      <c r="BT34">
        <f t="shared" si="26"/>
        <v>6390</v>
      </c>
      <c r="BU34">
        <f t="shared" si="27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28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29"/>
        <v>200</v>
      </c>
      <c r="CB34">
        <f t="shared" si="30"/>
        <v>43450</v>
      </c>
      <c r="CC34">
        <f>_xlfn.XLOOKUP(B34,'[8]october-2025'!$A:$A,'[8]october-2025'!$C:$C,0,0)</f>
        <v>35500</v>
      </c>
      <c r="CD34">
        <f t="shared" si="31"/>
        <v>6390</v>
      </c>
      <c r="CE34">
        <f t="shared" si="32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3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4"/>
        <v>200</v>
      </c>
      <c r="CL34">
        <f t="shared" si="35"/>
        <v>43450</v>
      </c>
      <c r="CM34">
        <f>_xlfn.XLOOKUP(B34,'[9]november-2025'!$A:$A,'[9]november-2025'!$C:$C,0,0)</f>
        <v>35500</v>
      </c>
      <c r="CN34">
        <f t="shared" si="36"/>
        <v>6390</v>
      </c>
      <c r="CO34">
        <f t="shared" si="37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38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39"/>
        <v>200</v>
      </c>
      <c r="CV34">
        <f t="shared" si="40"/>
        <v>43450</v>
      </c>
      <c r="CW34">
        <f>_xlfn.XLOOKUP(B34,'[10]december-2025'!$A:$A,'[10]december-2025'!$C:$C,0,0)</f>
        <v>35500</v>
      </c>
      <c r="CX34">
        <f t="shared" si="41"/>
        <v>6390</v>
      </c>
      <c r="CY34">
        <f t="shared" si="42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3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4"/>
        <v>200</v>
      </c>
      <c r="DF34">
        <f t="shared" si="45"/>
        <v>43450</v>
      </c>
      <c r="DG34">
        <f>_xlfn.XLOOKUP(B34,'[11]january-2026'!$A:$A,'[11]january-2026'!$C:$C,0,0)</f>
        <v>35500</v>
      </c>
      <c r="DH34">
        <f t="shared" si="46"/>
        <v>6390</v>
      </c>
      <c r="DI34">
        <f t="shared" si="47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48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49"/>
        <v>200</v>
      </c>
      <c r="DP34">
        <f t="shared" si="50"/>
        <v>43450</v>
      </c>
      <c r="DQ34">
        <f>_xlfn.XLOOKUP(B34,'[12]february-2026'!$A:$A,'[12]february-2026'!$C:$C,0,0)</f>
        <v>35500</v>
      </c>
      <c r="DR34">
        <f t="shared" si="51"/>
        <v>6390</v>
      </c>
      <c r="DS34">
        <f t="shared" si="52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3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4"/>
        <v>200</v>
      </c>
      <c r="DZ34">
        <f t="shared" si="55"/>
        <v>43450</v>
      </c>
      <c r="EA34">
        <f>_xlfn.XLOOKUP(B34,'[1]march-2025'!$A:$A,'[1]march-2025'!$J:$J,0,0)</f>
        <v>0</v>
      </c>
      <c r="EB34">
        <f>_xlfn.XLOOKUP(B34,'[2]april-2025'!$A:$A,'[2]april-2025'!$J:$J,0,0)</f>
        <v>0</v>
      </c>
      <c r="EC34">
        <f>_xlfn.XLOOKUP(B34,'[3]may-2025'!$A:$A,'[3]may-2025'!$J:$J,0,0)</f>
        <v>0</v>
      </c>
      <c r="ED34">
        <f>_xlfn.XLOOKUP(B34,'[4]june-2025'!$A:$A,'[4]june-2025'!$J:$J,0,0)</f>
        <v>0</v>
      </c>
      <c r="EE34">
        <f>_xlfn.XLOOKUP(B34,'[5]july-2025'!$A:$A,'[5]july-2025'!$J:$J,0,0)</f>
        <v>0</v>
      </c>
      <c r="EF34">
        <f>_xlfn.XLOOKUP(B34,'[6]august-2025'!$A:$A,'[6]august-2025'!$J:$J,0,0)</f>
        <v>0</v>
      </c>
      <c r="EG34">
        <f>_xlfn.XLOOKUP(B34,'[7]september-2025'!$A:$A,'[7]september-2025'!$J:$J,0,0)</f>
        <v>0</v>
      </c>
      <c r="EH34">
        <f>_xlfn.XLOOKUP(B34,'[8]october-2025'!$A:$A,'[8]october-2025'!$J:$J,0,0)</f>
        <v>0</v>
      </c>
      <c r="EI34">
        <f>_xlfn.XLOOKUP(C34,'[9]november-2025'!$A:$A,'[9]november-2025'!$J:$J,0,0)</f>
        <v>0</v>
      </c>
      <c r="EJ34">
        <f>_xlfn.XLOOKUP(B34,'[10]december-2025'!$A:$A,'[10]december-2025'!$J:$J,0,0)</f>
        <v>0</v>
      </c>
      <c r="EK34">
        <f>_xlfn.XLOOKUP(B34,'[11]january-2026'!$A:$A,'[11]january-2026'!$J:$J,0,0)</f>
        <v>0</v>
      </c>
      <c r="EL34">
        <f>_xlfn.XLOOKUP(B34,'[12]february-2026'!$A:$A,'[12]february-2026'!$J:$J,0,0)</f>
        <v>0</v>
      </c>
      <c r="EM34">
        <f t="shared" si="106"/>
        <v>0</v>
      </c>
      <c r="EN34">
        <f t="shared" si="56"/>
        <v>554860</v>
      </c>
      <c r="EO34">
        <f t="shared" si="57"/>
        <v>2400</v>
      </c>
      <c r="EP34">
        <f t="shared" si="58"/>
        <v>50000</v>
      </c>
      <c r="EQ34">
        <v>0</v>
      </c>
      <c r="ER34">
        <f t="shared" si="107"/>
        <v>502460</v>
      </c>
      <c r="ES34">
        <f t="shared" si="59"/>
        <v>36000</v>
      </c>
      <c r="ET34">
        <f t="shared" si="60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1"/>
        <v>36000</v>
      </c>
      <c r="FF34">
        <f t="shared" si="62"/>
        <v>36000</v>
      </c>
      <c r="FG34">
        <f t="shared" si="63"/>
        <v>466460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4"/>
        <v>0</v>
      </c>
      <c r="FP34">
        <f t="shared" si="65"/>
        <v>466460</v>
      </c>
      <c r="FQ34">
        <f t="shared" si="66"/>
        <v>10823</v>
      </c>
      <c r="FR34">
        <f t="shared" si="67"/>
        <v>0</v>
      </c>
      <c r="FS34">
        <f t="shared" si="68"/>
        <v>10823</v>
      </c>
      <c r="FT34">
        <f t="shared" si="69"/>
        <v>0</v>
      </c>
      <c r="FU34">
        <f t="shared" si="70"/>
        <v>0</v>
      </c>
      <c r="FV34">
        <f t="shared" si="71"/>
        <v>0</v>
      </c>
      <c r="FW34">
        <v>0</v>
      </c>
      <c r="FX34">
        <f t="shared" si="72"/>
        <v>0</v>
      </c>
      <c r="FY34" t="b">
        <f t="shared" si="73"/>
        <v>1</v>
      </c>
      <c r="FZ34">
        <f t="shared" ca="1" si="74"/>
        <v>795</v>
      </c>
      <c r="GA34">
        <f t="shared" ca="1" si="75"/>
        <v>555655</v>
      </c>
      <c r="GB34">
        <f t="shared" si="76"/>
        <v>75000</v>
      </c>
      <c r="GC34">
        <f t="shared" ca="1" si="77"/>
        <v>480655</v>
      </c>
      <c r="GD34">
        <f t="shared" ca="1" si="78"/>
        <v>0</v>
      </c>
      <c r="GE34">
        <f t="shared" ca="1" si="79"/>
        <v>0</v>
      </c>
      <c r="GF34">
        <f t="shared" ca="1" si="80"/>
        <v>0</v>
      </c>
      <c r="GG34">
        <f t="shared" ca="1" si="81"/>
        <v>0</v>
      </c>
      <c r="GH34">
        <f t="shared" ca="1" si="82"/>
        <v>0</v>
      </c>
      <c r="GI34">
        <f t="shared" ca="1" si="83"/>
        <v>0</v>
      </c>
      <c r="GJ34">
        <f t="shared" ca="1" si="84"/>
        <v>0</v>
      </c>
      <c r="GK34">
        <f t="shared" ca="1" si="85"/>
        <v>0</v>
      </c>
      <c r="GL34">
        <f t="shared" ca="1" si="86"/>
        <v>0</v>
      </c>
      <c r="GM34">
        <f t="shared" ca="1" si="87"/>
        <v>0</v>
      </c>
      <c r="GN34">
        <f t="shared" ca="1" si="88"/>
        <v>80655</v>
      </c>
      <c r="GO34">
        <f t="shared" ca="1" si="89"/>
        <v>4032.75</v>
      </c>
      <c r="GP34">
        <f t="shared" ca="1" si="90"/>
        <v>4033</v>
      </c>
      <c r="GQ34">
        <f t="shared" ca="1" si="91"/>
        <v>0</v>
      </c>
      <c r="GR34">
        <f t="shared" ca="1" si="92"/>
        <v>0</v>
      </c>
      <c r="GS34">
        <f t="shared" ca="1" si="93"/>
        <v>4033</v>
      </c>
      <c r="GT34">
        <f t="shared" ca="1" si="94"/>
        <v>0</v>
      </c>
      <c r="GU34" t="b">
        <f t="shared" ca="1" si="95"/>
        <v>0</v>
      </c>
      <c r="GV34">
        <f t="shared" ca="1" si="96"/>
        <v>0</v>
      </c>
      <c r="GW34">
        <f t="shared" ca="1" si="97"/>
        <v>4033</v>
      </c>
      <c r="GX34">
        <f t="shared" ca="1" si="98"/>
        <v>0</v>
      </c>
      <c r="GY34">
        <f t="shared" ca="1" si="99"/>
        <v>0</v>
      </c>
      <c r="GZ34">
        <f t="shared" ca="1" si="100"/>
        <v>0</v>
      </c>
    </row>
    <row r="35" spans="1:208" x14ac:dyDescent="0.3">
      <c r="A35">
        <f>_xlfn.AGGREGATE(3,5,$B$2:B35)</f>
        <v>34</v>
      </c>
      <c r="B35" t="s">
        <v>185</v>
      </c>
      <c r="C35" t="s">
        <v>186</v>
      </c>
      <c r="D35" t="s">
        <v>757</v>
      </c>
      <c r="E35" t="s">
        <v>831</v>
      </c>
      <c r="F35" t="s">
        <v>956</v>
      </c>
      <c r="G35" t="s">
        <v>891</v>
      </c>
      <c r="H35">
        <f t="shared" ref="H35:H66" si="19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1"/>
        <v>150</v>
      </c>
      <c r="S35">
        <f t="shared" si="102"/>
        <v>37666</v>
      </c>
      <c r="T35">
        <f>_xlfn.XLOOKUP(B35,'[2]april-2025'!$A:$A,'[2]april-2025'!$C:$C,0,0)</f>
        <v>31600</v>
      </c>
      <c r="U35">
        <f t="shared" si="4"/>
        <v>5688</v>
      </c>
      <c r="V35">
        <f t="shared" si="5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103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6"/>
        <v>200</v>
      </c>
      <c r="AC35">
        <f t="shared" si="7"/>
        <v>38880</v>
      </c>
      <c r="AD35">
        <f>_xlfn.XLOOKUP(B35,'[3]may-2025'!$A:$A,'[3]may-2025'!$C:$C,0,0)</f>
        <v>31600</v>
      </c>
      <c r="AE35">
        <f t="shared" si="8"/>
        <v>5688</v>
      </c>
      <c r="AF35">
        <f t="shared" si="9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04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0"/>
        <v>200</v>
      </c>
      <c r="AM35">
        <f t="shared" si="11"/>
        <v>38880</v>
      </c>
      <c r="AN35">
        <f>_xlfn.XLOOKUP(B35,'[4]june-2025'!$A:$A,'[4]june-2025'!$C:$C,0,0)</f>
        <v>31600</v>
      </c>
      <c r="AO35">
        <f t="shared" si="12"/>
        <v>5688</v>
      </c>
      <c r="AP35">
        <f t="shared" si="13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05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4"/>
        <v>200</v>
      </c>
      <c r="AW35">
        <f t="shared" si="15"/>
        <v>38880</v>
      </c>
      <c r="AX35">
        <f>_xlfn.XLOOKUP(B35,'[5]july-2025'!$A:$A,'[5]july-2025'!$C:$C,0,0)</f>
        <v>32500</v>
      </c>
      <c r="AY35">
        <f t="shared" si="16"/>
        <v>5850</v>
      </c>
      <c r="AZ35">
        <v>0</v>
      </c>
      <c r="BA35">
        <f t="shared" si="17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18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19"/>
        <v>200</v>
      </c>
      <c r="BH35">
        <f t="shared" si="20"/>
        <v>40050</v>
      </c>
      <c r="BI35">
        <f>_xlfn.XLOOKUP(B35,'[6]august-2025'!$A:$A,'[6]august-2025'!$C:$C,0,0)</f>
        <v>32500</v>
      </c>
      <c r="BJ35">
        <f t="shared" si="21"/>
        <v>5850</v>
      </c>
      <c r="BK35">
        <f t="shared" si="22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3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4"/>
        <v>200</v>
      </c>
      <c r="BR35">
        <f t="shared" si="25"/>
        <v>40050</v>
      </c>
      <c r="BS35">
        <f>_xlfn.XLOOKUP(B35,'[7]september-2025'!$A:$A,'[7]september-2025'!$C:$C,0,0)</f>
        <v>32500</v>
      </c>
      <c r="BT35">
        <f t="shared" si="26"/>
        <v>5850</v>
      </c>
      <c r="BU35">
        <f t="shared" si="27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28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29"/>
        <v>200</v>
      </c>
      <c r="CB35">
        <f t="shared" si="30"/>
        <v>40050</v>
      </c>
      <c r="CC35">
        <f>_xlfn.XLOOKUP(B35,'[8]october-2025'!$A:$A,'[8]october-2025'!$C:$C,0,0)</f>
        <v>32500</v>
      </c>
      <c r="CD35">
        <f t="shared" si="31"/>
        <v>5850</v>
      </c>
      <c r="CE35">
        <f t="shared" si="32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3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4"/>
        <v>200</v>
      </c>
      <c r="CL35">
        <f t="shared" si="35"/>
        <v>40050</v>
      </c>
      <c r="CM35">
        <f>_xlfn.XLOOKUP(B35,'[9]november-2025'!$A:$A,'[9]november-2025'!$C:$C,0,0)</f>
        <v>32500</v>
      </c>
      <c r="CN35">
        <f t="shared" si="36"/>
        <v>5850</v>
      </c>
      <c r="CO35">
        <f t="shared" si="37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38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39"/>
        <v>200</v>
      </c>
      <c r="CV35">
        <f t="shared" si="40"/>
        <v>40050</v>
      </c>
      <c r="CW35">
        <f>_xlfn.XLOOKUP(B35,'[10]december-2025'!$A:$A,'[10]december-2025'!$C:$C,0,0)</f>
        <v>32500</v>
      </c>
      <c r="CX35">
        <f t="shared" si="41"/>
        <v>5850</v>
      </c>
      <c r="CY35">
        <f t="shared" si="42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3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4"/>
        <v>200</v>
      </c>
      <c r="DF35">
        <f t="shared" si="45"/>
        <v>40050</v>
      </c>
      <c r="DG35">
        <f>_xlfn.XLOOKUP(B35,'[11]january-2026'!$A:$A,'[11]january-2026'!$C:$C,0,0)</f>
        <v>32500</v>
      </c>
      <c r="DH35">
        <f t="shared" si="46"/>
        <v>5850</v>
      </c>
      <c r="DI35">
        <f t="shared" si="47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48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49"/>
        <v>200</v>
      </c>
      <c r="DP35">
        <f t="shared" si="50"/>
        <v>40050</v>
      </c>
      <c r="DQ35">
        <f>_xlfn.XLOOKUP(B35,'[12]february-2026'!$A:$A,'[12]february-2026'!$C:$C,0,0)</f>
        <v>32500</v>
      </c>
      <c r="DR35">
        <f t="shared" si="51"/>
        <v>5850</v>
      </c>
      <c r="DS35">
        <f t="shared" si="52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3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4"/>
        <v>200</v>
      </c>
      <c r="DZ35">
        <f t="shared" si="55"/>
        <v>40050</v>
      </c>
      <c r="EA35">
        <f>_xlfn.XLOOKUP(B35,'[1]march-2025'!$A:$A,'[1]march-2025'!$J:$J,0,0)</f>
        <v>0</v>
      </c>
      <c r="EB35">
        <f>_xlfn.XLOOKUP(B35,'[2]april-2025'!$A:$A,'[2]april-2025'!$J:$J,0,0)</f>
        <v>0</v>
      </c>
      <c r="EC35">
        <f>_xlfn.XLOOKUP(B35,'[3]may-2025'!$A:$A,'[3]may-2025'!$J:$J,0,0)</f>
        <v>0</v>
      </c>
      <c r="ED35">
        <f>_xlfn.XLOOKUP(B35,'[4]june-2025'!$A:$A,'[4]june-2025'!$J:$J,0,0)</f>
        <v>0</v>
      </c>
      <c r="EE35">
        <f>_xlfn.XLOOKUP(B35,'[5]july-2025'!$A:$A,'[5]july-2025'!$J:$J,0,0)</f>
        <v>0</v>
      </c>
      <c r="EF35">
        <f>_xlfn.XLOOKUP(B35,'[6]august-2025'!$A:$A,'[6]august-2025'!$J:$J,0,0)</f>
        <v>0</v>
      </c>
      <c r="EG35">
        <f>_xlfn.XLOOKUP(B35,'[7]september-2025'!$A:$A,'[7]september-2025'!$J:$J,0,0)</f>
        <v>0</v>
      </c>
      <c r="EH35">
        <f>_xlfn.XLOOKUP(B35,'[8]october-2025'!$A:$A,'[8]october-2025'!$J:$J,0,0)</f>
        <v>0</v>
      </c>
      <c r="EI35">
        <f>_xlfn.XLOOKUP(C35,'[9]november-2025'!$A:$A,'[9]november-2025'!$J:$J,0,0)</f>
        <v>0</v>
      </c>
      <c r="EJ35">
        <f>_xlfn.XLOOKUP(B35,'[10]december-2025'!$A:$A,'[10]december-2025'!$J:$J,0,0)</f>
        <v>0</v>
      </c>
      <c r="EK35">
        <f>_xlfn.XLOOKUP(B35,'[11]january-2026'!$A:$A,'[11]january-2026'!$J:$J,0,0)</f>
        <v>0</v>
      </c>
      <c r="EL35">
        <f>_xlfn.XLOOKUP(B35,'[12]february-2026'!$A:$A,'[12]february-2026'!$J:$J,0,0)</f>
        <v>0</v>
      </c>
      <c r="EM35">
        <f t="shared" si="106"/>
        <v>0</v>
      </c>
      <c r="EN35">
        <f t="shared" si="56"/>
        <v>507856</v>
      </c>
      <c r="EO35">
        <f t="shared" si="57"/>
        <v>2350</v>
      </c>
      <c r="EP35">
        <f t="shared" si="58"/>
        <v>50000</v>
      </c>
      <c r="EQ35">
        <v>0</v>
      </c>
      <c r="ER35">
        <f t="shared" si="107"/>
        <v>455506</v>
      </c>
      <c r="ES35">
        <f t="shared" si="59"/>
        <v>24000</v>
      </c>
      <c r="ET35">
        <f t="shared" si="60"/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1"/>
        <v>24000</v>
      </c>
      <c r="FF35">
        <f t="shared" si="62"/>
        <v>24000</v>
      </c>
      <c r="FG35">
        <f t="shared" si="63"/>
        <v>431506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4"/>
        <v>0</v>
      </c>
      <c r="FP35">
        <f t="shared" si="65"/>
        <v>431506</v>
      </c>
      <c r="FQ35">
        <f t="shared" si="66"/>
        <v>9075</v>
      </c>
      <c r="FR35">
        <f t="shared" si="67"/>
        <v>0</v>
      </c>
      <c r="FS35">
        <f t="shared" si="68"/>
        <v>9075</v>
      </c>
      <c r="FT35">
        <f t="shared" si="69"/>
        <v>0</v>
      </c>
      <c r="FU35">
        <f t="shared" si="70"/>
        <v>0</v>
      </c>
      <c r="FV35">
        <f t="shared" si="71"/>
        <v>0</v>
      </c>
      <c r="FW35">
        <v>0</v>
      </c>
      <c r="FX35">
        <f t="shared" si="72"/>
        <v>0</v>
      </c>
      <c r="FY35" t="b">
        <f t="shared" si="73"/>
        <v>1</v>
      </c>
      <c r="FZ35">
        <f t="shared" ca="1" si="74"/>
        <v>835</v>
      </c>
      <c r="GA35">
        <f t="shared" ca="1" si="75"/>
        <v>508691</v>
      </c>
      <c r="GB35">
        <f t="shared" si="76"/>
        <v>75000</v>
      </c>
      <c r="GC35">
        <f t="shared" ca="1" si="77"/>
        <v>433691</v>
      </c>
      <c r="GD35">
        <f t="shared" ca="1" si="78"/>
        <v>0</v>
      </c>
      <c r="GE35">
        <f t="shared" ca="1" si="79"/>
        <v>0</v>
      </c>
      <c r="GF35">
        <f t="shared" ca="1" si="80"/>
        <v>0</v>
      </c>
      <c r="GG35">
        <f t="shared" ca="1" si="81"/>
        <v>0</v>
      </c>
      <c r="GH35">
        <f t="shared" ca="1" si="82"/>
        <v>0</v>
      </c>
      <c r="GI35">
        <f t="shared" ca="1" si="83"/>
        <v>0</v>
      </c>
      <c r="GJ35">
        <f t="shared" ca="1" si="84"/>
        <v>0</v>
      </c>
      <c r="GK35">
        <f t="shared" ca="1" si="85"/>
        <v>0</v>
      </c>
      <c r="GL35">
        <f t="shared" ca="1" si="86"/>
        <v>0</v>
      </c>
      <c r="GM35">
        <f t="shared" ca="1" si="87"/>
        <v>0</v>
      </c>
      <c r="GN35">
        <f t="shared" ca="1" si="88"/>
        <v>33691</v>
      </c>
      <c r="GO35">
        <f t="shared" ca="1" si="89"/>
        <v>1684.5500000000002</v>
      </c>
      <c r="GP35">
        <f t="shared" ca="1" si="90"/>
        <v>1685</v>
      </c>
      <c r="GQ35">
        <f t="shared" ca="1" si="91"/>
        <v>0</v>
      </c>
      <c r="GR35">
        <f t="shared" ca="1" si="92"/>
        <v>0</v>
      </c>
      <c r="GS35">
        <f t="shared" ca="1" si="93"/>
        <v>1685</v>
      </c>
      <c r="GT35">
        <f t="shared" ca="1" si="94"/>
        <v>0</v>
      </c>
      <c r="GU35" t="b">
        <f t="shared" ca="1" si="95"/>
        <v>0</v>
      </c>
      <c r="GV35">
        <f t="shared" ca="1" si="96"/>
        <v>0</v>
      </c>
      <c r="GW35">
        <f t="shared" ca="1" si="97"/>
        <v>1685</v>
      </c>
      <c r="GX35">
        <f t="shared" ca="1" si="98"/>
        <v>0</v>
      </c>
      <c r="GY35">
        <f t="shared" ca="1" si="99"/>
        <v>0</v>
      </c>
      <c r="GZ35">
        <f t="shared" ca="1" si="100"/>
        <v>0</v>
      </c>
    </row>
    <row r="36" spans="1:208" x14ac:dyDescent="0.3">
      <c r="A36">
        <f>_xlfn.AGGREGATE(3,5,$B$2:B36)</f>
        <v>35</v>
      </c>
      <c r="B36" t="s">
        <v>187</v>
      </c>
      <c r="C36" t="s">
        <v>188</v>
      </c>
      <c r="D36" t="s">
        <v>757</v>
      </c>
      <c r="E36" t="s">
        <v>831</v>
      </c>
      <c r="F36" t="s">
        <v>956</v>
      </c>
      <c r="G36" t="s">
        <v>893</v>
      </c>
      <c r="H36">
        <f t="shared" si="19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1"/>
        <v>150</v>
      </c>
      <c r="S36">
        <f t="shared" si="102"/>
        <v>31764</v>
      </c>
      <c r="T36">
        <f>_xlfn.XLOOKUP(B36,'[2]april-2025'!$A:$A,'[2]april-2025'!$C:$C,0,0)</f>
        <v>28900</v>
      </c>
      <c r="U36">
        <f t="shared" si="4"/>
        <v>5202</v>
      </c>
      <c r="V36">
        <f t="shared" si="5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103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6"/>
        <v>150</v>
      </c>
      <c r="AC36">
        <f t="shared" si="7"/>
        <v>32920</v>
      </c>
      <c r="AD36">
        <f>_xlfn.XLOOKUP(B36,'[3]may-2025'!$A:$A,'[3]may-2025'!$C:$C,0,0)</f>
        <v>28900</v>
      </c>
      <c r="AE36">
        <f t="shared" si="8"/>
        <v>5202</v>
      </c>
      <c r="AF36">
        <f t="shared" si="9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04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0"/>
        <v>150</v>
      </c>
      <c r="AM36">
        <f t="shared" si="11"/>
        <v>32920</v>
      </c>
      <c r="AN36">
        <f>_xlfn.XLOOKUP(B36,'[4]june-2025'!$A:$A,'[4]june-2025'!$C:$C,0,0)</f>
        <v>28900</v>
      </c>
      <c r="AO36">
        <f t="shared" si="12"/>
        <v>5202</v>
      </c>
      <c r="AP36">
        <f t="shared" si="13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05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4"/>
        <v>150</v>
      </c>
      <c r="AW36">
        <f t="shared" si="15"/>
        <v>32920</v>
      </c>
      <c r="AX36">
        <f>_xlfn.XLOOKUP(B36,'[5]july-2025'!$A:$A,'[5]july-2025'!$C:$C,0,0)</f>
        <v>29800</v>
      </c>
      <c r="AY36">
        <f t="shared" si="16"/>
        <v>5364</v>
      </c>
      <c r="AZ36">
        <v>0</v>
      </c>
      <c r="BA36">
        <f t="shared" si="17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18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19"/>
        <v>150</v>
      </c>
      <c r="BH36">
        <f t="shared" si="20"/>
        <v>34090</v>
      </c>
      <c r="BI36">
        <f>_xlfn.XLOOKUP(B36,'[6]august-2025'!$A:$A,'[6]august-2025'!$C:$C,0,0)</f>
        <v>29800</v>
      </c>
      <c r="BJ36">
        <f t="shared" si="21"/>
        <v>5364</v>
      </c>
      <c r="BK36">
        <f t="shared" si="22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3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4"/>
        <v>150</v>
      </c>
      <c r="BR36">
        <f t="shared" si="25"/>
        <v>34090</v>
      </c>
      <c r="BS36">
        <f>_xlfn.XLOOKUP(B36,'[7]september-2025'!$A:$A,'[7]september-2025'!$C:$C,0,0)</f>
        <v>29800</v>
      </c>
      <c r="BT36">
        <f t="shared" si="26"/>
        <v>5364</v>
      </c>
      <c r="BU36">
        <f t="shared" si="27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28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29"/>
        <v>150</v>
      </c>
      <c r="CB36">
        <f t="shared" si="30"/>
        <v>34090</v>
      </c>
      <c r="CC36">
        <f>_xlfn.XLOOKUP(B36,'[8]october-2025'!$A:$A,'[8]october-2025'!$C:$C,0,0)</f>
        <v>29800</v>
      </c>
      <c r="CD36">
        <f t="shared" si="31"/>
        <v>5364</v>
      </c>
      <c r="CE36">
        <f t="shared" si="32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3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4"/>
        <v>150</v>
      </c>
      <c r="CL36">
        <f t="shared" si="35"/>
        <v>34090</v>
      </c>
      <c r="CM36">
        <f>_xlfn.XLOOKUP(B36,'[9]november-2025'!$A:$A,'[9]november-2025'!$C:$C,0,0)</f>
        <v>29800</v>
      </c>
      <c r="CN36">
        <f t="shared" si="36"/>
        <v>5364</v>
      </c>
      <c r="CO36">
        <f t="shared" si="37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38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39"/>
        <v>150</v>
      </c>
      <c r="CV36">
        <f t="shared" si="40"/>
        <v>34090</v>
      </c>
      <c r="CW36">
        <f>_xlfn.XLOOKUP(B36,'[10]december-2025'!$A:$A,'[10]december-2025'!$C:$C,0,0)</f>
        <v>29800</v>
      </c>
      <c r="CX36">
        <f t="shared" si="41"/>
        <v>5364</v>
      </c>
      <c r="CY36">
        <f t="shared" si="42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3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4"/>
        <v>150</v>
      </c>
      <c r="DF36">
        <f t="shared" si="45"/>
        <v>34090</v>
      </c>
      <c r="DG36">
        <f>_xlfn.XLOOKUP(B36,'[11]january-2026'!$A:$A,'[11]january-2026'!$C:$C,0,0)</f>
        <v>29800</v>
      </c>
      <c r="DH36">
        <f t="shared" si="46"/>
        <v>5364</v>
      </c>
      <c r="DI36">
        <f t="shared" si="47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48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49"/>
        <v>150</v>
      </c>
      <c r="DP36">
        <f t="shared" si="50"/>
        <v>34090</v>
      </c>
      <c r="DQ36">
        <f>_xlfn.XLOOKUP(B36,'[12]february-2026'!$A:$A,'[12]february-2026'!$C:$C,0,0)</f>
        <v>29800</v>
      </c>
      <c r="DR36">
        <f t="shared" si="51"/>
        <v>5364</v>
      </c>
      <c r="DS36">
        <f t="shared" si="52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3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4"/>
        <v>150</v>
      </c>
      <c r="DZ36">
        <f t="shared" si="55"/>
        <v>34090</v>
      </c>
      <c r="EA36">
        <f>_xlfn.XLOOKUP(B36,'[1]march-2025'!$A:$A,'[1]march-2025'!$J:$J,0,0)</f>
        <v>0</v>
      </c>
      <c r="EB36">
        <f>_xlfn.XLOOKUP(B36,'[2]april-2025'!$A:$A,'[2]april-2025'!$J:$J,0,0)</f>
        <v>0</v>
      </c>
      <c r="EC36">
        <f>_xlfn.XLOOKUP(B36,'[3]may-2025'!$A:$A,'[3]may-2025'!$J:$J,0,0)</f>
        <v>0</v>
      </c>
      <c r="ED36">
        <f>_xlfn.XLOOKUP(B36,'[4]june-2025'!$A:$A,'[4]june-2025'!$J:$J,0,0)</f>
        <v>0</v>
      </c>
      <c r="EE36">
        <f>_xlfn.XLOOKUP(B36,'[5]july-2025'!$A:$A,'[5]july-2025'!$J:$J,0,0)</f>
        <v>0</v>
      </c>
      <c r="EF36">
        <f>_xlfn.XLOOKUP(B36,'[6]august-2025'!$A:$A,'[6]august-2025'!$J:$J,0,0)</f>
        <v>0</v>
      </c>
      <c r="EG36">
        <f>_xlfn.XLOOKUP(B36,'[7]september-2025'!$A:$A,'[7]september-2025'!$J:$J,0,0)</f>
        <v>0</v>
      </c>
      <c r="EH36">
        <f>_xlfn.XLOOKUP(B36,'[8]october-2025'!$A:$A,'[8]october-2025'!$J:$J,0,0)</f>
        <v>0</v>
      </c>
      <c r="EI36">
        <f>_xlfn.XLOOKUP(C36,'[9]november-2025'!$A:$A,'[9]november-2025'!$J:$J,0,0)</f>
        <v>0</v>
      </c>
      <c r="EJ36">
        <f>_xlfn.XLOOKUP(B36,'[10]december-2025'!$A:$A,'[10]december-2025'!$J:$J,0,0)</f>
        <v>0</v>
      </c>
      <c r="EK36">
        <f>_xlfn.XLOOKUP(B36,'[11]january-2026'!$A:$A,'[11]january-2026'!$J:$J,0,0)</f>
        <v>0</v>
      </c>
      <c r="EL36">
        <f>_xlfn.XLOOKUP(B36,'[12]february-2026'!$A:$A,'[12]february-2026'!$J:$J,0,0)</f>
        <v>0</v>
      </c>
      <c r="EM36">
        <f t="shared" si="106"/>
        <v>0</v>
      </c>
      <c r="EN36">
        <f t="shared" si="56"/>
        <v>471844</v>
      </c>
      <c r="EO36">
        <f t="shared" si="57"/>
        <v>1800</v>
      </c>
      <c r="EP36">
        <f t="shared" si="58"/>
        <v>50000</v>
      </c>
      <c r="EQ36">
        <v>0</v>
      </c>
      <c r="ER36">
        <f t="shared" si="107"/>
        <v>420044</v>
      </c>
      <c r="ES36">
        <f t="shared" si="59"/>
        <v>60000</v>
      </c>
      <c r="ET36">
        <f t="shared" si="60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1"/>
        <v>60000</v>
      </c>
      <c r="FF36">
        <f t="shared" si="62"/>
        <v>60000</v>
      </c>
      <c r="FG36">
        <f t="shared" si="63"/>
        <v>360044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4"/>
        <v>0</v>
      </c>
      <c r="FP36">
        <f t="shared" si="65"/>
        <v>360044</v>
      </c>
      <c r="FQ36">
        <f t="shared" si="66"/>
        <v>5502</v>
      </c>
      <c r="FR36">
        <f t="shared" si="67"/>
        <v>0</v>
      </c>
      <c r="FS36">
        <f t="shared" si="68"/>
        <v>5502</v>
      </c>
      <c r="FT36">
        <f t="shared" si="69"/>
        <v>0</v>
      </c>
      <c r="FU36">
        <f t="shared" si="70"/>
        <v>0</v>
      </c>
      <c r="FV36">
        <f t="shared" si="71"/>
        <v>0</v>
      </c>
      <c r="FW36">
        <v>0</v>
      </c>
      <c r="FX36">
        <f t="shared" si="72"/>
        <v>0</v>
      </c>
      <c r="FY36" t="b">
        <f t="shared" si="73"/>
        <v>0</v>
      </c>
      <c r="FZ36">
        <f t="shared" ca="1" si="74"/>
        <v>2284</v>
      </c>
      <c r="GA36">
        <f t="shared" ca="1" si="75"/>
        <v>474128</v>
      </c>
      <c r="GB36">
        <f t="shared" si="76"/>
        <v>75000</v>
      </c>
      <c r="GC36">
        <f t="shared" ca="1" si="77"/>
        <v>399128</v>
      </c>
      <c r="GD36">
        <f t="shared" ca="1" si="78"/>
        <v>0</v>
      </c>
      <c r="GE36">
        <f t="shared" ca="1" si="79"/>
        <v>0</v>
      </c>
      <c r="GF36">
        <f t="shared" ca="1" si="80"/>
        <v>0</v>
      </c>
      <c r="GG36">
        <f t="shared" ca="1" si="81"/>
        <v>0</v>
      </c>
      <c r="GH36">
        <f t="shared" ca="1" si="82"/>
        <v>0</v>
      </c>
      <c r="GI36">
        <f t="shared" ca="1" si="83"/>
        <v>0</v>
      </c>
      <c r="GJ36">
        <f t="shared" ca="1" si="84"/>
        <v>0</v>
      </c>
      <c r="GK36">
        <f t="shared" ca="1" si="85"/>
        <v>0</v>
      </c>
      <c r="GL36">
        <f t="shared" ca="1" si="86"/>
        <v>0</v>
      </c>
      <c r="GM36">
        <f t="shared" ca="1" si="87"/>
        <v>0</v>
      </c>
      <c r="GN36">
        <f t="shared" ca="1" si="88"/>
        <v>0</v>
      </c>
      <c r="GO36">
        <f t="shared" ca="1" si="89"/>
        <v>0</v>
      </c>
      <c r="GP36">
        <f t="shared" ca="1" si="90"/>
        <v>0</v>
      </c>
      <c r="GQ36">
        <f t="shared" ca="1" si="91"/>
        <v>0</v>
      </c>
      <c r="GR36">
        <f t="shared" ca="1" si="92"/>
        <v>0</v>
      </c>
      <c r="GS36">
        <f t="shared" ca="1" si="93"/>
        <v>0</v>
      </c>
      <c r="GT36">
        <f t="shared" ca="1" si="94"/>
        <v>0</v>
      </c>
      <c r="GU36" t="b">
        <f t="shared" ca="1" si="95"/>
        <v>0</v>
      </c>
      <c r="GV36">
        <f t="shared" ca="1" si="96"/>
        <v>0</v>
      </c>
      <c r="GW36">
        <f t="shared" ca="1" si="97"/>
        <v>0</v>
      </c>
      <c r="GX36">
        <f t="shared" ca="1" si="98"/>
        <v>0</v>
      </c>
      <c r="GY36">
        <f t="shared" ca="1" si="99"/>
        <v>0</v>
      </c>
      <c r="GZ36">
        <f t="shared" ca="1" si="100"/>
        <v>0</v>
      </c>
    </row>
    <row r="37" spans="1:208" x14ac:dyDescent="0.3">
      <c r="A37">
        <f>_xlfn.AGGREGATE(3,5,$B$2:B37)</f>
        <v>36</v>
      </c>
      <c r="B37" t="s">
        <v>189</v>
      </c>
      <c r="C37" t="s">
        <v>190</v>
      </c>
      <c r="D37" t="s">
        <v>758</v>
      </c>
      <c r="E37" t="s">
        <v>831</v>
      </c>
      <c r="F37" t="s">
        <v>956</v>
      </c>
      <c r="G37" t="s">
        <v>884</v>
      </c>
      <c r="H37">
        <f t="shared" si="19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1"/>
        <v>200</v>
      </c>
      <c r="S37">
        <f t="shared" si="102"/>
        <v>55782</v>
      </c>
      <c r="T37">
        <f>_xlfn.XLOOKUP(B37,'[2]april-2025'!$A:$A,'[2]april-2025'!$C:$C,0,0)</f>
        <v>51700</v>
      </c>
      <c r="U37">
        <f t="shared" si="4"/>
        <v>9306</v>
      </c>
      <c r="V37">
        <f t="shared" si="5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103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6"/>
        <v>200</v>
      </c>
      <c r="AC37">
        <f t="shared" si="7"/>
        <v>57850</v>
      </c>
      <c r="AD37">
        <f>_xlfn.XLOOKUP(B37,'[3]may-2025'!$A:$A,'[3]may-2025'!$C:$C,0,0)</f>
        <v>51700</v>
      </c>
      <c r="AE37">
        <f t="shared" si="8"/>
        <v>9306</v>
      </c>
      <c r="AF37">
        <f t="shared" si="9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04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0"/>
        <v>200</v>
      </c>
      <c r="AM37">
        <f t="shared" si="11"/>
        <v>57850</v>
      </c>
      <c r="AN37">
        <f>_xlfn.XLOOKUP(B37,'[4]june-2025'!$A:$A,'[4]june-2025'!$C:$C,0,0)</f>
        <v>51700</v>
      </c>
      <c r="AO37">
        <f t="shared" si="12"/>
        <v>9306</v>
      </c>
      <c r="AP37">
        <f t="shared" si="13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05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4"/>
        <v>200</v>
      </c>
      <c r="AW37">
        <f t="shared" si="15"/>
        <v>57850</v>
      </c>
      <c r="AX37">
        <f>_xlfn.XLOOKUP(B37,'[5]july-2025'!$A:$A,'[5]july-2025'!$C:$C,0,0)</f>
        <v>53300</v>
      </c>
      <c r="AY37">
        <f t="shared" si="16"/>
        <v>9594</v>
      </c>
      <c r="AZ37">
        <v>0</v>
      </c>
      <c r="BA37">
        <f t="shared" si="17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18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19"/>
        <v>200</v>
      </c>
      <c r="BH37">
        <f t="shared" si="20"/>
        <v>59930</v>
      </c>
      <c r="BI37">
        <f>_xlfn.XLOOKUP(B37,'[6]august-2025'!$A:$A,'[6]august-2025'!$C:$C,0,0)</f>
        <v>53300</v>
      </c>
      <c r="BJ37">
        <f t="shared" si="21"/>
        <v>9594</v>
      </c>
      <c r="BK37">
        <f t="shared" si="22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3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4"/>
        <v>200</v>
      </c>
      <c r="BR37">
        <f t="shared" si="25"/>
        <v>59930</v>
      </c>
      <c r="BS37">
        <f>_xlfn.XLOOKUP(B37,'[7]september-2025'!$A:$A,'[7]september-2025'!$C:$C,0,0)</f>
        <v>53300</v>
      </c>
      <c r="BT37">
        <f t="shared" si="26"/>
        <v>9594</v>
      </c>
      <c r="BU37">
        <f t="shared" si="27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28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29"/>
        <v>200</v>
      </c>
      <c r="CB37">
        <f t="shared" si="30"/>
        <v>59930</v>
      </c>
      <c r="CC37">
        <f>_xlfn.XLOOKUP(B37,'[8]october-2025'!$A:$A,'[8]october-2025'!$C:$C,0,0)</f>
        <v>53300</v>
      </c>
      <c r="CD37">
        <f t="shared" si="31"/>
        <v>9594</v>
      </c>
      <c r="CE37">
        <f t="shared" si="32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3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4"/>
        <v>200</v>
      </c>
      <c r="CL37">
        <f t="shared" si="35"/>
        <v>59930</v>
      </c>
      <c r="CM37">
        <f>_xlfn.XLOOKUP(B37,'[9]november-2025'!$A:$A,'[9]november-2025'!$C:$C,0,0)</f>
        <v>53300</v>
      </c>
      <c r="CN37">
        <f t="shared" si="36"/>
        <v>9594</v>
      </c>
      <c r="CO37">
        <f t="shared" si="37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38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39"/>
        <v>200</v>
      </c>
      <c r="CV37">
        <f t="shared" si="40"/>
        <v>59930</v>
      </c>
      <c r="CW37">
        <f>_xlfn.XLOOKUP(B37,'[10]december-2025'!$A:$A,'[10]december-2025'!$C:$C,0,0)</f>
        <v>53300</v>
      </c>
      <c r="CX37">
        <f t="shared" si="41"/>
        <v>9594</v>
      </c>
      <c r="CY37">
        <f t="shared" si="42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3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4"/>
        <v>200</v>
      </c>
      <c r="DF37">
        <f t="shared" si="45"/>
        <v>59930</v>
      </c>
      <c r="DG37">
        <f>_xlfn.XLOOKUP(B37,'[11]january-2026'!$A:$A,'[11]january-2026'!$C:$C,0,0)</f>
        <v>53300</v>
      </c>
      <c r="DH37">
        <f t="shared" si="46"/>
        <v>9594</v>
      </c>
      <c r="DI37">
        <f t="shared" si="47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48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49"/>
        <v>200</v>
      </c>
      <c r="DP37">
        <f t="shared" si="50"/>
        <v>59930</v>
      </c>
      <c r="DQ37">
        <f>_xlfn.XLOOKUP(B37,'[12]february-2026'!$A:$A,'[12]february-2026'!$C:$C,0,0)</f>
        <v>53300</v>
      </c>
      <c r="DR37">
        <f t="shared" si="51"/>
        <v>9594</v>
      </c>
      <c r="DS37">
        <f t="shared" si="52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3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4"/>
        <v>200</v>
      </c>
      <c r="DZ37">
        <f t="shared" si="55"/>
        <v>59930</v>
      </c>
      <c r="EA37">
        <f>_xlfn.XLOOKUP(B37,'[1]march-2025'!$A:$A,'[1]march-2025'!$J:$J,0,0)</f>
        <v>0</v>
      </c>
      <c r="EB37">
        <f>_xlfn.XLOOKUP(B37,'[2]april-2025'!$A:$A,'[2]april-2025'!$J:$J,0,0)</f>
        <v>0</v>
      </c>
      <c r="EC37">
        <f>_xlfn.XLOOKUP(B37,'[3]may-2025'!$A:$A,'[3]may-2025'!$J:$J,0,0)</f>
        <v>0</v>
      </c>
      <c r="ED37">
        <f>_xlfn.XLOOKUP(B37,'[4]june-2025'!$A:$A,'[4]june-2025'!$J:$J,0,0)</f>
        <v>0</v>
      </c>
      <c r="EE37">
        <f>_xlfn.XLOOKUP(B37,'[5]july-2025'!$A:$A,'[5]july-2025'!$J:$J,0,0)</f>
        <v>0</v>
      </c>
      <c r="EF37">
        <f>_xlfn.XLOOKUP(B37,'[6]august-2025'!$A:$A,'[6]august-2025'!$J:$J,0,0)</f>
        <v>0</v>
      </c>
      <c r="EG37">
        <f>_xlfn.XLOOKUP(B37,'[7]september-2025'!$A:$A,'[7]september-2025'!$J:$J,0,0)</f>
        <v>0</v>
      </c>
      <c r="EH37">
        <f>_xlfn.XLOOKUP(B37,'[8]october-2025'!$A:$A,'[8]october-2025'!$J:$J,0,0)</f>
        <v>0</v>
      </c>
      <c r="EI37">
        <f>_xlfn.XLOOKUP(C37,'[9]november-2025'!$A:$A,'[9]november-2025'!$J:$J,0,0)</f>
        <v>0</v>
      </c>
      <c r="EJ37">
        <f>_xlfn.XLOOKUP(B37,'[10]december-2025'!$A:$A,'[10]december-2025'!$J:$J,0,0)</f>
        <v>0</v>
      </c>
      <c r="EK37">
        <f>_xlfn.XLOOKUP(B37,'[11]january-2026'!$A:$A,'[11]january-2026'!$J:$J,0,0)</f>
        <v>0</v>
      </c>
      <c r="EL37">
        <f>_xlfn.XLOOKUP(B37,'[12]february-2026'!$A:$A,'[12]february-2026'!$J:$J,0,0)</f>
        <v>0</v>
      </c>
      <c r="EM37">
        <f t="shared" si="106"/>
        <v>0</v>
      </c>
      <c r="EN37">
        <f t="shared" si="56"/>
        <v>838692</v>
      </c>
      <c r="EO37">
        <f t="shared" si="57"/>
        <v>2400</v>
      </c>
      <c r="EP37">
        <f t="shared" si="58"/>
        <v>50000</v>
      </c>
      <c r="EQ37">
        <v>0</v>
      </c>
      <c r="ER37">
        <f t="shared" si="107"/>
        <v>786292</v>
      </c>
      <c r="ES37">
        <f t="shared" si="59"/>
        <v>120000</v>
      </c>
      <c r="ET37">
        <f t="shared" si="60"/>
        <v>720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1"/>
        <v>120720</v>
      </c>
      <c r="FF37">
        <f t="shared" si="62"/>
        <v>120720</v>
      </c>
      <c r="FG37">
        <f t="shared" si="63"/>
        <v>665572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4"/>
        <v>0</v>
      </c>
      <c r="FP37">
        <f t="shared" si="65"/>
        <v>665572</v>
      </c>
      <c r="FQ37">
        <f t="shared" si="66"/>
        <v>12500</v>
      </c>
      <c r="FR37">
        <f t="shared" si="67"/>
        <v>33114</v>
      </c>
      <c r="FS37">
        <f t="shared" si="68"/>
        <v>45614</v>
      </c>
      <c r="FT37">
        <f t="shared" si="69"/>
        <v>45614</v>
      </c>
      <c r="FU37">
        <f t="shared" si="70"/>
        <v>1824.56</v>
      </c>
      <c r="FV37">
        <f t="shared" si="71"/>
        <v>47439</v>
      </c>
      <c r="FW37">
        <v>0</v>
      </c>
      <c r="FX37">
        <f t="shared" si="72"/>
        <v>47439</v>
      </c>
      <c r="FY37" t="b">
        <f t="shared" si="73"/>
        <v>1</v>
      </c>
      <c r="FZ37">
        <f t="shared" ca="1" si="74"/>
        <v>640</v>
      </c>
      <c r="GA37">
        <f t="shared" ca="1" si="75"/>
        <v>839332</v>
      </c>
      <c r="GB37">
        <f t="shared" si="76"/>
        <v>75000</v>
      </c>
      <c r="GC37">
        <f t="shared" ca="1" si="77"/>
        <v>764332</v>
      </c>
      <c r="GD37">
        <f t="shared" ca="1" si="78"/>
        <v>0</v>
      </c>
      <c r="GE37">
        <f t="shared" ca="1" si="79"/>
        <v>0</v>
      </c>
      <c r="GF37">
        <f t="shared" ca="1" si="80"/>
        <v>0</v>
      </c>
      <c r="GG37">
        <f t="shared" ca="1" si="81"/>
        <v>0</v>
      </c>
      <c r="GH37">
        <f t="shared" ca="1" si="82"/>
        <v>0</v>
      </c>
      <c r="GI37">
        <f t="shared" ca="1" si="83"/>
        <v>0</v>
      </c>
      <c r="GJ37">
        <f t="shared" ca="1" si="84"/>
        <v>0</v>
      </c>
      <c r="GK37">
        <f t="shared" ca="1" si="85"/>
        <v>0</v>
      </c>
      <c r="GL37">
        <f t="shared" ca="1" si="86"/>
        <v>0</v>
      </c>
      <c r="GM37">
        <f t="shared" ca="1" si="87"/>
        <v>0</v>
      </c>
      <c r="GN37">
        <f t="shared" ca="1" si="88"/>
        <v>364332</v>
      </c>
      <c r="GO37">
        <f t="shared" ca="1" si="89"/>
        <v>18216.600000000002</v>
      </c>
      <c r="GP37">
        <f t="shared" ca="1" si="90"/>
        <v>18217</v>
      </c>
      <c r="GQ37">
        <f t="shared" ca="1" si="91"/>
        <v>0</v>
      </c>
      <c r="GR37">
        <f t="shared" ca="1" si="92"/>
        <v>0</v>
      </c>
      <c r="GS37">
        <f t="shared" ca="1" si="93"/>
        <v>18217</v>
      </c>
      <c r="GT37">
        <f t="shared" ca="1" si="94"/>
        <v>0</v>
      </c>
      <c r="GU37" t="b">
        <f t="shared" ca="1" si="95"/>
        <v>0</v>
      </c>
      <c r="GV37">
        <f t="shared" ca="1" si="96"/>
        <v>0</v>
      </c>
      <c r="GW37">
        <f t="shared" ca="1" si="97"/>
        <v>18217</v>
      </c>
      <c r="GX37">
        <f t="shared" ca="1" si="98"/>
        <v>0</v>
      </c>
      <c r="GY37">
        <f t="shared" ca="1" si="99"/>
        <v>0</v>
      </c>
      <c r="GZ37">
        <f t="shared" ca="1" si="100"/>
        <v>0</v>
      </c>
    </row>
    <row r="38" spans="1:208" x14ac:dyDescent="0.3">
      <c r="A38">
        <f>_xlfn.AGGREGATE(3,5,$B$2:B38)</f>
        <v>37</v>
      </c>
      <c r="B38" t="s">
        <v>191</v>
      </c>
      <c r="C38" t="s">
        <v>192</v>
      </c>
      <c r="D38" t="s">
        <v>758</v>
      </c>
      <c r="E38" t="s">
        <v>830</v>
      </c>
      <c r="F38" t="s">
        <v>956</v>
      </c>
      <c r="G38" t="s">
        <v>876</v>
      </c>
      <c r="H38">
        <f t="shared" si="19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1"/>
        <v>150</v>
      </c>
      <c r="S38">
        <f t="shared" si="102"/>
        <v>29854</v>
      </c>
      <c r="T38">
        <f>_xlfn.XLOOKUP(B38,'[2]april-2025'!$A:$A,'[2]april-2025'!$C:$C,0,0)</f>
        <v>25400</v>
      </c>
      <c r="U38">
        <f t="shared" si="4"/>
        <v>4572</v>
      </c>
      <c r="V38">
        <f t="shared" si="5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103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6"/>
        <v>150</v>
      </c>
      <c r="AC38">
        <f t="shared" si="7"/>
        <v>30870</v>
      </c>
      <c r="AD38">
        <f>_xlfn.XLOOKUP(B38,'[3]may-2025'!$A:$A,'[3]may-2025'!$C:$C,0,0)</f>
        <v>25400</v>
      </c>
      <c r="AE38">
        <f t="shared" si="8"/>
        <v>4572</v>
      </c>
      <c r="AF38">
        <f t="shared" si="9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04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0"/>
        <v>150</v>
      </c>
      <c r="AM38">
        <f t="shared" si="11"/>
        <v>30870</v>
      </c>
      <c r="AN38">
        <f>_xlfn.XLOOKUP(B38,'[4]june-2025'!$A:$A,'[4]june-2025'!$C:$C,0,0)</f>
        <v>25400</v>
      </c>
      <c r="AO38">
        <f t="shared" si="12"/>
        <v>4572</v>
      </c>
      <c r="AP38">
        <f t="shared" si="13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05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4"/>
        <v>150</v>
      </c>
      <c r="AW38">
        <f t="shared" si="15"/>
        <v>30870</v>
      </c>
      <c r="AX38">
        <f>_xlfn.XLOOKUP(B38,'[5]july-2025'!$A:$A,'[5]july-2025'!$C:$C,0,0)</f>
        <v>26200</v>
      </c>
      <c r="AY38">
        <f t="shared" si="16"/>
        <v>4716</v>
      </c>
      <c r="AZ38">
        <v>0</v>
      </c>
      <c r="BA38">
        <f t="shared" si="17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18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19"/>
        <v>150</v>
      </c>
      <c r="BH38">
        <f t="shared" si="20"/>
        <v>31910</v>
      </c>
      <c r="BI38">
        <f>_xlfn.XLOOKUP(B38,'[6]august-2025'!$A:$A,'[6]august-2025'!$C:$C,0,0)</f>
        <v>26200</v>
      </c>
      <c r="BJ38">
        <f t="shared" si="21"/>
        <v>4716</v>
      </c>
      <c r="BK38">
        <f t="shared" si="22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3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4"/>
        <v>150</v>
      </c>
      <c r="BR38">
        <f t="shared" si="25"/>
        <v>31910</v>
      </c>
      <c r="BS38">
        <f>_xlfn.XLOOKUP(B38,'[7]september-2025'!$A:$A,'[7]september-2025'!$C:$C,0,0)</f>
        <v>26200</v>
      </c>
      <c r="BT38">
        <f t="shared" si="26"/>
        <v>4716</v>
      </c>
      <c r="BU38">
        <f t="shared" si="27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28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29"/>
        <v>150</v>
      </c>
      <c r="CB38">
        <f t="shared" si="30"/>
        <v>31910</v>
      </c>
      <c r="CC38">
        <f>_xlfn.XLOOKUP(B38,'[8]october-2025'!$A:$A,'[8]october-2025'!$C:$C,0,0)</f>
        <v>26200</v>
      </c>
      <c r="CD38">
        <f t="shared" si="31"/>
        <v>4716</v>
      </c>
      <c r="CE38">
        <f t="shared" si="32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3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4"/>
        <v>150</v>
      </c>
      <c r="CL38">
        <f t="shared" si="35"/>
        <v>31910</v>
      </c>
      <c r="CM38">
        <f>_xlfn.XLOOKUP(B38,'[9]november-2025'!$A:$A,'[9]november-2025'!$C:$C,0,0)</f>
        <v>26200</v>
      </c>
      <c r="CN38">
        <f t="shared" si="36"/>
        <v>4716</v>
      </c>
      <c r="CO38">
        <f t="shared" si="37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38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39"/>
        <v>150</v>
      </c>
      <c r="CV38">
        <f t="shared" si="40"/>
        <v>31910</v>
      </c>
      <c r="CW38">
        <f>_xlfn.XLOOKUP(B38,'[10]december-2025'!$A:$A,'[10]december-2025'!$C:$C,0,0)</f>
        <v>26200</v>
      </c>
      <c r="CX38">
        <f t="shared" si="41"/>
        <v>4716</v>
      </c>
      <c r="CY38">
        <f t="shared" si="42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3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4"/>
        <v>150</v>
      </c>
      <c r="DF38">
        <f t="shared" si="45"/>
        <v>31910</v>
      </c>
      <c r="DG38">
        <f>_xlfn.XLOOKUP(B38,'[11]january-2026'!$A:$A,'[11]january-2026'!$C:$C,0,0)</f>
        <v>26200</v>
      </c>
      <c r="DH38">
        <f t="shared" si="46"/>
        <v>4716</v>
      </c>
      <c r="DI38">
        <f t="shared" si="47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48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49"/>
        <v>150</v>
      </c>
      <c r="DP38">
        <f t="shared" si="50"/>
        <v>31910</v>
      </c>
      <c r="DQ38">
        <f>_xlfn.XLOOKUP(B38,'[12]february-2026'!$A:$A,'[12]february-2026'!$C:$C,0,0)</f>
        <v>26200</v>
      </c>
      <c r="DR38">
        <f t="shared" si="51"/>
        <v>4716</v>
      </c>
      <c r="DS38">
        <f t="shared" si="52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3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4"/>
        <v>150</v>
      </c>
      <c r="DZ38">
        <f t="shared" si="55"/>
        <v>31910</v>
      </c>
      <c r="EA38">
        <f>_xlfn.XLOOKUP(B38,'[1]march-2025'!$A:$A,'[1]march-2025'!$J:$J,0,0)</f>
        <v>0</v>
      </c>
      <c r="EB38">
        <f>_xlfn.XLOOKUP(B38,'[2]april-2025'!$A:$A,'[2]april-2025'!$J:$J,0,0)</f>
        <v>0</v>
      </c>
      <c r="EC38">
        <f>_xlfn.XLOOKUP(B38,'[3]may-2025'!$A:$A,'[3]may-2025'!$J:$J,0,0)</f>
        <v>0</v>
      </c>
      <c r="ED38">
        <f>_xlfn.XLOOKUP(B38,'[4]june-2025'!$A:$A,'[4]june-2025'!$J:$J,0,0)</f>
        <v>34425</v>
      </c>
      <c r="EE38">
        <f>_xlfn.XLOOKUP(B38,'[5]july-2025'!$A:$A,'[5]july-2025'!$J:$J,0,0)</f>
        <v>0</v>
      </c>
      <c r="EF38">
        <f>_xlfn.XLOOKUP(B38,'[6]august-2025'!$A:$A,'[6]august-2025'!$J:$J,0,0)</f>
        <v>0</v>
      </c>
      <c r="EG38">
        <f>_xlfn.XLOOKUP(B38,'[7]september-2025'!$A:$A,'[7]september-2025'!$J:$J,0,0)</f>
        <v>0</v>
      </c>
      <c r="EH38">
        <f>_xlfn.XLOOKUP(B38,'[8]october-2025'!$A:$A,'[8]october-2025'!$J:$J,0,0)</f>
        <v>0</v>
      </c>
      <c r="EI38">
        <f>_xlfn.XLOOKUP(C38,'[9]november-2025'!$A:$A,'[9]november-2025'!$J:$J,0,0)</f>
        <v>0</v>
      </c>
      <c r="EJ38">
        <f>_xlfn.XLOOKUP(B38,'[10]december-2025'!$A:$A,'[10]december-2025'!$J:$J,0,0)</f>
        <v>0</v>
      </c>
      <c r="EK38">
        <f>_xlfn.XLOOKUP(B38,'[11]january-2026'!$A:$A,'[11]january-2026'!$J:$J,0,0)</f>
        <v>0</v>
      </c>
      <c r="EL38">
        <f>_xlfn.XLOOKUP(B38,'[12]february-2026'!$A:$A,'[12]february-2026'!$J:$J,0,0)</f>
        <v>0</v>
      </c>
      <c r="EM38">
        <f t="shared" si="106"/>
        <v>34425</v>
      </c>
      <c r="EN38">
        <f t="shared" si="56"/>
        <v>410344</v>
      </c>
      <c r="EO38">
        <f t="shared" si="57"/>
        <v>1800</v>
      </c>
      <c r="EP38">
        <f t="shared" si="58"/>
        <v>50000</v>
      </c>
      <c r="EQ38">
        <v>0</v>
      </c>
      <c r="ER38">
        <f t="shared" si="107"/>
        <v>392969</v>
      </c>
      <c r="ES38">
        <f t="shared" si="59"/>
        <v>24000</v>
      </c>
      <c r="ET38">
        <f t="shared" si="60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1"/>
        <v>24000</v>
      </c>
      <c r="FF38">
        <f t="shared" si="62"/>
        <v>24000</v>
      </c>
      <c r="FG38">
        <f t="shared" si="63"/>
        <v>368969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4"/>
        <v>0</v>
      </c>
      <c r="FP38">
        <f t="shared" si="65"/>
        <v>368969</v>
      </c>
      <c r="FQ38">
        <f t="shared" si="66"/>
        <v>5948</v>
      </c>
      <c r="FR38">
        <f t="shared" si="67"/>
        <v>0</v>
      </c>
      <c r="FS38">
        <f t="shared" si="68"/>
        <v>5948</v>
      </c>
      <c r="FT38">
        <f t="shared" si="69"/>
        <v>0</v>
      </c>
      <c r="FU38">
        <f t="shared" si="70"/>
        <v>0</v>
      </c>
      <c r="FV38">
        <f t="shared" si="71"/>
        <v>0</v>
      </c>
      <c r="FW38">
        <v>0</v>
      </c>
      <c r="FX38">
        <f t="shared" si="72"/>
        <v>0</v>
      </c>
      <c r="FY38" t="b">
        <f t="shared" si="73"/>
        <v>0</v>
      </c>
      <c r="FZ38">
        <f t="shared" ca="1" si="74"/>
        <v>1833</v>
      </c>
      <c r="GA38">
        <f t="shared" ca="1" si="75"/>
        <v>412177</v>
      </c>
      <c r="GB38">
        <f t="shared" si="76"/>
        <v>75000</v>
      </c>
      <c r="GC38">
        <f t="shared" ca="1" si="77"/>
        <v>337177</v>
      </c>
      <c r="GD38">
        <f t="shared" ca="1" si="78"/>
        <v>0</v>
      </c>
      <c r="GE38">
        <f t="shared" ca="1" si="79"/>
        <v>0</v>
      </c>
      <c r="GF38">
        <f t="shared" ca="1" si="80"/>
        <v>0</v>
      </c>
      <c r="GG38">
        <f t="shared" ca="1" si="81"/>
        <v>0</v>
      </c>
      <c r="GH38">
        <f t="shared" ca="1" si="82"/>
        <v>0</v>
      </c>
      <c r="GI38">
        <f t="shared" ca="1" si="83"/>
        <v>0</v>
      </c>
      <c r="GJ38">
        <f t="shared" ca="1" si="84"/>
        <v>0</v>
      </c>
      <c r="GK38">
        <f t="shared" ca="1" si="85"/>
        <v>0</v>
      </c>
      <c r="GL38">
        <f t="shared" ca="1" si="86"/>
        <v>0</v>
      </c>
      <c r="GM38">
        <f t="shared" ca="1" si="87"/>
        <v>0</v>
      </c>
      <c r="GN38">
        <f t="shared" ca="1" si="88"/>
        <v>0</v>
      </c>
      <c r="GO38">
        <f t="shared" ca="1" si="89"/>
        <v>0</v>
      </c>
      <c r="GP38">
        <f t="shared" ca="1" si="90"/>
        <v>0</v>
      </c>
      <c r="GQ38">
        <f t="shared" ca="1" si="91"/>
        <v>0</v>
      </c>
      <c r="GR38">
        <f t="shared" ca="1" si="92"/>
        <v>0</v>
      </c>
      <c r="GS38">
        <f t="shared" ca="1" si="93"/>
        <v>0</v>
      </c>
      <c r="GT38">
        <f t="shared" ca="1" si="94"/>
        <v>0</v>
      </c>
      <c r="GU38" t="b">
        <f t="shared" ca="1" si="95"/>
        <v>0</v>
      </c>
      <c r="GV38">
        <f t="shared" ca="1" si="96"/>
        <v>0</v>
      </c>
      <c r="GW38">
        <f t="shared" ca="1" si="97"/>
        <v>0</v>
      </c>
      <c r="GX38">
        <f t="shared" ca="1" si="98"/>
        <v>0</v>
      </c>
      <c r="GY38">
        <f t="shared" ca="1" si="99"/>
        <v>0</v>
      </c>
      <c r="GZ38">
        <f t="shared" ca="1" si="100"/>
        <v>0</v>
      </c>
    </row>
    <row r="39" spans="1:208" x14ac:dyDescent="0.3">
      <c r="A39">
        <f>_xlfn.AGGREGATE(3,5,$B$2:B39)</f>
        <v>38</v>
      </c>
      <c r="B39" t="s">
        <v>193</v>
      </c>
      <c r="C39" t="s">
        <v>194</v>
      </c>
      <c r="D39" t="s">
        <v>758</v>
      </c>
      <c r="E39" t="s">
        <v>830</v>
      </c>
      <c r="F39" t="s">
        <v>956</v>
      </c>
      <c r="G39" t="s">
        <v>882</v>
      </c>
      <c r="H39">
        <f t="shared" si="19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1"/>
        <v>150</v>
      </c>
      <c r="S39">
        <f t="shared" si="102"/>
        <v>36764</v>
      </c>
      <c r="T39">
        <f>_xlfn.XLOOKUP(B39,'[2]april-2025'!$A:$A,'[2]april-2025'!$C:$C,0,0)</f>
        <v>28900</v>
      </c>
      <c r="U39">
        <f t="shared" si="4"/>
        <v>5202</v>
      </c>
      <c r="V39">
        <f t="shared" si="5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103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6"/>
        <v>150</v>
      </c>
      <c r="AC39">
        <f t="shared" si="7"/>
        <v>37920</v>
      </c>
      <c r="AD39">
        <f>_xlfn.XLOOKUP(B39,'[3]may-2025'!$A:$A,'[3]may-2025'!$C:$C,0,0)</f>
        <v>28900</v>
      </c>
      <c r="AE39">
        <f t="shared" si="8"/>
        <v>5202</v>
      </c>
      <c r="AF39">
        <f t="shared" si="9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04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0"/>
        <v>150</v>
      </c>
      <c r="AM39">
        <f t="shared" si="11"/>
        <v>37920</v>
      </c>
      <c r="AN39">
        <f>_xlfn.XLOOKUP(B39,'[4]june-2025'!$A:$A,'[4]june-2025'!$C:$C,0,0)</f>
        <v>28900</v>
      </c>
      <c r="AO39">
        <f t="shared" si="12"/>
        <v>5202</v>
      </c>
      <c r="AP39">
        <f t="shared" si="13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05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4"/>
        <v>150</v>
      </c>
      <c r="AW39">
        <f t="shared" si="15"/>
        <v>37920</v>
      </c>
      <c r="AX39">
        <f>_xlfn.XLOOKUP(B39,'[5]july-2025'!$A:$A,'[5]july-2025'!$C:$C,0,0)</f>
        <v>29800</v>
      </c>
      <c r="AY39">
        <f t="shared" si="16"/>
        <v>5364</v>
      </c>
      <c r="AZ39">
        <v>0</v>
      </c>
      <c r="BA39">
        <f t="shared" si="17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18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19"/>
        <v>150</v>
      </c>
      <c r="BH39">
        <f t="shared" si="20"/>
        <v>39090</v>
      </c>
      <c r="BI39">
        <f>_xlfn.XLOOKUP(B39,'[6]august-2025'!$A:$A,'[6]august-2025'!$C:$C,0,0)</f>
        <v>29800</v>
      </c>
      <c r="BJ39">
        <f t="shared" si="21"/>
        <v>5364</v>
      </c>
      <c r="BK39">
        <f t="shared" si="22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3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4"/>
        <v>150</v>
      </c>
      <c r="BR39">
        <f t="shared" si="25"/>
        <v>39090</v>
      </c>
      <c r="BS39">
        <f>_xlfn.XLOOKUP(B39,'[7]september-2025'!$A:$A,'[7]september-2025'!$C:$C,0,0)</f>
        <v>29800</v>
      </c>
      <c r="BT39">
        <f t="shared" si="26"/>
        <v>5364</v>
      </c>
      <c r="BU39">
        <f t="shared" si="27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28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29"/>
        <v>150</v>
      </c>
      <c r="CB39">
        <f t="shared" si="30"/>
        <v>37090</v>
      </c>
      <c r="CC39">
        <f>_xlfn.XLOOKUP(B39,'[8]october-2025'!$A:$A,'[8]october-2025'!$C:$C,0,0)</f>
        <v>29800</v>
      </c>
      <c r="CD39">
        <f t="shared" si="31"/>
        <v>5364</v>
      </c>
      <c r="CE39">
        <f t="shared" si="32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3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4"/>
        <v>150</v>
      </c>
      <c r="CL39">
        <f t="shared" si="35"/>
        <v>37090</v>
      </c>
      <c r="CM39">
        <f>_xlfn.XLOOKUP(B39,'[9]november-2025'!$A:$A,'[9]november-2025'!$C:$C,0,0)</f>
        <v>29800</v>
      </c>
      <c r="CN39">
        <f t="shared" si="36"/>
        <v>5364</v>
      </c>
      <c r="CO39">
        <f t="shared" si="37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38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39"/>
        <v>150</v>
      </c>
      <c r="CV39">
        <f t="shared" si="40"/>
        <v>37090</v>
      </c>
      <c r="CW39">
        <f>_xlfn.XLOOKUP(B39,'[10]december-2025'!$A:$A,'[10]december-2025'!$C:$C,0,0)</f>
        <v>29800</v>
      </c>
      <c r="CX39">
        <f t="shared" si="41"/>
        <v>5364</v>
      </c>
      <c r="CY39">
        <f t="shared" si="42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3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4"/>
        <v>150</v>
      </c>
      <c r="DF39">
        <f t="shared" si="45"/>
        <v>37090</v>
      </c>
      <c r="DG39">
        <f>_xlfn.XLOOKUP(B39,'[11]january-2026'!$A:$A,'[11]january-2026'!$C:$C,0,0)</f>
        <v>29800</v>
      </c>
      <c r="DH39">
        <f t="shared" si="46"/>
        <v>5364</v>
      </c>
      <c r="DI39">
        <f t="shared" si="47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48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49"/>
        <v>150</v>
      </c>
      <c r="DP39">
        <f t="shared" si="50"/>
        <v>37090</v>
      </c>
      <c r="DQ39">
        <f>_xlfn.XLOOKUP(B39,'[12]february-2026'!$A:$A,'[12]february-2026'!$C:$C,0,0)</f>
        <v>29800</v>
      </c>
      <c r="DR39">
        <f t="shared" si="51"/>
        <v>5364</v>
      </c>
      <c r="DS39">
        <f t="shared" si="52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3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4"/>
        <v>150</v>
      </c>
      <c r="DZ39">
        <f t="shared" si="55"/>
        <v>37090</v>
      </c>
      <c r="EA39">
        <f>_xlfn.XLOOKUP(B39,'[1]march-2025'!$A:$A,'[1]march-2025'!$J:$J,0,0)</f>
        <v>0</v>
      </c>
      <c r="EB39">
        <f>_xlfn.XLOOKUP(B39,'[2]april-2025'!$A:$A,'[2]april-2025'!$J:$J,0,0)</f>
        <v>0</v>
      </c>
      <c r="EC39">
        <f>_xlfn.XLOOKUP(B39,'[3]may-2025'!$A:$A,'[3]may-2025'!$J:$J,0,0)</f>
        <v>71100</v>
      </c>
      <c r="ED39">
        <f>_xlfn.XLOOKUP(B39,'[4]june-2025'!$A:$A,'[4]june-2025'!$J:$J,0,0)</f>
        <v>0</v>
      </c>
      <c r="EE39">
        <f>_xlfn.XLOOKUP(B39,'[5]july-2025'!$A:$A,'[5]july-2025'!$J:$J,0,0)</f>
        <v>0</v>
      </c>
      <c r="EF39">
        <f>_xlfn.XLOOKUP(B39,'[6]august-2025'!$A:$A,'[6]august-2025'!$J:$J,0,0)</f>
        <v>0</v>
      </c>
      <c r="EG39">
        <f>_xlfn.XLOOKUP(B39,'[7]september-2025'!$A:$A,'[7]september-2025'!$J:$J,0,0)</f>
        <v>0</v>
      </c>
      <c r="EH39">
        <f>_xlfn.XLOOKUP(B39,'[8]october-2025'!$A:$A,'[8]october-2025'!$J:$J,0,0)</f>
        <v>0</v>
      </c>
      <c r="EI39">
        <f>_xlfn.XLOOKUP(C39,'[9]november-2025'!$A:$A,'[9]november-2025'!$J:$J,0,0)</f>
        <v>0</v>
      </c>
      <c r="EJ39">
        <f>_xlfn.XLOOKUP(B39,'[10]december-2025'!$A:$A,'[10]december-2025'!$J:$J,0,0)</f>
        <v>0</v>
      </c>
      <c r="EK39">
        <f>_xlfn.XLOOKUP(B39,'[11]january-2026'!$A:$A,'[11]january-2026'!$J:$J,0,0)</f>
        <v>0</v>
      </c>
      <c r="EL39">
        <f>_xlfn.XLOOKUP(B39,'[12]february-2026'!$A:$A,'[12]february-2026'!$J:$J,0,0)</f>
        <v>0</v>
      </c>
      <c r="EM39">
        <f t="shared" si="106"/>
        <v>71100</v>
      </c>
      <c r="EN39">
        <f t="shared" si="56"/>
        <v>471844</v>
      </c>
      <c r="EO39">
        <f t="shared" si="57"/>
        <v>1800</v>
      </c>
      <c r="EP39">
        <f t="shared" si="58"/>
        <v>50000</v>
      </c>
      <c r="EQ39">
        <v>0</v>
      </c>
      <c r="ER39">
        <f t="shared" si="107"/>
        <v>491144</v>
      </c>
      <c r="ES39">
        <f t="shared" si="59"/>
        <v>12000</v>
      </c>
      <c r="ET39">
        <f t="shared" si="60"/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1"/>
        <v>12000</v>
      </c>
      <c r="FF39">
        <f t="shared" si="62"/>
        <v>12000</v>
      </c>
      <c r="FG39">
        <f t="shared" si="63"/>
        <v>479144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4"/>
        <v>0</v>
      </c>
      <c r="FP39">
        <f t="shared" si="65"/>
        <v>479144</v>
      </c>
      <c r="FQ39">
        <f t="shared" si="66"/>
        <v>11457</v>
      </c>
      <c r="FR39">
        <f t="shared" si="67"/>
        <v>0</v>
      </c>
      <c r="FS39">
        <f t="shared" si="68"/>
        <v>11457</v>
      </c>
      <c r="FT39">
        <f t="shared" si="69"/>
        <v>0</v>
      </c>
      <c r="FU39">
        <f t="shared" si="70"/>
        <v>0</v>
      </c>
      <c r="FV39">
        <f t="shared" si="71"/>
        <v>0</v>
      </c>
      <c r="FW39">
        <v>0</v>
      </c>
      <c r="FX39">
        <f t="shared" si="72"/>
        <v>0</v>
      </c>
      <c r="FY39" t="b">
        <f t="shared" si="73"/>
        <v>0</v>
      </c>
      <c r="FZ39">
        <f t="shared" ca="1" si="74"/>
        <v>1010</v>
      </c>
      <c r="GA39">
        <f t="shared" ca="1" si="75"/>
        <v>472854</v>
      </c>
      <c r="GB39">
        <f t="shared" si="76"/>
        <v>75000</v>
      </c>
      <c r="GC39">
        <f t="shared" ca="1" si="77"/>
        <v>397854</v>
      </c>
      <c r="GD39">
        <f t="shared" ca="1" si="78"/>
        <v>0</v>
      </c>
      <c r="GE39">
        <f t="shared" ca="1" si="79"/>
        <v>0</v>
      </c>
      <c r="GF39">
        <f t="shared" ca="1" si="80"/>
        <v>0</v>
      </c>
      <c r="GG39">
        <f t="shared" ca="1" si="81"/>
        <v>0</v>
      </c>
      <c r="GH39">
        <f t="shared" ca="1" si="82"/>
        <v>0</v>
      </c>
      <c r="GI39">
        <f t="shared" ca="1" si="83"/>
        <v>0</v>
      </c>
      <c r="GJ39">
        <f t="shared" ca="1" si="84"/>
        <v>0</v>
      </c>
      <c r="GK39">
        <f t="shared" ca="1" si="85"/>
        <v>0</v>
      </c>
      <c r="GL39">
        <f t="shared" ca="1" si="86"/>
        <v>0</v>
      </c>
      <c r="GM39">
        <f t="shared" ca="1" si="87"/>
        <v>0</v>
      </c>
      <c r="GN39">
        <f t="shared" ca="1" si="88"/>
        <v>0</v>
      </c>
      <c r="GO39">
        <f t="shared" ca="1" si="89"/>
        <v>0</v>
      </c>
      <c r="GP39">
        <f t="shared" ca="1" si="90"/>
        <v>0</v>
      </c>
      <c r="GQ39">
        <f t="shared" ca="1" si="91"/>
        <v>0</v>
      </c>
      <c r="GR39">
        <f t="shared" ca="1" si="92"/>
        <v>0</v>
      </c>
      <c r="GS39">
        <f t="shared" ca="1" si="93"/>
        <v>0</v>
      </c>
      <c r="GT39">
        <f t="shared" ca="1" si="94"/>
        <v>0</v>
      </c>
      <c r="GU39" t="b">
        <f t="shared" ca="1" si="95"/>
        <v>0</v>
      </c>
      <c r="GV39">
        <f t="shared" ca="1" si="96"/>
        <v>0</v>
      </c>
      <c r="GW39">
        <f t="shared" ca="1" si="97"/>
        <v>0</v>
      </c>
      <c r="GX39">
        <f t="shared" ca="1" si="98"/>
        <v>0</v>
      </c>
      <c r="GY39">
        <f t="shared" ca="1" si="99"/>
        <v>0</v>
      </c>
      <c r="GZ39">
        <f t="shared" ca="1" si="100"/>
        <v>0</v>
      </c>
    </row>
    <row r="40" spans="1:208" x14ac:dyDescent="0.3">
      <c r="A40">
        <f>_xlfn.AGGREGATE(3,5,$B$2:B40)</f>
        <v>39</v>
      </c>
      <c r="B40" t="s">
        <v>195</v>
      </c>
      <c r="C40" t="s">
        <v>196</v>
      </c>
      <c r="D40" t="s">
        <v>759</v>
      </c>
      <c r="E40" t="s">
        <v>832</v>
      </c>
      <c r="F40" t="s">
        <v>956</v>
      </c>
      <c r="G40" t="s">
        <v>894</v>
      </c>
      <c r="H40">
        <f t="shared" si="19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1"/>
        <v>200</v>
      </c>
      <c r="S40">
        <f t="shared" si="102"/>
        <v>65504</v>
      </c>
      <c r="T40">
        <f>_xlfn.XLOOKUP(B40,'[2]april-2025'!$A:$A,'[2]april-2025'!$C:$C,0,0)</f>
        <v>55400</v>
      </c>
      <c r="U40">
        <f t="shared" si="4"/>
        <v>9972</v>
      </c>
      <c r="V40">
        <f t="shared" si="5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103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6"/>
        <v>200</v>
      </c>
      <c r="AC40">
        <f t="shared" si="7"/>
        <v>67720</v>
      </c>
      <c r="AD40">
        <f>_xlfn.XLOOKUP(B40,'[3]may-2025'!$A:$A,'[3]may-2025'!$C:$C,0,0)</f>
        <v>55400</v>
      </c>
      <c r="AE40">
        <f t="shared" si="8"/>
        <v>9972</v>
      </c>
      <c r="AF40">
        <f t="shared" si="9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04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0"/>
        <v>200</v>
      </c>
      <c r="AM40">
        <f t="shared" si="11"/>
        <v>67720</v>
      </c>
      <c r="AN40">
        <f>_xlfn.XLOOKUP(B40,'[4]june-2025'!$A:$A,'[4]june-2025'!$C:$C,0,0)</f>
        <v>55400</v>
      </c>
      <c r="AO40">
        <f t="shared" si="12"/>
        <v>9972</v>
      </c>
      <c r="AP40">
        <f t="shared" si="13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05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4"/>
        <v>200</v>
      </c>
      <c r="AW40">
        <f t="shared" si="15"/>
        <v>67720</v>
      </c>
      <c r="AX40">
        <f>_xlfn.XLOOKUP(B40,'[5]july-2025'!$A:$A,'[5]july-2025'!$C:$C,0,0)</f>
        <v>57100</v>
      </c>
      <c r="AY40">
        <f t="shared" si="16"/>
        <v>10278</v>
      </c>
      <c r="AZ40">
        <v>0</v>
      </c>
      <c r="BA40">
        <f t="shared" si="17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18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19"/>
        <v>200</v>
      </c>
      <c r="BH40">
        <f t="shared" si="20"/>
        <v>69930</v>
      </c>
      <c r="BI40">
        <f>_xlfn.XLOOKUP(B40,'[6]august-2025'!$A:$A,'[6]august-2025'!$C:$C,0,0)</f>
        <v>57100</v>
      </c>
      <c r="BJ40">
        <f t="shared" si="21"/>
        <v>10278</v>
      </c>
      <c r="BK40">
        <f t="shared" si="22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3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4"/>
        <v>200</v>
      </c>
      <c r="BR40">
        <f t="shared" si="25"/>
        <v>69930</v>
      </c>
      <c r="BS40">
        <f>_xlfn.XLOOKUP(B40,'[7]september-2025'!$A:$A,'[7]september-2025'!$C:$C,0,0)</f>
        <v>57100</v>
      </c>
      <c r="BT40">
        <f t="shared" si="26"/>
        <v>10278</v>
      </c>
      <c r="BU40">
        <f t="shared" si="27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28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29"/>
        <v>200</v>
      </c>
      <c r="CB40">
        <f t="shared" si="30"/>
        <v>69930</v>
      </c>
      <c r="CC40">
        <f>_xlfn.XLOOKUP(B40,'[8]october-2025'!$A:$A,'[8]october-2025'!$C:$C,0,0)</f>
        <v>57100</v>
      </c>
      <c r="CD40">
        <f t="shared" si="31"/>
        <v>10278</v>
      </c>
      <c r="CE40">
        <f t="shared" si="32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3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4"/>
        <v>200</v>
      </c>
      <c r="CL40">
        <f t="shared" si="35"/>
        <v>69930</v>
      </c>
      <c r="CM40">
        <f>_xlfn.XLOOKUP(B40,'[9]november-2025'!$A:$A,'[9]november-2025'!$C:$C,0,0)</f>
        <v>57100</v>
      </c>
      <c r="CN40">
        <f t="shared" si="36"/>
        <v>10278</v>
      </c>
      <c r="CO40">
        <f t="shared" si="37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38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39"/>
        <v>200</v>
      </c>
      <c r="CV40">
        <f t="shared" si="40"/>
        <v>69930</v>
      </c>
      <c r="CW40">
        <f>_xlfn.XLOOKUP(B40,'[10]december-2025'!$A:$A,'[10]december-2025'!$C:$C,0,0)</f>
        <v>57100</v>
      </c>
      <c r="CX40">
        <f t="shared" si="41"/>
        <v>10278</v>
      </c>
      <c r="CY40">
        <f t="shared" si="42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3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4"/>
        <v>200</v>
      </c>
      <c r="DF40">
        <f t="shared" si="45"/>
        <v>69930</v>
      </c>
      <c r="DG40">
        <f>_xlfn.XLOOKUP(B40,'[11]january-2026'!$A:$A,'[11]january-2026'!$C:$C,0,0)</f>
        <v>57100</v>
      </c>
      <c r="DH40">
        <f t="shared" si="46"/>
        <v>10278</v>
      </c>
      <c r="DI40">
        <f t="shared" si="47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48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49"/>
        <v>200</v>
      </c>
      <c r="DP40">
        <f t="shared" si="50"/>
        <v>69930</v>
      </c>
      <c r="DQ40">
        <f>_xlfn.XLOOKUP(B40,'[12]february-2026'!$A:$A,'[12]february-2026'!$C:$C,0,0)</f>
        <v>57100</v>
      </c>
      <c r="DR40">
        <f t="shared" si="51"/>
        <v>10278</v>
      </c>
      <c r="DS40">
        <f t="shared" si="52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3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4"/>
        <v>200</v>
      </c>
      <c r="DZ40">
        <f t="shared" si="55"/>
        <v>69930</v>
      </c>
      <c r="EA40">
        <f>_xlfn.XLOOKUP(B40,'[1]march-2025'!$A:$A,'[1]march-2025'!$J:$J,0,0)</f>
        <v>0</v>
      </c>
      <c r="EB40">
        <f>_xlfn.XLOOKUP(B40,'[2]april-2025'!$A:$A,'[2]april-2025'!$J:$J,0,0)</f>
        <v>0</v>
      </c>
      <c r="EC40">
        <f>_xlfn.XLOOKUP(B40,'[3]may-2025'!$A:$A,'[3]may-2025'!$J:$J,0,0)</f>
        <v>0</v>
      </c>
      <c r="ED40">
        <f>_xlfn.XLOOKUP(B40,'[4]june-2025'!$A:$A,'[4]june-2025'!$J:$J,0,0)</f>
        <v>0</v>
      </c>
      <c r="EE40">
        <f>_xlfn.XLOOKUP(B40,'[5]july-2025'!$A:$A,'[5]july-2025'!$J:$J,0,0)</f>
        <v>0</v>
      </c>
      <c r="EF40">
        <f>_xlfn.XLOOKUP(B40,'[6]august-2025'!$A:$A,'[6]august-2025'!$J:$J,0,0)</f>
        <v>0</v>
      </c>
      <c r="EG40">
        <f>_xlfn.XLOOKUP(B40,'[7]september-2025'!$A:$A,'[7]september-2025'!$J:$J,0,0)</f>
        <v>0</v>
      </c>
      <c r="EH40">
        <f>_xlfn.XLOOKUP(B40,'[8]october-2025'!$A:$A,'[8]october-2025'!$J:$J,0,0)</f>
        <v>0</v>
      </c>
      <c r="EI40">
        <f>_xlfn.XLOOKUP(C40,'[9]november-2025'!$A:$A,'[9]november-2025'!$J:$J,0,0)</f>
        <v>0</v>
      </c>
      <c r="EJ40">
        <f>_xlfn.XLOOKUP(B40,'[10]december-2025'!$A:$A,'[10]december-2025'!$J:$J,0,0)</f>
        <v>0</v>
      </c>
      <c r="EK40">
        <f>_xlfn.XLOOKUP(B40,'[11]january-2026'!$A:$A,'[11]january-2026'!$J:$J,0,0)</f>
        <v>0</v>
      </c>
      <c r="EL40">
        <f>_xlfn.XLOOKUP(B40,'[12]february-2026'!$A:$A,'[12]february-2026'!$J:$J,0,0)</f>
        <v>0</v>
      </c>
      <c r="EM40">
        <f t="shared" si="106"/>
        <v>0</v>
      </c>
      <c r="EN40">
        <f t="shared" si="56"/>
        <v>897304</v>
      </c>
      <c r="EO40">
        <f t="shared" si="57"/>
        <v>2400</v>
      </c>
      <c r="EP40">
        <f t="shared" si="58"/>
        <v>50000</v>
      </c>
      <c r="EQ40">
        <v>0</v>
      </c>
      <c r="ER40">
        <f t="shared" si="107"/>
        <v>844904</v>
      </c>
      <c r="ES40">
        <f t="shared" si="59"/>
        <v>60000</v>
      </c>
      <c r="ET40">
        <f t="shared" si="60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1"/>
        <v>60000</v>
      </c>
      <c r="FF40">
        <f t="shared" si="62"/>
        <v>60000</v>
      </c>
      <c r="FG40">
        <f t="shared" si="63"/>
        <v>784904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4"/>
        <v>0</v>
      </c>
      <c r="FP40">
        <f t="shared" si="65"/>
        <v>784904</v>
      </c>
      <c r="FQ40">
        <f t="shared" si="66"/>
        <v>12500</v>
      </c>
      <c r="FR40">
        <f t="shared" si="67"/>
        <v>56981</v>
      </c>
      <c r="FS40">
        <f t="shared" si="68"/>
        <v>69481</v>
      </c>
      <c r="FT40">
        <f t="shared" si="69"/>
        <v>69481</v>
      </c>
      <c r="FU40">
        <f t="shared" si="70"/>
        <v>2779.2400000000002</v>
      </c>
      <c r="FV40">
        <f t="shared" si="71"/>
        <v>72260</v>
      </c>
      <c r="FW40">
        <v>0</v>
      </c>
      <c r="FX40">
        <f t="shared" si="72"/>
        <v>72260</v>
      </c>
      <c r="FY40" t="b">
        <f t="shared" si="73"/>
        <v>1</v>
      </c>
      <c r="FZ40">
        <f t="shared" ca="1" si="74"/>
        <v>786</v>
      </c>
      <c r="GA40">
        <f t="shared" ca="1" si="75"/>
        <v>898090</v>
      </c>
      <c r="GB40">
        <f t="shared" si="76"/>
        <v>75000</v>
      </c>
      <c r="GC40">
        <f t="shared" ca="1" si="77"/>
        <v>823090</v>
      </c>
      <c r="GD40">
        <f t="shared" ca="1" si="78"/>
        <v>0</v>
      </c>
      <c r="GE40">
        <f t="shared" ca="1" si="79"/>
        <v>0</v>
      </c>
      <c r="GF40">
        <f t="shared" ca="1" si="80"/>
        <v>0</v>
      </c>
      <c r="GG40">
        <f t="shared" ca="1" si="81"/>
        <v>0</v>
      </c>
      <c r="GH40">
        <f t="shared" ca="1" si="82"/>
        <v>0</v>
      </c>
      <c r="GI40">
        <f t="shared" ca="1" si="83"/>
        <v>0</v>
      </c>
      <c r="GJ40">
        <f t="shared" ca="1" si="84"/>
        <v>0</v>
      </c>
      <c r="GK40">
        <f t="shared" ca="1" si="85"/>
        <v>0</v>
      </c>
      <c r="GL40">
        <f t="shared" ca="1" si="86"/>
        <v>23090</v>
      </c>
      <c r="GM40">
        <f t="shared" ca="1" si="87"/>
        <v>2309</v>
      </c>
      <c r="GN40">
        <f t="shared" ca="1" si="88"/>
        <v>400000</v>
      </c>
      <c r="GO40">
        <f t="shared" ca="1" si="89"/>
        <v>20000</v>
      </c>
      <c r="GP40">
        <f t="shared" ca="1" si="90"/>
        <v>22309</v>
      </c>
      <c r="GQ40">
        <f t="shared" ca="1" si="91"/>
        <v>0</v>
      </c>
      <c r="GR40">
        <f t="shared" ca="1" si="92"/>
        <v>0</v>
      </c>
      <c r="GS40">
        <f t="shared" ca="1" si="93"/>
        <v>22309</v>
      </c>
      <c r="GT40">
        <f t="shared" ca="1" si="94"/>
        <v>0</v>
      </c>
      <c r="GU40" t="b">
        <f t="shared" ca="1" si="95"/>
        <v>0</v>
      </c>
      <c r="GV40">
        <f t="shared" ca="1" si="96"/>
        <v>0</v>
      </c>
      <c r="GW40">
        <f t="shared" ca="1" si="97"/>
        <v>22309</v>
      </c>
      <c r="GX40">
        <f t="shared" ca="1" si="98"/>
        <v>0</v>
      </c>
      <c r="GY40">
        <f t="shared" ca="1" si="99"/>
        <v>0</v>
      </c>
      <c r="GZ40">
        <f t="shared" ca="1" si="100"/>
        <v>0</v>
      </c>
    </row>
    <row r="41" spans="1:208" x14ac:dyDescent="0.3">
      <c r="A41">
        <f>_xlfn.AGGREGATE(3,5,$B$2:B41)</f>
        <v>40</v>
      </c>
      <c r="B41" t="s">
        <v>197</v>
      </c>
      <c r="C41" t="s">
        <v>198</v>
      </c>
      <c r="D41" t="s">
        <v>759</v>
      </c>
      <c r="E41" t="s">
        <v>830</v>
      </c>
      <c r="F41" t="s">
        <v>956</v>
      </c>
      <c r="G41" t="s">
        <v>880</v>
      </c>
      <c r="H41">
        <f t="shared" si="193"/>
        <v>6800</v>
      </c>
      <c r="I41">
        <f>_xlfn.XLOOKUP(B41,'[1]march-2025'!$A:$A,'[1]march-2025'!$J:$J,0,0)</f>
        <v>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1"/>
        <v>150</v>
      </c>
      <c r="S41">
        <f t="shared" si="102"/>
        <v>34764</v>
      </c>
      <c r="T41">
        <f>_xlfn.XLOOKUP(B41,'[2]april-2025'!$A:$A,'[2]april-2025'!$C:$C,0,0)</f>
        <v>28900</v>
      </c>
      <c r="U41">
        <f t="shared" si="4"/>
        <v>5202</v>
      </c>
      <c r="V41">
        <f t="shared" si="5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103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6"/>
        <v>150</v>
      </c>
      <c r="AC41">
        <f t="shared" si="7"/>
        <v>35920</v>
      </c>
      <c r="AD41">
        <f>_xlfn.XLOOKUP(B41,'[3]may-2025'!$A:$A,'[3]may-2025'!$C:$C,0,0)</f>
        <v>28900</v>
      </c>
      <c r="AE41">
        <f t="shared" si="8"/>
        <v>5202</v>
      </c>
      <c r="AF41">
        <f t="shared" si="9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04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0"/>
        <v>150</v>
      </c>
      <c r="AM41">
        <f t="shared" si="11"/>
        <v>35920</v>
      </c>
      <c r="AN41">
        <f>_xlfn.XLOOKUP(B41,'[4]june-2025'!$A:$A,'[4]june-2025'!$C:$C,0,0)</f>
        <v>28900</v>
      </c>
      <c r="AO41">
        <f t="shared" si="12"/>
        <v>5202</v>
      </c>
      <c r="AP41">
        <f t="shared" si="13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05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4"/>
        <v>150</v>
      </c>
      <c r="AW41">
        <f t="shared" si="15"/>
        <v>35920</v>
      </c>
      <c r="AX41">
        <f>_xlfn.XLOOKUP(B41,'[5]july-2025'!$A:$A,'[5]july-2025'!$C:$C,0,0)</f>
        <v>29800</v>
      </c>
      <c r="AY41">
        <f t="shared" si="16"/>
        <v>5364</v>
      </c>
      <c r="AZ41">
        <v>0</v>
      </c>
      <c r="BA41">
        <f t="shared" si="17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18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19"/>
        <v>150</v>
      </c>
      <c r="BH41">
        <f t="shared" si="20"/>
        <v>37090</v>
      </c>
      <c r="BI41">
        <f>_xlfn.XLOOKUP(B41,'[6]august-2025'!$A:$A,'[6]august-2025'!$C:$C,0,0)</f>
        <v>29800</v>
      </c>
      <c r="BJ41">
        <f t="shared" si="21"/>
        <v>5364</v>
      </c>
      <c r="BK41">
        <f t="shared" si="22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3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4"/>
        <v>150</v>
      </c>
      <c r="BR41">
        <f t="shared" si="25"/>
        <v>37090</v>
      </c>
      <c r="BS41">
        <f>_xlfn.XLOOKUP(B41,'[7]september-2025'!$A:$A,'[7]september-2025'!$C:$C,0,0)</f>
        <v>29800</v>
      </c>
      <c r="BT41">
        <f t="shared" si="26"/>
        <v>5364</v>
      </c>
      <c r="BU41">
        <f t="shared" si="27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28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29"/>
        <v>150</v>
      </c>
      <c r="CB41">
        <f t="shared" si="30"/>
        <v>37090</v>
      </c>
      <c r="CC41">
        <f>_xlfn.XLOOKUP(B41,'[8]october-2025'!$A:$A,'[8]october-2025'!$C:$C,0,0)</f>
        <v>29800</v>
      </c>
      <c r="CD41">
        <f t="shared" si="31"/>
        <v>5364</v>
      </c>
      <c r="CE41">
        <f t="shared" si="32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3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4"/>
        <v>150</v>
      </c>
      <c r="CL41">
        <f t="shared" si="35"/>
        <v>37090</v>
      </c>
      <c r="CM41">
        <f>_xlfn.XLOOKUP(B41,'[9]november-2025'!$A:$A,'[9]november-2025'!$C:$C,0,0)</f>
        <v>29800</v>
      </c>
      <c r="CN41">
        <f t="shared" si="36"/>
        <v>5364</v>
      </c>
      <c r="CO41">
        <f t="shared" si="37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38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39"/>
        <v>150</v>
      </c>
      <c r="CV41">
        <f t="shared" si="40"/>
        <v>37090</v>
      </c>
      <c r="CW41">
        <f>_xlfn.XLOOKUP(B41,'[10]december-2025'!$A:$A,'[10]december-2025'!$C:$C,0,0)</f>
        <v>29800</v>
      </c>
      <c r="CX41">
        <f t="shared" si="41"/>
        <v>5364</v>
      </c>
      <c r="CY41">
        <f t="shared" si="42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3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4"/>
        <v>150</v>
      </c>
      <c r="DF41">
        <f t="shared" si="45"/>
        <v>37090</v>
      </c>
      <c r="DG41">
        <f>_xlfn.XLOOKUP(B41,'[11]january-2026'!$A:$A,'[11]january-2026'!$C:$C,0,0)</f>
        <v>29800</v>
      </c>
      <c r="DH41">
        <f t="shared" si="46"/>
        <v>5364</v>
      </c>
      <c r="DI41">
        <f t="shared" si="47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48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49"/>
        <v>150</v>
      </c>
      <c r="DP41">
        <f t="shared" si="50"/>
        <v>37090</v>
      </c>
      <c r="DQ41">
        <f>_xlfn.XLOOKUP(B41,'[12]february-2026'!$A:$A,'[12]february-2026'!$C:$C,0,0)</f>
        <v>29800</v>
      </c>
      <c r="DR41">
        <f t="shared" si="51"/>
        <v>5364</v>
      </c>
      <c r="DS41">
        <f t="shared" si="52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3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4"/>
        <v>150</v>
      </c>
      <c r="DZ41">
        <f t="shared" si="55"/>
        <v>37090</v>
      </c>
      <c r="EA41">
        <f>_xlfn.XLOOKUP(B41,'[1]march-2025'!$A:$A,'[1]march-2025'!$J:$J,0,0)</f>
        <v>0</v>
      </c>
      <c r="EB41">
        <f>_xlfn.XLOOKUP(B41,'[2]april-2025'!$A:$A,'[2]april-2025'!$J:$J,0,0)</f>
        <v>0</v>
      </c>
      <c r="EC41">
        <f>_xlfn.XLOOKUP(B41,'[3]may-2025'!$A:$A,'[3]may-2025'!$J:$J,0,0)</f>
        <v>61490</v>
      </c>
      <c r="ED41">
        <f>_xlfn.XLOOKUP(B41,'[4]june-2025'!$A:$A,'[4]june-2025'!$J:$J,0,0)</f>
        <v>0</v>
      </c>
      <c r="EE41">
        <f>_xlfn.XLOOKUP(B41,'[5]july-2025'!$A:$A,'[5]july-2025'!$J:$J,0,0)</f>
        <v>0</v>
      </c>
      <c r="EF41">
        <f>_xlfn.XLOOKUP(B41,'[6]august-2025'!$A:$A,'[6]august-2025'!$J:$J,0,0)</f>
        <v>0</v>
      </c>
      <c r="EG41">
        <f>_xlfn.XLOOKUP(B41,'[7]september-2025'!$A:$A,'[7]september-2025'!$J:$J,0,0)</f>
        <v>0</v>
      </c>
      <c r="EH41">
        <f>_xlfn.XLOOKUP(B41,'[8]october-2025'!$A:$A,'[8]october-2025'!$J:$J,0,0)</f>
        <v>0</v>
      </c>
      <c r="EI41">
        <f>_xlfn.XLOOKUP(C41,'[9]november-2025'!$A:$A,'[9]november-2025'!$J:$J,0,0)</f>
        <v>0</v>
      </c>
      <c r="EJ41">
        <f>_xlfn.XLOOKUP(B41,'[10]december-2025'!$A:$A,'[10]december-2025'!$J:$J,0,0)</f>
        <v>0</v>
      </c>
      <c r="EK41">
        <f>_xlfn.XLOOKUP(B41,'[11]january-2026'!$A:$A,'[11]january-2026'!$J:$J,0,0)</f>
        <v>0</v>
      </c>
      <c r="EL41">
        <f>_xlfn.XLOOKUP(B41,'[12]february-2026'!$A:$A,'[12]february-2026'!$J:$J,0,0)</f>
        <v>0</v>
      </c>
      <c r="EM41">
        <f t="shared" si="106"/>
        <v>61490</v>
      </c>
      <c r="EN41">
        <f t="shared" si="56"/>
        <v>471844</v>
      </c>
      <c r="EO41">
        <f t="shared" si="57"/>
        <v>1800</v>
      </c>
      <c r="EP41">
        <f t="shared" si="58"/>
        <v>50000</v>
      </c>
      <c r="EQ41">
        <v>0</v>
      </c>
      <c r="ER41">
        <f t="shared" si="107"/>
        <v>481534</v>
      </c>
      <c r="ES41">
        <f t="shared" si="59"/>
        <v>24000</v>
      </c>
      <c r="ET41">
        <f t="shared" si="60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1"/>
        <v>24000</v>
      </c>
      <c r="FF41">
        <f t="shared" si="62"/>
        <v>24000</v>
      </c>
      <c r="FG41">
        <f t="shared" si="63"/>
        <v>457534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4"/>
        <v>0</v>
      </c>
      <c r="FP41">
        <f t="shared" si="65"/>
        <v>457534</v>
      </c>
      <c r="FQ41">
        <f t="shared" si="66"/>
        <v>10377</v>
      </c>
      <c r="FR41">
        <f t="shared" si="67"/>
        <v>0</v>
      </c>
      <c r="FS41">
        <f t="shared" si="68"/>
        <v>10377</v>
      </c>
      <c r="FT41">
        <f t="shared" si="69"/>
        <v>0</v>
      </c>
      <c r="FU41">
        <f t="shared" si="70"/>
        <v>0</v>
      </c>
      <c r="FV41">
        <f t="shared" si="71"/>
        <v>0</v>
      </c>
      <c r="FW41">
        <v>0</v>
      </c>
      <c r="FX41">
        <f t="shared" si="72"/>
        <v>0</v>
      </c>
      <c r="FY41" t="b">
        <f t="shared" si="73"/>
        <v>0</v>
      </c>
      <c r="FZ41">
        <f t="shared" ca="1" si="74"/>
        <v>1411</v>
      </c>
      <c r="GA41">
        <f t="shared" ca="1" si="75"/>
        <v>473255</v>
      </c>
      <c r="GB41">
        <f t="shared" si="76"/>
        <v>75000</v>
      </c>
      <c r="GC41">
        <f t="shared" ca="1" si="77"/>
        <v>398255</v>
      </c>
      <c r="GD41">
        <f t="shared" ca="1" si="78"/>
        <v>0</v>
      </c>
      <c r="GE41">
        <f t="shared" ca="1" si="79"/>
        <v>0</v>
      </c>
      <c r="GF41">
        <f t="shared" ca="1" si="80"/>
        <v>0</v>
      </c>
      <c r="GG41">
        <f t="shared" ca="1" si="81"/>
        <v>0</v>
      </c>
      <c r="GH41">
        <f t="shared" ca="1" si="82"/>
        <v>0</v>
      </c>
      <c r="GI41">
        <f t="shared" ca="1" si="83"/>
        <v>0</v>
      </c>
      <c r="GJ41">
        <f t="shared" ca="1" si="84"/>
        <v>0</v>
      </c>
      <c r="GK41">
        <f t="shared" ca="1" si="85"/>
        <v>0</v>
      </c>
      <c r="GL41">
        <f t="shared" ca="1" si="86"/>
        <v>0</v>
      </c>
      <c r="GM41">
        <f t="shared" ca="1" si="87"/>
        <v>0</v>
      </c>
      <c r="GN41">
        <f t="shared" ca="1" si="88"/>
        <v>0</v>
      </c>
      <c r="GO41">
        <f t="shared" ca="1" si="89"/>
        <v>0</v>
      </c>
      <c r="GP41">
        <f t="shared" ca="1" si="90"/>
        <v>0</v>
      </c>
      <c r="GQ41">
        <f t="shared" ca="1" si="91"/>
        <v>0</v>
      </c>
      <c r="GR41">
        <f t="shared" ca="1" si="92"/>
        <v>0</v>
      </c>
      <c r="GS41">
        <f t="shared" ca="1" si="93"/>
        <v>0</v>
      </c>
      <c r="GT41">
        <f t="shared" ca="1" si="94"/>
        <v>0</v>
      </c>
      <c r="GU41" t="b">
        <f t="shared" ca="1" si="95"/>
        <v>0</v>
      </c>
      <c r="GV41">
        <f t="shared" ca="1" si="96"/>
        <v>0</v>
      </c>
      <c r="GW41">
        <f t="shared" ca="1" si="97"/>
        <v>0</v>
      </c>
      <c r="GX41">
        <f t="shared" ca="1" si="98"/>
        <v>0</v>
      </c>
      <c r="GY41">
        <f t="shared" ca="1" si="99"/>
        <v>0</v>
      </c>
      <c r="GZ41">
        <f t="shared" ca="1" si="100"/>
        <v>0</v>
      </c>
    </row>
    <row r="42" spans="1:208" x14ac:dyDescent="0.3">
      <c r="A42">
        <f>_xlfn.AGGREGATE(3,5,$B$2:B42)</f>
        <v>41</v>
      </c>
      <c r="B42" t="s">
        <v>199</v>
      </c>
      <c r="C42" t="s">
        <v>200</v>
      </c>
      <c r="D42" t="s">
        <v>759</v>
      </c>
      <c r="E42" t="s">
        <v>830</v>
      </c>
      <c r="F42" t="s">
        <v>956</v>
      </c>
      <c r="G42" t="s">
        <v>895</v>
      </c>
      <c r="H42">
        <f t="shared" si="19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1"/>
        <v>150</v>
      </c>
      <c r="S42">
        <f t="shared" si="102"/>
        <v>30972</v>
      </c>
      <c r="T42">
        <f>_xlfn.XLOOKUP(B42,'[2]april-2025'!$A:$A,'[2]april-2025'!$C:$C,0,0)</f>
        <v>24700</v>
      </c>
      <c r="U42">
        <f t="shared" si="4"/>
        <v>4446</v>
      </c>
      <c r="V42">
        <f t="shared" si="5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103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6"/>
        <v>150</v>
      </c>
      <c r="AC42">
        <f t="shared" si="7"/>
        <v>31960</v>
      </c>
      <c r="AD42">
        <f>_xlfn.XLOOKUP(B42,'[3]may-2025'!$A:$A,'[3]may-2025'!$C:$C,0,0)</f>
        <v>24700</v>
      </c>
      <c r="AE42">
        <f t="shared" si="8"/>
        <v>4446</v>
      </c>
      <c r="AF42">
        <f t="shared" si="9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04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0"/>
        <v>150</v>
      </c>
      <c r="AM42">
        <f t="shared" si="11"/>
        <v>31960</v>
      </c>
      <c r="AN42">
        <f>_xlfn.XLOOKUP(B42,'[4]june-2025'!$A:$A,'[4]june-2025'!$C:$C,0,0)</f>
        <v>24700</v>
      </c>
      <c r="AO42">
        <f t="shared" si="12"/>
        <v>4446</v>
      </c>
      <c r="AP42">
        <f t="shared" si="13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05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4"/>
        <v>150</v>
      </c>
      <c r="AW42">
        <f t="shared" si="15"/>
        <v>31960</v>
      </c>
      <c r="AX42">
        <f>_xlfn.XLOOKUP(B42,'[5]july-2025'!$A:$A,'[5]july-2025'!$C:$C,0,0)</f>
        <v>25400</v>
      </c>
      <c r="AY42">
        <f t="shared" si="16"/>
        <v>4572</v>
      </c>
      <c r="AZ42">
        <v>0</v>
      </c>
      <c r="BA42">
        <f t="shared" si="17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18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19"/>
        <v>150</v>
      </c>
      <c r="BH42">
        <f t="shared" si="20"/>
        <v>32870</v>
      </c>
      <c r="BI42">
        <f>_xlfn.XLOOKUP(B42,'[6]august-2025'!$A:$A,'[6]august-2025'!$C:$C,0,0)</f>
        <v>25400</v>
      </c>
      <c r="BJ42">
        <f t="shared" si="21"/>
        <v>4572</v>
      </c>
      <c r="BK42">
        <f t="shared" si="22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3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4"/>
        <v>150</v>
      </c>
      <c r="BR42">
        <f t="shared" si="25"/>
        <v>32870</v>
      </c>
      <c r="BS42">
        <f>_xlfn.XLOOKUP(B42,'[7]september-2025'!$A:$A,'[7]september-2025'!$C:$C,0,0)</f>
        <v>25400</v>
      </c>
      <c r="BT42">
        <f t="shared" si="26"/>
        <v>4572</v>
      </c>
      <c r="BU42">
        <f t="shared" si="27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28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29"/>
        <v>150</v>
      </c>
      <c r="CB42">
        <f t="shared" si="30"/>
        <v>32870</v>
      </c>
      <c r="CC42">
        <f>_xlfn.XLOOKUP(B42,'[8]october-2025'!$A:$A,'[8]october-2025'!$C:$C,0,0)</f>
        <v>25400</v>
      </c>
      <c r="CD42">
        <f t="shared" si="31"/>
        <v>4572</v>
      </c>
      <c r="CE42">
        <f t="shared" si="32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3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4"/>
        <v>150</v>
      </c>
      <c r="CL42">
        <f t="shared" si="35"/>
        <v>32870</v>
      </c>
      <c r="CM42">
        <f>_xlfn.XLOOKUP(B42,'[9]november-2025'!$A:$A,'[9]november-2025'!$C:$C,0,0)</f>
        <v>25400</v>
      </c>
      <c r="CN42">
        <f t="shared" si="36"/>
        <v>4572</v>
      </c>
      <c r="CO42">
        <f t="shared" si="37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38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39"/>
        <v>150</v>
      </c>
      <c r="CV42">
        <f t="shared" si="40"/>
        <v>32870</v>
      </c>
      <c r="CW42">
        <f>_xlfn.XLOOKUP(B42,'[10]december-2025'!$A:$A,'[10]december-2025'!$C:$C,0,0)</f>
        <v>25400</v>
      </c>
      <c r="CX42">
        <f t="shared" si="41"/>
        <v>4572</v>
      </c>
      <c r="CY42">
        <f t="shared" si="42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3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4"/>
        <v>150</v>
      </c>
      <c r="DF42">
        <f t="shared" si="45"/>
        <v>32870</v>
      </c>
      <c r="DG42">
        <f>_xlfn.XLOOKUP(B42,'[11]january-2026'!$A:$A,'[11]january-2026'!$C:$C,0,0)</f>
        <v>25400</v>
      </c>
      <c r="DH42">
        <f t="shared" si="46"/>
        <v>4572</v>
      </c>
      <c r="DI42">
        <f t="shared" si="47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48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49"/>
        <v>150</v>
      </c>
      <c r="DP42">
        <f t="shared" si="50"/>
        <v>32870</v>
      </c>
      <c r="DQ42">
        <f>_xlfn.XLOOKUP(B42,'[12]february-2026'!$A:$A,'[12]february-2026'!$C:$C,0,0)</f>
        <v>25400</v>
      </c>
      <c r="DR42">
        <f t="shared" si="51"/>
        <v>4572</v>
      </c>
      <c r="DS42">
        <f t="shared" si="52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3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4"/>
        <v>150</v>
      </c>
      <c r="DZ42">
        <f t="shared" si="55"/>
        <v>32870</v>
      </c>
      <c r="EA42">
        <f>_xlfn.XLOOKUP(B42,'[1]march-2025'!$A:$A,'[1]march-2025'!$J:$J,0,0)</f>
        <v>0</v>
      </c>
      <c r="EB42">
        <f>_xlfn.XLOOKUP(B42,'[2]april-2025'!$A:$A,'[2]april-2025'!$J:$J,0,0)</f>
        <v>0</v>
      </c>
      <c r="EC42">
        <f>_xlfn.XLOOKUP(B42,'[3]may-2025'!$A:$A,'[3]may-2025'!$J:$J,0,0)</f>
        <v>0</v>
      </c>
      <c r="ED42">
        <f>_xlfn.XLOOKUP(B42,'[4]june-2025'!$A:$A,'[4]june-2025'!$J:$J,0,0)</f>
        <v>0</v>
      </c>
      <c r="EE42">
        <f>_xlfn.XLOOKUP(B42,'[5]july-2025'!$A:$A,'[5]july-2025'!$J:$J,0,0)</f>
        <v>0</v>
      </c>
      <c r="EF42">
        <f>_xlfn.XLOOKUP(B42,'[6]august-2025'!$A:$A,'[6]august-2025'!$J:$J,0,0)</f>
        <v>0</v>
      </c>
      <c r="EG42">
        <f>_xlfn.XLOOKUP(B42,'[7]september-2025'!$A:$A,'[7]september-2025'!$J:$J,0,0)</f>
        <v>0</v>
      </c>
      <c r="EH42">
        <f>_xlfn.XLOOKUP(B42,'[8]october-2025'!$A:$A,'[8]october-2025'!$J:$J,0,0)</f>
        <v>0</v>
      </c>
      <c r="EI42">
        <f>_xlfn.XLOOKUP(C42,'[9]november-2025'!$A:$A,'[9]november-2025'!$J:$J,0,0)</f>
        <v>0</v>
      </c>
      <c r="EJ42">
        <f>_xlfn.XLOOKUP(B42,'[10]december-2025'!$A:$A,'[10]december-2025'!$J:$J,0,0)</f>
        <v>0</v>
      </c>
      <c r="EK42">
        <f>_xlfn.XLOOKUP(B42,'[11]january-2026'!$A:$A,'[11]january-2026'!$J:$J,0,0)</f>
        <v>0</v>
      </c>
      <c r="EL42">
        <f>_xlfn.XLOOKUP(B42,'[12]february-2026'!$A:$A,'[12]february-2026'!$J:$J,0,0)</f>
        <v>0</v>
      </c>
      <c r="EM42">
        <f t="shared" si="106"/>
        <v>0</v>
      </c>
      <c r="EN42">
        <f t="shared" si="56"/>
        <v>398412</v>
      </c>
      <c r="EO42">
        <f t="shared" si="57"/>
        <v>1800</v>
      </c>
      <c r="EP42">
        <f t="shared" si="58"/>
        <v>50000</v>
      </c>
      <c r="EQ42">
        <v>0</v>
      </c>
      <c r="ER42">
        <f t="shared" si="107"/>
        <v>346612</v>
      </c>
      <c r="ES42">
        <f t="shared" si="59"/>
        <v>0</v>
      </c>
      <c r="ET42">
        <f t="shared" si="60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1"/>
        <v>0</v>
      </c>
      <c r="FF42">
        <f t="shared" si="62"/>
        <v>0</v>
      </c>
      <c r="FG42">
        <f t="shared" si="63"/>
        <v>346612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4"/>
        <v>0</v>
      </c>
      <c r="FP42">
        <f t="shared" si="65"/>
        <v>346612</v>
      </c>
      <c r="FQ42">
        <f t="shared" si="66"/>
        <v>4831</v>
      </c>
      <c r="FR42">
        <f t="shared" si="67"/>
        <v>0</v>
      </c>
      <c r="FS42">
        <f t="shared" si="68"/>
        <v>4831</v>
      </c>
      <c r="FT42">
        <f t="shared" si="69"/>
        <v>0</v>
      </c>
      <c r="FU42">
        <f t="shared" si="70"/>
        <v>0</v>
      </c>
      <c r="FV42">
        <f t="shared" si="71"/>
        <v>0</v>
      </c>
      <c r="FW42">
        <v>0</v>
      </c>
      <c r="FX42">
        <f t="shared" si="72"/>
        <v>0</v>
      </c>
      <c r="FY42" t="b">
        <f t="shared" si="73"/>
        <v>0</v>
      </c>
      <c r="FZ42">
        <f t="shared" ca="1" si="74"/>
        <v>1641</v>
      </c>
      <c r="GA42">
        <f t="shared" ca="1" si="75"/>
        <v>400053</v>
      </c>
      <c r="GB42">
        <f t="shared" si="76"/>
        <v>75000</v>
      </c>
      <c r="GC42">
        <f t="shared" ca="1" si="77"/>
        <v>325053</v>
      </c>
      <c r="GD42">
        <f t="shared" ca="1" si="78"/>
        <v>0</v>
      </c>
      <c r="GE42">
        <f t="shared" ca="1" si="79"/>
        <v>0</v>
      </c>
      <c r="GF42">
        <f t="shared" ca="1" si="80"/>
        <v>0</v>
      </c>
      <c r="GG42">
        <f t="shared" ca="1" si="81"/>
        <v>0</v>
      </c>
      <c r="GH42">
        <f t="shared" ca="1" si="82"/>
        <v>0</v>
      </c>
      <c r="GI42">
        <f t="shared" ca="1" si="83"/>
        <v>0</v>
      </c>
      <c r="GJ42">
        <f t="shared" ca="1" si="84"/>
        <v>0</v>
      </c>
      <c r="GK42">
        <f t="shared" ca="1" si="85"/>
        <v>0</v>
      </c>
      <c r="GL42">
        <f t="shared" ca="1" si="86"/>
        <v>0</v>
      </c>
      <c r="GM42">
        <f t="shared" ca="1" si="87"/>
        <v>0</v>
      </c>
      <c r="GN42">
        <f t="shared" ca="1" si="88"/>
        <v>0</v>
      </c>
      <c r="GO42">
        <f t="shared" ca="1" si="89"/>
        <v>0</v>
      </c>
      <c r="GP42">
        <f t="shared" ca="1" si="90"/>
        <v>0</v>
      </c>
      <c r="GQ42">
        <f t="shared" ca="1" si="91"/>
        <v>0</v>
      </c>
      <c r="GR42">
        <f t="shared" ca="1" si="92"/>
        <v>0</v>
      </c>
      <c r="GS42">
        <f t="shared" ca="1" si="93"/>
        <v>0</v>
      </c>
      <c r="GT42">
        <f t="shared" ca="1" si="94"/>
        <v>0</v>
      </c>
      <c r="GU42" t="b">
        <f t="shared" ca="1" si="95"/>
        <v>0</v>
      </c>
      <c r="GV42">
        <f t="shared" ca="1" si="96"/>
        <v>0</v>
      </c>
      <c r="GW42">
        <f t="shared" ca="1" si="97"/>
        <v>0</v>
      </c>
      <c r="GX42">
        <f t="shared" ca="1" si="98"/>
        <v>0</v>
      </c>
      <c r="GY42">
        <f t="shared" ca="1" si="99"/>
        <v>0</v>
      </c>
      <c r="GZ42">
        <f t="shared" ca="1" si="100"/>
        <v>0</v>
      </c>
    </row>
    <row r="43" spans="1:208" x14ac:dyDescent="0.3">
      <c r="A43">
        <f>_xlfn.AGGREGATE(3,5,$B$2:B43)</f>
        <v>42</v>
      </c>
      <c r="B43" t="s">
        <v>201</v>
      </c>
      <c r="C43" t="s">
        <v>202</v>
      </c>
      <c r="D43" t="s">
        <v>760</v>
      </c>
      <c r="E43" t="s">
        <v>831</v>
      </c>
      <c r="F43" t="s">
        <v>956</v>
      </c>
      <c r="G43" t="s">
        <v>875</v>
      </c>
      <c r="H43">
        <f t="shared" si="19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1"/>
        <v>200</v>
      </c>
      <c r="S43">
        <f t="shared" si="102"/>
        <v>57238</v>
      </c>
      <c r="T43">
        <f>_xlfn.XLOOKUP(B43,'[2]april-2025'!$A:$A,'[2]april-2025'!$C:$C,0,0)</f>
        <v>47300</v>
      </c>
      <c r="U43">
        <f t="shared" si="4"/>
        <v>8514</v>
      </c>
      <c r="V43">
        <f t="shared" si="5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103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6"/>
        <v>200</v>
      </c>
      <c r="AC43">
        <f t="shared" si="7"/>
        <v>59130</v>
      </c>
      <c r="AD43">
        <f>_xlfn.XLOOKUP(B43,'[3]may-2025'!$A:$A,'[3]may-2025'!$C:$C,0,0)</f>
        <v>47300</v>
      </c>
      <c r="AE43">
        <f t="shared" si="8"/>
        <v>8514</v>
      </c>
      <c r="AF43">
        <f t="shared" si="9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04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0"/>
        <v>200</v>
      </c>
      <c r="AM43">
        <f t="shared" si="11"/>
        <v>59130</v>
      </c>
      <c r="AN43">
        <f>_xlfn.XLOOKUP(B43,'[4]june-2025'!$A:$A,'[4]june-2025'!$C:$C,0,0)</f>
        <v>47300</v>
      </c>
      <c r="AO43">
        <f t="shared" si="12"/>
        <v>8514</v>
      </c>
      <c r="AP43">
        <f t="shared" si="13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05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4"/>
        <v>200</v>
      </c>
      <c r="AW43">
        <f t="shared" si="15"/>
        <v>59130</v>
      </c>
      <c r="AX43">
        <f>_xlfn.XLOOKUP(B43,'[5]july-2025'!$A:$A,'[5]july-2025'!$C:$C,0,0)</f>
        <v>48700</v>
      </c>
      <c r="AY43">
        <f t="shared" si="16"/>
        <v>8766</v>
      </c>
      <c r="AZ43">
        <v>0</v>
      </c>
      <c r="BA43">
        <f t="shared" si="17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18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19"/>
        <v>200</v>
      </c>
      <c r="BH43">
        <f t="shared" si="20"/>
        <v>60950</v>
      </c>
      <c r="BI43">
        <f>_xlfn.XLOOKUP(B43,'[6]august-2025'!$A:$A,'[6]august-2025'!$C:$C,0,0)</f>
        <v>48700</v>
      </c>
      <c r="BJ43">
        <f t="shared" si="21"/>
        <v>8766</v>
      </c>
      <c r="BK43">
        <f t="shared" si="22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3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4"/>
        <v>200</v>
      </c>
      <c r="BR43">
        <f t="shared" si="25"/>
        <v>60950</v>
      </c>
      <c r="BS43">
        <f>_xlfn.XLOOKUP(B43,'[7]september-2025'!$A:$A,'[7]september-2025'!$C:$C,0,0)</f>
        <v>48700</v>
      </c>
      <c r="BT43">
        <f t="shared" si="26"/>
        <v>8766</v>
      </c>
      <c r="BU43">
        <f t="shared" si="27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28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29"/>
        <v>200</v>
      </c>
      <c r="CB43">
        <f t="shared" si="30"/>
        <v>60950</v>
      </c>
      <c r="CC43">
        <f>_xlfn.XLOOKUP(B43,'[8]october-2025'!$A:$A,'[8]october-2025'!$C:$C,0,0)</f>
        <v>48700</v>
      </c>
      <c r="CD43">
        <f t="shared" si="31"/>
        <v>8766</v>
      </c>
      <c r="CE43">
        <f t="shared" si="32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3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4"/>
        <v>200</v>
      </c>
      <c r="CL43">
        <f t="shared" si="35"/>
        <v>60950</v>
      </c>
      <c r="CM43">
        <f>_xlfn.XLOOKUP(B43,'[9]november-2025'!$A:$A,'[9]november-2025'!$C:$C,0,0)</f>
        <v>48700</v>
      </c>
      <c r="CN43">
        <f t="shared" si="36"/>
        <v>8766</v>
      </c>
      <c r="CO43">
        <f t="shared" si="37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38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39"/>
        <v>200</v>
      </c>
      <c r="CV43">
        <f t="shared" si="40"/>
        <v>60950</v>
      </c>
      <c r="CW43">
        <f>_xlfn.XLOOKUP(B43,'[10]december-2025'!$A:$A,'[10]december-2025'!$C:$C,0,0)</f>
        <v>48700</v>
      </c>
      <c r="CX43">
        <f t="shared" si="41"/>
        <v>8766</v>
      </c>
      <c r="CY43">
        <f t="shared" si="42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3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4"/>
        <v>200</v>
      </c>
      <c r="DF43">
        <f t="shared" si="45"/>
        <v>60950</v>
      </c>
      <c r="DG43">
        <f>_xlfn.XLOOKUP(B43,'[11]january-2026'!$A:$A,'[11]january-2026'!$C:$C,0,0)</f>
        <v>48700</v>
      </c>
      <c r="DH43">
        <f t="shared" si="46"/>
        <v>8766</v>
      </c>
      <c r="DI43">
        <f t="shared" si="47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48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49"/>
        <v>200</v>
      </c>
      <c r="DP43">
        <f t="shared" si="50"/>
        <v>60950</v>
      </c>
      <c r="DQ43">
        <f>_xlfn.XLOOKUP(B43,'[12]february-2026'!$A:$A,'[12]february-2026'!$C:$C,0,0)</f>
        <v>48700</v>
      </c>
      <c r="DR43">
        <f t="shared" si="51"/>
        <v>8766</v>
      </c>
      <c r="DS43">
        <f t="shared" si="52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3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4"/>
        <v>200</v>
      </c>
      <c r="DZ43">
        <f t="shared" si="55"/>
        <v>60950</v>
      </c>
      <c r="EA43">
        <f>_xlfn.XLOOKUP(B43,'[1]march-2025'!$A:$A,'[1]march-2025'!$J:$J,0,0)</f>
        <v>0</v>
      </c>
      <c r="EB43">
        <f>_xlfn.XLOOKUP(B43,'[2]april-2025'!$A:$A,'[2]april-2025'!$J:$J,0,0)</f>
        <v>0</v>
      </c>
      <c r="EC43">
        <f>_xlfn.XLOOKUP(B43,'[3]may-2025'!$A:$A,'[3]may-2025'!$J:$J,0,0)</f>
        <v>0</v>
      </c>
      <c r="ED43">
        <f>_xlfn.XLOOKUP(B43,'[4]june-2025'!$A:$A,'[4]june-2025'!$J:$J,0,0)</f>
        <v>0</v>
      </c>
      <c r="EE43">
        <f>_xlfn.XLOOKUP(B43,'[5]july-2025'!$A:$A,'[5]july-2025'!$J:$J,0,0)</f>
        <v>0</v>
      </c>
      <c r="EF43">
        <f>_xlfn.XLOOKUP(B43,'[6]august-2025'!$A:$A,'[6]august-2025'!$J:$J,0,0)</f>
        <v>0</v>
      </c>
      <c r="EG43">
        <f>_xlfn.XLOOKUP(B43,'[7]september-2025'!$A:$A,'[7]september-2025'!$J:$J,0,0)</f>
        <v>0</v>
      </c>
      <c r="EH43">
        <f>_xlfn.XLOOKUP(B43,'[8]october-2025'!$A:$A,'[8]october-2025'!$J:$J,0,0)</f>
        <v>0</v>
      </c>
      <c r="EI43">
        <f>_xlfn.XLOOKUP(C43,'[9]november-2025'!$A:$A,'[9]november-2025'!$J:$J,0,0)</f>
        <v>0</v>
      </c>
      <c r="EJ43">
        <f>_xlfn.XLOOKUP(B43,'[10]december-2025'!$A:$A,'[10]december-2025'!$J:$J,0,0)</f>
        <v>0</v>
      </c>
      <c r="EK43">
        <f>_xlfn.XLOOKUP(B43,'[11]january-2026'!$A:$A,'[11]january-2026'!$J:$J,0,0)</f>
        <v>0</v>
      </c>
      <c r="EL43">
        <f>_xlfn.XLOOKUP(B43,'[12]february-2026'!$A:$A,'[12]february-2026'!$J:$J,0,0)</f>
        <v>0</v>
      </c>
      <c r="EM43">
        <f t="shared" si="106"/>
        <v>0</v>
      </c>
      <c r="EN43">
        <f t="shared" si="56"/>
        <v>768148</v>
      </c>
      <c r="EO43">
        <f t="shared" si="57"/>
        <v>2400</v>
      </c>
      <c r="EP43">
        <f t="shared" si="58"/>
        <v>50000</v>
      </c>
      <c r="EQ43">
        <v>0</v>
      </c>
      <c r="ER43">
        <f t="shared" si="107"/>
        <v>715748</v>
      </c>
      <c r="ES43">
        <f t="shared" si="59"/>
        <v>36000</v>
      </c>
      <c r="ET43">
        <f t="shared" si="60"/>
        <v>720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1"/>
        <v>36720</v>
      </c>
      <c r="FF43">
        <f t="shared" si="62"/>
        <v>36720</v>
      </c>
      <c r="FG43">
        <f t="shared" si="63"/>
        <v>679028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4"/>
        <v>0</v>
      </c>
      <c r="FP43">
        <f t="shared" si="65"/>
        <v>679028</v>
      </c>
      <c r="FQ43">
        <f t="shared" si="66"/>
        <v>12500</v>
      </c>
      <c r="FR43">
        <f t="shared" si="67"/>
        <v>35806</v>
      </c>
      <c r="FS43">
        <f t="shared" si="68"/>
        <v>48306</v>
      </c>
      <c r="FT43">
        <f t="shared" si="69"/>
        <v>48306</v>
      </c>
      <c r="FU43">
        <f t="shared" si="70"/>
        <v>1932.24</v>
      </c>
      <c r="FV43">
        <f t="shared" si="71"/>
        <v>50238</v>
      </c>
      <c r="FW43">
        <v>0</v>
      </c>
      <c r="FX43">
        <f t="shared" si="72"/>
        <v>50238</v>
      </c>
      <c r="FY43" t="b">
        <f t="shared" si="73"/>
        <v>1</v>
      </c>
      <c r="FZ43">
        <f t="shared" ca="1" si="74"/>
        <v>545</v>
      </c>
      <c r="GA43">
        <f t="shared" ca="1" si="75"/>
        <v>768693</v>
      </c>
      <c r="GB43">
        <f t="shared" si="76"/>
        <v>75000</v>
      </c>
      <c r="GC43">
        <f t="shared" ca="1" si="77"/>
        <v>693693</v>
      </c>
      <c r="GD43">
        <f t="shared" ca="1" si="78"/>
        <v>0</v>
      </c>
      <c r="GE43">
        <f t="shared" ca="1" si="79"/>
        <v>0</v>
      </c>
      <c r="GF43">
        <f t="shared" ca="1" si="80"/>
        <v>0</v>
      </c>
      <c r="GG43">
        <f t="shared" ca="1" si="81"/>
        <v>0</v>
      </c>
      <c r="GH43">
        <f t="shared" ca="1" si="82"/>
        <v>0</v>
      </c>
      <c r="GI43">
        <f t="shared" ca="1" si="83"/>
        <v>0</v>
      </c>
      <c r="GJ43">
        <f t="shared" ca="1" si="84"/>
        <v>0</v>
      </c>
      <c r="GK43">
        <f t="shared" ca="1" si="85"/>
        <v>0</v>
      </c>
      <c r="GL43">
        <f t="shared" ca="1" si="86"/>
        <v>0</v>
      </c>
      <c r="GM43">
        <f t="shared" ca="1" si="87"/>
        <v>0</v>
      </c>
      <c r="GN43">
        <f t="shared" ca="1" si="88"/>
        <v>293693</v>
      </c>
      <c r="GO43">
        <f t="shared" ca="1" si="89"/>
        <v>14684.650000000001</v>
      </c>
      <c r="GP43">
        <f t="shared" ca="1" si="90"/>
        <v>14685</v>
      </c>
      <c r="GQ43">
        <f t="shared" ca="1" si="91"/>
        <v>0</v>
      </c>
      <c r="GR43">
        <f t="shared" ca="1" si="92"/>
        <v>0</v>
      </c>
      <c r="GS43">
        <f t="shared" ca="1" si="93"/>
        <v>14685</v>
      </c>
      <c r="GT43">
        <f t="shared" ca="1" si="94"/>
        <v>0</v>
      </c>
      <c r="GU43" t="b">
        <f t="shared" ca="1" si="95"/>
        <v>0</v>
      </c>
      <c r="GV43">
        <f t="shared" ca="1" si="96"/>
        <v>0</v>
      </c>
      <c r="GW43">
        <f t="shared" ca="1" si="97"/>
        <v>14685</v>
      </c>
      <c r="GX43">
        <f t="shared" ca="1" si="98"/>
        <v>0</v>
      </c>
      <c r="GY43">
        <f t="shared" ca="1" si="99"/>
        <v>0</v>
      </c>
      <c r="GZ43">
        <f t="shared" ca="1" si="100"/>
        <v>0</v>
      </c>
    </row>
    <row r="44" spans="1:208" x14ac:dyDescent="0.3">
      <c r="A44">
        <f>_xlfn.AGGREGATE(3,5,$B$2:B44)</f>
        <v>43</v>
      </c>
      <c r="B44" t="s">
        <v>203</v>
      </c>
      <c r="C44" t="s">
        <v>204</v>
      </c>
      <c r="D44" t="s">
        <v>760</v>
      </c>
      <c r="E44" t="s">
        <v>831</v>
      </c>
      <c r="F44" t="s">
        <v>956</v>
      </c>
      <c r="G44" t="s">
        <v>896</v>
      </c>
      <c r="H44">
        <f t="shared" si="19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1"/>
        <v>200</v>
      </c>
      <c r="S44">
        <f t="shared" si="102"/>
        <v>39510</v>
      </c>
      <c r="T44">
        <f>_xlfn.XLOOKUP(B44,'[2]april-2025'!$A:$A,'[2]april-2025'!$C:$C,0,0)</f>
        <v>33500</v>
      </c>
      <c r="U44">
        <f t="shared" si="4"/>
        <v>6030</v>
      </c>
      <c r="V44">
        <f t="shared" si="5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103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6"/>
        <v>200</v>
      </c>
      <c r="AC44">
        <f t="shared" si="7"/>
        <v>40850</v>
      </c>
      <c r="AD44">
        <f>_xlfn.XLOOKUP(B44,'[3]may-2025'!$A:$A,'[3]may-2025'!$C:$C,0,0)</f>
        <v>33500</v>
      </c>
      <c r="AE44">
        <f t="shared" si="8"/>
        <v>6030</v>
      </c>
      <c r="AF44">
        <f t="shared" si="9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04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0"/>
        <v>200</v>
      </c>
      <c r="AM44">
        <f t="shared" si="11"/>
        <v>40850</v>
      </c>
      <c r="AN44">
        <f>_xlfn.XLOOKUP(B44,'[4]june-2025'!$A:$A,'[4]june-2025'!$C:$C,0,0)</f>
        <v>33500</v>
      </c>
      <c r="AO44">
        <f t="shared" si="12"/>
        <v>6030</v>
      </c>
      <c r="AP44">
        <f t="shared" si="13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05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4"/>
        <v>200</v>
      </c>
      <c r="AW44">
        <f t="shared" si="15"/>
        <v>40850</v>
      </c>
      <c r="AX44">
        <f>_xlfn.XLOOKUP(B44,'[5]july-2025'!$A:$A,'[5]july-2025'!$C:$C,0,0)</f>
        <v>34500</v>
      </c>
      <c r="AY44">
        <f t="shared" si="16"/>
        <v>6210</v>
      </c>
      <c r="AZ44">
        <v>0</v>
      </c>
      <c r="BA44">
        <f t="shared" si="17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18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19"/>
        <v>200</v>
      </c>
      <c r="BH44">
        <f t="shared" si="20"/>
        <v>42150</v>
      </c>
      <c r="BI44">
        <f>_xlfn.XLOOKUP(B44,'[6]august-2025'!$A:$A,'[6]august-2025'!$C:$C,0,0)</f>
        <v>34500</v>
      </c>
      <c r="BJ44">
        <f t="shared" si="21"/>
        <v>6210</v>
      </c>
      <c r="BK44">
        <f t="shared" si="22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3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4"/>
        <v>200</v>
      </c>
      <c r="BR44">
        <f t="shared" si="25"/>
        <v>42150</v>
      </c>
      <c r="BS44">
        <f>_xlfn.XLOOKUP(B44,'[7]september-2025'!$A:$A,'[7]september-2025'!$C:$C,0,0)</f>
        <v>34500</v>
      </c>
      <c r="BT44">
        <f t="shared" si="26"/>
        <v>6210</v>
      </c>
      <c r="BU44">
        <f t="shared" si="27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28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29"/>
        <v>200</v>
      </c>
      <c r="CB44">
        <f t="shared" si="30"/>
        <v>42150</v>
      </c>
      <c r="CC44">
        <f>_xlfn.XLOOKUP(B44,'[8]october-2025'!$A:$A,'[8]october-2025'!$C:$C,0,0)</f>
        <v>34500</v>
      </c>
      <c r="CD44">
        <f t="shared" si="31"/>
        <v>6210</v>
      </c>
      <c r="CE44">
        <f t="shared" si="32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3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4"/>
        <v>200</v>
      </c>
      <c r="CL44">
        <f t="shared" si="35"/>
        <v>42150</v>
      </c>
      <c r="CM44">
        <f>_xlfn.XLOOKUP(B44,'[9]november-2025'!$A:$A,'[9]november-2025'!$C:$C,0,0)</f>
        <v>34500</v>
      </c>
      <c r="CN44">
        <f t="shared" si="36"/>
        <v>6210</v>
      </c>
      <c r="CO44">
        <f t="shared" si="37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38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39"/>
        <v>200</v>
      </c>
      <c r="CV44">
        <f t="shared" si="40"/>
        <v>42150</v>
      </c>
      <c r="CW44">
        <f>_xlfn.XLOOKUP(B44,'[10]december-2025'!$A:$A,'[10]december-2025'!$C:$C,0,0)</f>
        <v>34500</v>
      </c>
      <c r="CX44">
        <f t="shared" si="41"/>
        <v>6210</v>
      </c>
      <c r="CY44">
        <f t="shared" si="42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3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4"/>
        <v>200</v>
      </c>
      <c r="DF44">
        <f t="shared" si="45"/>
        <v>42150</v>
      </c>
      <c r="DG44">
        <f>_xlfn.XLOOKUP(B44,'[11]january-2026'!$A:$A,'[11]january-2026'!$C:$C,0,0)</f>
        <v>34500</v>
      </c>
      <c r="DH44">
        <f t="shared" si="46"/>
        <v>6210</v>
      </c>
      <c r="DI44">
        <f t="shared" si="47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48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49"/>
        <v>200</v>
      </c>
      <c r="DP44">
        <f t="shared" si="50"/>
        <v>42150</v>
      </c>
      <c r="DQ44">
        <f>_xlfn.XLOOKUP(B44,'[12]february-2026'!$A:$A,'[12]february-2026'!$C:$C,0,0)</f>
        <v>34500</v>
      </c>
      <c r="DR44">
        <f t="shared" si="51"/>
        <v>6210</v>
      </c>
      <c r="DS44">
        <f t="shared" si="52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3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4"/>
        <v>200</v>
      </c>
      <c r="DZ44">
        <f t="shared" si="55"/>
        <v>42150</v>
      </c>
      <c r="EA44">
        <f>_xlfn.XLOOKUP(B44,'[1]march-2025'!$A:$A,'[1]march-2025'!$J:$J,0,0)</f>
        <v>0</v>
      </c>
      <c r="EB44">
        <f>_xlfn.XLOOKUP(B44,'[2]april-2025'!$A:$A,'[2]april-2025'!$J:$J,0,0)</f>
        <v>0</v>
      </c>
      <c r="EC44">
        <f>_xlfn.XLOOKUP(B44,'[3]may-2025'!$A:$A,'[3]may-2025'!$J:$J,0,0)</f>
        <v>0</v>
      </c>
      <c r="ED44">
        <f>_xlfn.XLOOKUP(B44,'[4]june-2025'!$A:$A,'[4]june-2025'!$J:$J,0,0)</f>
        <v>0</v>
      </c>
      <c r="EE44">
        <f>_xlfn.XLOOKUP(B44,'[5]july-2025'!$A:$A,'[5]july-2025'!$J:$J,0,0)</f>
        <v>0</v>
      </c>
      <c r="EF44">
        <f>_xlfn.XLOOKUP(B44,'[6]august-2025'!$A:$A,'[6]august-2025'!$J:$J,0,0)</f>
        <v>0</v>
      </c>
      <c r="EG44">
        <f>_xlfn.XLOOKUP(B44,'[7]september-2025'!$A:$A,'[7]september-2025'!$J:$J,0,0)</f>
        <v>0</v>
      </c>
      <c r="EH44">
        <f>_xlfn.XLOOKUP(B44,'[8]october-2025'!$A:$A,'[8]october-2025'!$J:$J,0,0)</f>
        <v>0</v>
      </c>
      <c r="EI44">
        <f>_xlfn.XLOOKUP(C44,'[9]november-2025'!$A:$A,'[9]november-2025'!$J:$J,0,0)</f>
        <v>0</v>
      </c>
      <c r="EJ44">
        <f>_xlfn.XLOOKUP(B44,'[10]december-2025'!$A:$A,'[10]december-2025'!$J:$J,0,0)</f>
        <v>0</v>
      </c>
      <c r="EK44">
        <f>_xlfn.XLOOKUP(B44,'[11]january-2026'!$A:$A,'[11]january-2026'!$J:$J,0,0)</f>
        <v>0</v>
      </c>
      <c r="EL44">
        <f>_xlfn.XLOOKUP(B44,'[12]february-2026'!$A:$A,'[12]february-2026'!$J:$J,0,0)</f>
        <v>0</v>
      </c>
      <c r="EM44">
        <f t="shared" si="106"/>
        <v>0</v>
      </c>
      <c r="EN44">
        <f t="shared" si="56"/>
        <v>538460</v>
      </c>
      <c r="EO44">
        <f t="shared" si="57"/>
        <v>2400</v>
      </c>
      <c r="EP44">
        <f t="shared" si="58"/>
        <v>50000</v>
      </c>
      <c r="EQ44">
        <v>0</v>
      </c>
      <c r="ER44">
        <f t="shared" si="107"/>
        <v>486060</v>
      </c>
      <c r="ES44">
        <f t="shared" si="59"/>
        <v>30000</v>
      </c>
      <c r="ET44">
        <f t="shared" si="60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1"/>
        <v>30000</v>
      </c>
      <c r="FF44">
        <f t="shared" si="62"/>
        <v>30000</v>
      </c>
      <c r="FG44">
        <f t="shared" si="63"/>
        <v>456060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4"/>
        <v>0</v>
      </c>
      <c r="FP44">
        <f t="shared" si="65"/>
        <v>456060</v>
      </c>
      <c r="FQ44">
        <f t="shared" si="66"/>
        <v>10303</v>
      </c>
      <c r="FR44">
        <f t="shared" si="67"/>
        <v>0</v>
      </c>
      <c r="FS44">
        <f t="shared" si="68"/>
        <v>10303</v>
      </c>
      <c r="FT44">
        <f t="shared" si="69"/>
        <v>0</v>
      </c>
      <c r="FU44">
        <f t="shared" si="70"/>
        <v>0</v>
      </c>
      <c r="FV44">
        <f t="shared" si="71"/>
        <v>0</v>
      </c>
      <c r="FW44">
        <v>0</v>
      </c>
      <c r="FX44">
        <f t="shared" si="72"/>
        <v>0</v>
      </c>
      <c r="FY44" t="b">
        <f t="shared" si="73"/>
        <v>1</v>
      </c>
      <c r="FZ44">
        <f t="shared" ca="1" si="74"/>
        <v>879</v>
      </c>
      <c r="GA44">
        <f t="shared" ca="1" si="75"/>
        <v>539339</v>
      </c>
      <c r="GB44">
        <f t="shared" si="76"/>
        <v>75000</v>
      </c>
      <c r="GC44">
        <f t="shared" ca="1" si="77"/>
        <v>464339</v>
      </c>
      <c r="GD44">
        <f t="shared" ca="1" si="78"/>
        <v>0</v>
      </c>
      <c r="GE44">
        <f t="shared" ca="1" si="79"/>
        <v>0</v>
      </c>
      <c r="GF44">
        <f t="shared" ca="1" si="80"/>
        <v>0</v>
      </c>
      <c r="GG44">
        <f t="shared" ca="1" si="81"/>
        <v>0</v>
      </c>
      <c r="GH44">
        <f t="shared" ca="1" si="82"/>
        <v>0</v>
      </c>
      <c r="GI44">
        <f t="shared" ca="1" si="83"/>
        <v>0</v>
      </c>
      <c r="GJ44">
        <f t="shared" ca="1" si="84"/>
        <v>0</v>
      </c>
      <c r="GK44">
        <f t="shared" ca="1" si="85"/>
        <v>0</v>
      </c>
      <c r="GL44">
        <f t="shared" ca="1" si="86"/>
        <v>0</v>
      </c>
      <c r="GM44">
        <f t="shared" ca="1" si="87"/>
        <v>0</v>
      </c>
      <c r="GN44">
        <f t="shared" ca="1" si="88"/>
        <v>64339</v>
      </c>
      <c r="GO44">
        <f t="shared" ca="1" si="89"/>
        <v>3216.9500000000003</v>
      </c>
      <c r="GP44">
        <f t="shared" ca="1" si="90"/>
        <v>3217</v>
      </c>
      <c r="GQ44">
        <f t="shared" ca="1" si="91"/>
        <v>0</v>
      </c>
      <c r="GR44">
        <f t="shared" ca="1" si="92"/>
        <v>0</v>
      </c>
      <c r="GS44">
        <f t="shared" ca="1" si="93"/>
        <v>3217</v>
      </c>
      <c r="GT44">
        <f t="shared" ca="1" si="94"/>
        <v>0</v>
      </c>
      <c r="GU44" t="b">
        <f t="shared" ca="1" si="95"/>
        <v>0</v>
      </c>
      <c r="GV44">
        <f t="shared" ca="1" si="96"/>
        <v>0</v>
      </c>
      <c r="GW44">
        <f t="shared" ca="1" si="97"/>
        <v>3217</v>
      </c>
      <c r="GX44">
        <f t="shared" ca="1" si="98"/>
        <v>0</v>
      </c>
      <c r="GY44">
        <f t="shared" ca="1" si="99"/>
        <v>0</v>
      </c>
      <c r="GZ44">
        <f t="shared" ca="1" si="100"/>
        <v>0</v>
      </c>
    </row>
    <row r="45" spans="1:208" x14ac:dyDescent="0.3">
      <c r="A45">
        <f>_xlfn.AGGREGATE(3,5,$B$2:B45)</f>
        <v>44</v>
      </c>
      <c r="B45" t="s">
        <v>205</v>
      </c>
      <c r="C45" t="s">
        <v>206</v>
      </c>
      <c r="D45" t="s">
        <v>760</v>
      </c>
      <c r="E45" t="s">
        <v>830</v>
      </c>
      <c r="F45" t="s">
        <v>956</v>
      </c>
      <c r="G45" t="s">
        <v>897</v>
      </c>
      <c r="H45">
        <f t="shared" si="19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1"/>
        <v>150</v>
      </c>
      <c r="S45">
        <f t="shared" si="102"/>
        <v>37032</v>
      </c>
      <c r="T45">
        <f>_xlfn.XLOOKUP(B45,'[2]april-2025'!$A:$A,'[2]april-2025'!$C:$C,0,0)</f>
        <v>30700</v>
      </c>
      <c r="U45">
        <f t="shared" si="4"/>
        <v>5526</v>
      </c>
      <c r="V45">
        <f t="shared" si="5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103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6"/>
        <v>200</v>
      </c>
      <c r="AC45">
        <f t="shared" si="7"/>
        <v>38210</v>
      </c>
      <c r="AD45">
        <f>_xlfn.XLOOKUP(B45,'[3]may-2025'!$A:$A,'[3]may-2025'!$C:$C,0,0)</f>
        <v>30700</v>
      </c>
      <c r="AE45">
        <f t="shared" si="8"/>
        <v>5526</v>
      </c>
      <c r="AF45">
        <f t="shared" si="9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04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0"/>
        <v>200</v>
      </c>
      <c r="AM45">
        <f t="shared" si="11"/>
        <v>38210</v>
      </c>
      <c r="AN45">
        <f>_xlfn.XLOOKUP(B45,'[4]june-2025'!$A:$A,'[4]june-2025'!$C:$C,0,0)</f>
        <v>30700</v>
      </c>
      <c r="AO45">
        <f t="shared" si="12"/>
        <v>5526</v>
      </c>
      <c r="AP45">
        <f t="shared" si="13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05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4"/>
        <v>200</v>
      </c>
      <c r="AW45">
        <f t="shared" si="15"/>
        <v>38210</v>
      </c>
      <c r="AX45">
        <f>_xlfn.XLOOKUP(B45,'[5]july-2025'!$A:$A,'[5]july-2025'!$C:$C,0,0)</f>
        <v>31600</v>
      </c>
      <c r="AY45">
        <f t="shared" si="16"/>
        <v>5688</v>
      </c>
      <c r="AZ45">
        <v>0</v>
      </c>
      <c r="BA45">
        <f t="shared" si="17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18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19"/>
        <v>200</v>
      </c>
      <c r="BH45">
        <f t="shared" si="20"/>
        <v>39380</v>
      </c>
      <c r="BI45">
        <f>_xlfn.XLOOKUP(B45,'[6]august-2025'!$A:$A,'[6]august-2025'!$C:$C,0,0)</f>
        <v>31600</v>
      </c>
      <c r="BJ45">
        <f t="shared" si="21"/>
        <v>5688</v>
      </c>
      <c r="BK45">
        <f t="shared" si="22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3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4"/>
        <v>200</v>
      </c>
      <c r="BR45">
        <f t="shared" si="25"/>
        <v>39380</v>
      </c>
      <c r="BS45">
        <f>_xlfn.XLOOKUP(B45,'[7]september-2025'!$A:$A,'[7]september-2025'!$C:$C,0,0)</f>
        <v>31600</v>
      </c>
      <c r="BT45">
        <f t="shared" si="26"/>
        <v>5688</v>
      </c>
      <c r="BU45">
        <f t="shared" si="27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28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29"/>
        <v>200</v>
      </c>
      <c r="CB45">
        <f t="shared" si="30"/>
        <v>39380</v>
      </c>
      <c r="CC45">
        <f>_xlfn.XLOOKUP(B45,'[8]october-2025'!$A:$A,'[8]october-2025'!$C:$C,0,0)</f>
        <v>31600</v>
      </c>
      <c r="CD45">
        <f t="shared" si="31"/>
        <v>5688</v>
      </c>
      <c r="CE45">
        <f t="shared" si="32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3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4"/>
        <v>200</v>
      </c>
      <c r="CL45">
        <f t="shared" si="35"/>
        <v>39380</v>
      </c>
      <c r="CM45">
        <f>_xlfn.XLOOKUP(B45,'[9]november-2025'!$A:$A,'[9]november-2025'!$C:$C,0,0)</f>
        <v>31600</v>
      </c>
      <c r="CN45">
        <f t="shared" si="36"/>
        <v>5688</v>
      </c>
      <c r="CO45">
        <f t="shared" si="37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38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39"/>
        <v>200</v>
      </c>
      <c r="CV45">
        <f t="shared" si="40"/>
        <v>39380</v>
      </c>
      <c r="CW45">
        <f>_xlfn.XLOOKUP(B45,'[10]december-2025'!$A:$A,'[10]december-2025'!$C:$C,0,0)</f>
        <v>31600</v>
      </c>
      <c r="CX45">
        <f t="shared" si="41"/>
        <v>5688</v>
      </c>
      <c r="CY45">
        <f t="shared" si="42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3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4"/>
        <v>200</v>
      </c>
      <c r="DF45">
        <f t="shared" si="45"/>
        <v>39380</v>
      </c>
      <c r="DG45">
        <f>_xlfn.XLOOKUP(B45,'[11]january-2026'!$A:$A,'[11]january-2026'!$C:$C,0,0)</f>
        <v>31600</v>
      </c>
      <c r="DH45">
        <f t="shared" si="46"/>
        <v>5688</v>
      </c>
      <c r="DI45">
        <f t="shared" si="47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48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49"/>
        <v>200</v>
      </c>
      <c r="DP45">
        <f t="shared" si="50"/>
        <v>39380</v>
      </c>
      <c r="DQ45">
        <f>_xlfn.XLOOKUP(B45,'[12]february-2026'!$A:$A,'[12]february-2026'!$C:$C,0,0)</f>
        <v>31600</v>
      </c>
      <c r="DR45">
        <f t="shared" si="51"/>
        <v>5688</v>
      </c>
      <c r="DS45">
        <f t="shared" si="52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3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4"/>
        <v>200</v>
      </c>
      <c r="DZ45">
        <f t="shared" si="55"/>
        <v>39380</v>
      </c>
      <c r="EA45">
        <f>_xlfn.XLOOKUP(B45,'[1]march-2025'!$A:$A,'[1]march-2025'!$J:$J,0,0)</f>
        <v>0</v>
      </c>
      <c r="EB45">
        <f>_xlfn.XLOOKUP(B45,'[2]april-2025'!$A:$A,'[2]april-2025'!$J:$J,0,0)</f>
        <v>0</v>
      </c>
      <c r="EC45">
        <f>_xlfn.XLOOKUP(B45,'[3]may-2025'!$A:$A,'[3]may-2025'!$J:$J,0,0)</f>
        <v>0</v>
      </c>
      <c r="ED45">
        <f>_xlfn.XLOOKUP(B45,'[4]june-2025'!$A:$A,'[4]june-2025'!$J:$J,0,0)</f>
        <v>0</v>
      </c>
      <c r="EE45">
        <f>_xlfn.XLOOKUP(B45,'[5]july-2025'!$A:$A,'[5]july-2025'!$J:$J,0,0)</f>
        <v>0</v>
      </c>
      <c r="EF45">
        <f>_xlfn.XLOOKUP(B45,'[6]august-2025'!$A:$A,'[6]august-2025'!$J:$J,0,0)</f>
        <v>0</v>
      </c>
      <c r="EG45">
        <f>_xlfn.XLOOKUP(B45,'[7]september-2025'!$A:$A,'[7]september-2025'!$J:$J,0,0)</f>
        <v>0</v>
      </c>
      <c r="EH45">
        <f>_xlfn.XLOOKUP(B45,'[8]october-2025'!$A:$A,'[8]october-2025'!$J:$J,0,0)</f>
        <v>0</v>
      </c>
      <c r="EI45">
        <f>_xlfn.XLOOKUP(C45,'[9]november-2025'!$A:$A,'[9]november-2025'!$J:$J,0,0)</f>
        <v>0</v>
      </c>
      <c r="EJ45">
        <f>_xlfn.XLOOKUP(B45,'[10]december-2025'!$A:$A,'[10]december-2025'!$J:$J,0,0)</f>
        <v>0</v>
      </c>
      <c r="EK45">
        <f>_xlfn.XLOOKUP(B45,'[11]january-2026'!$A:$A,'[11]january-2026'!$J:$J,0,0)</f>
        <v>0</v>
      </c>
      <c r="EL45">
        <f>_xlfn.XLOOKUP(B45,'[12]february-2026'!$A:$A,'[12]february-2026'!$J:$J,0,0)</f>
        <v>0</v>
      </c>
      <c r="EM45">
        <f t="shared" si="106"/>
        <v>0</v>
      </c>
      <c r="EN45">
        <f t="shared" si="56"/>
        <v>499852</v>
      </c>
      <c r="EO45">
        <f t="shared" si="57"/>
        <v>2350</v>
      </c>
      <c r="EP45">
        <f t="shared" si="58"/>
        <v>50000</v>
      </c>
      <c r="EQ45">
        <v>0</v>
      </c>
      <c r="ER45">
        <f t="shared" si="107"/>
        <v>447502</v>
      </c>
      <c r="ES45">
        <f t="shared" si="59"/>
        <v>24000</v>
      </c>
      <c r="ET45">
        <f t="shared" si="60"/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1"/>
        <v>24000</v>
      </c>
      <c r="FF45">
        <f t="shared" si="62"/>
        <v>24000</v>
      </c>
      <c r="FG45">
        <f t="shared" si="63"/>
        <v>423502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4"/>
        <v>0</v>
      </c>
      <c r="FP45">
        <f t="shared" si="65"/>
        <v>423502</v>
      </c>
      <c r="FQ45">
        <f t="shared" si="66"/>
        <v>8675</v>
      </c>
      <c r="FR45">
        <f t="shared" si="67"/>
        <v>0</v>
      </c>
      <c r="FS45">
        <f t="shared" si="68"/>
        <v>8675</v>
      </c>
      <c r="FT45">
        <f t="shared" si="69"/>
        <v>0</v>
      </c>
      <c r="FU45">
        <f t="shared" si="70"/>
        <v>0</v>
      </c>
      <c r="FV45">
        <f t="shared" si="71"/>
        <v>0</v>
      </c>
      <c r="FW45">
        <v>0</v>
      </c>
      <c r="FX45">
        <f t="shared" si="72"/>
        <v>0</v>
      </c>
      <c r="FY45" t="b">
        <f t="shared" si="73"/>
        <v>0</v>
      </c>
      <c r="FZ45">
        <f t="shared" ca="1" si="74"/>
        <v>1985</v>
      </c>
      <c r="GA45">
        <f t="shared" ca="1" si="75"/>
        <v>501837</v>
      </c>
      <c r="GB45">
        <f t="shared" si="76"/>
        <v>75000</v>
      </c>
      <c r="GC45">
        <f t="shared" ca="1" si="77"/>
        <v>426837</v>
      </c>
      <c r="GD45">
        <f t="shared" ca="1" si="78"/>
        <v>0</v>
      </c>
      <c r="GE45">
        <f t="shared" ca="1" si="79"/>
        <v>0</v>
      </c>
      <c r="GF45">
        <f t="shared" ca="1" si="80"/>
        <v>0</v>
      </c>
      <c r="GG45">
        <f t="shared" ca="1" si="81"/>
        <v>0</v>
      </c>
      <c r="GH45">
        <f t="shared" ca="1" si="82"/>
        <v>0</v>
      </c>
      <c r="GI45">
        <f t="shared" ca="1" si="83"/>
        <v>0</v>
      </c>
      <c r="GJ45">
        <f t="shared" ca="1" si="84"/>
        <v>0</v>
      </c>
      <c r="GK45">
        <f t="shared" ca="1" si="85"/>
        <v>0</v>
      </c>
      <c r="GL45">
        <f t="shared" ca="1" si="86"/>
        <v>0</v>
      </c>
      <c r="GM45">
        <f t="shared" ca="1" si="87"/>
        <v>0</v>
      </c>
      <c r="GN45">
        <f t="shared" ca="1" si="88"/>
        <v>26837</v>
      </c>
      <c r="GO45">
        <f t="shared" ca="1" si="89"/>
        <v>1341.8500000000001</v>
      </c>
      <c r="GP45">
        <f t="shared" ca="1" si="90"/>
        <v>1342</v>
      </c>
      <c r="GQ45">
        <f t="shared" ca="1" si="91"/>
        <v>0</v>
      </c>
      <c r="GR45">
        <f t="shared" ca="1" si="92"/>
        <v>0</v>
      </c>
      <c r="GS45">
        <f t="shared" ca="1" si="93"/>
        <v>1342</v>
      </c>
      <c r="GT45">
        <f t="shared" ca="1" si="94"/>
        <v>0</v>
      </c>
      <c r="GU45" t="b">
        <f t="shared" ca="1" si="95"/>
        <v>0</v>
      </c>
      <c r="GV45">
        <f t="shared" ca="1" si="96"/>
        <v>0</v>
      </c>
      <c r="GW45">
        <f t="shared" ca="1" si="97"/>
        <v>1342</v>
      </c>
      <c r="GX45">
        <f t="shared" ca="1" si="98"/>
        <v>0</v>
      </c>
      <c r="GY45">
        <f t="shared" ca="1" si="99"/>
        <v>0</v>
      </c>
      <c r="GZ45">
        <f t="shared" ca="1" si="100"/>
        <v>0</v>
      </c>
    </row>
    <row r="46" spans="1:208" x14ac:dyDescent="0.3">
      <c r="A46">
        <f>_xlfn.AGGREGATE(3,5,$B$2:B46)</f>
        <v>45</v>
      </c>
      <c r="B46" t="s">
        <v>207</v>
      </c>
      <c r="C46" t="s">
        <v>208</v>
      </c>
      <c r="D46" t="s">
        <v>761</v>
      </c>
      <c r="E46" t="s">
        <v>830</v>
      </c>
      <c r="F46" t="s">
        <v>956</v>
      </c>
      <c r="G46" t="s">
        <v>898</v>
      </c>
      <c r="H46">
        <f t="shared" si="19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1"/>
        <v>200</v>
      </c>
      <c r="S46">
        <f t="shared" si="102"/>
        <v>54562</v>
      </c>
      <c r="T46">
        <f>_xlfn.XLOOKUP(B46,'[2]april-2025'!$A:$A,'[2]april-2025'!$C:$C,0,0)</f>
        <v>48700</v>
      </c>
      <c r="U46">
        <f t="shared" si="4"/>
        <v>8766</v>
      </c>
      <c r="V46">
        <f t="shared" si="5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103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6"/>
        <v>200</v>
      </c>
      <c r="AC46">
        <f t="shared" si="7"/>
        <v>56510</v>
      </c>
      <c r="AD46">
        <f>_xlfn.XLOOKUP(B46,'[3]may-2025'!$A:$A,'[3]may-2025'!$C:$C,0,0)</f>
        <v>48700</v>
      </c>
      <c r="AE46">
        <f t="shared" si="8"/>
        <v>8766</v>
      </c>
      <c r="AF46">
        <f t="shared" si="9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04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0"/>
        <v>200</v>
      </c>
      <c r="AM46">
        <f t="shared" si="11"/>
        <v>56510</v>
      </c>
      <c r="AN46">
        <f>_xlfn.XLOOKUP(B46,'[4]june-2025'!$A:$A,'[4]june-2025'!$C:$C,0,0)</f>
        <v>48700</v>
      </c>
      <c r="AO46">
        <f t="shared" si="12"/>
        <v>8766</v>
      </c>
      <c r="AP46">
        <f t="shared" si="13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05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4"/>
        <v>200</v>
      </c>
      <c r="AW46">
        <f t="shared" si="15"/>
        <v>56510</v>
      </c>
      <c r="AX46">
        <f>_xlfn.XLOOKUP(B46,'[5]july-2025'!$A:$A,'[5]july-2025'!$C:$C,0,0)</f>
        <v>51700</v>
      </c>
      <c r="AY46">
        <f t="shared" si="16"/>
        <v>9306</v>
      </c>
      <c r="AZ46">
        <v>0</v>
      </c>
      <c r="BA46">
        <f t="shared" si="17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18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19"/>
        <v>200</v>
      </c>
      <c r="BH46">
        <f t="shared" si="20"/>
        <v>60410</v>
      </c>
      <c r="BI46">
        <f>_xlfn.XLOOKUP(B46,'[6]august-2025'!$A:$A,'[6]august-2025'!$C:$C,0,0)</f>
        <v>51700</v>
      </c>
      <c r="BJ46">
        <f t="shared" si="21"/>
        <v>9306</v>
      </c>
      <c r="BK46">
        <f t="shared" si="22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3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4"/>
        <v>200</v>
      </c>
      <c r="BR46">
        <f t="shared" si="25"/>
        <v>60410</v>
      </c>
      <c r="BS46">
        <f>_xlfn.XLOOKUP(B46,'[7]september-2025'!$A:$A,'[7]september-2025'!$C:$C,0,0)</f>
        <v>51700</v>
      </c>
      <c r="BT46">
        <f t="shared" si="26"/>
        <v>9306</v>
      </c>
      <c r="BU46">
        <f t="shared" si="27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28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29"/>
        <v>200</v>
      </c>
      <c r="CB46">
        <f t="shared" si="30"/>
        <v>60410</v>
      </c>
      <c r="CC46">
        <f>_xlfn.XLOOKUP(B46,'[8]october-2025'!$A:$A,'[8]october-2025'!$C:$C,0,0)</f>
        <v>51700</v>
      </c>
      <c r="CD46">
        <f t="shared" si="31"/>
        <v>9306</v>
      </c>
      <c r="CE46">
        <f t="shared" si="32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3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4"/>
        <v>200</v>
      </c>
      <c r="CL46">
        <f t="shared" si="35"/>
        <v>60410</v>
      </c>
      <c r="CM46">
        <f>_xlfn.XLOOKUP(B46,'[9]november-2025'!$A:$A,'[9]november-2025'!$C:$C,0,0)</f>
        <v>51700</v>
      </c>
      <c r="CN46">
        <f t="shared" si="36"/>
        <v>9306</v>
      </c>
      <c r="CO46">
        <f t="shared" si="37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38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39"/>
        <v>200</v>
      </c>
      <c r="CV46">
        <f t="shared" si="40"/>
        <v>60410</v>
      </c>
      <c r="CW46">
        <f>_xlfn.XLOOKUP(B46,'[10]december-2025'!$A:$A,'[10]december-2025'!$C:$C,0,0)</f>
        <v>51700</v>
      </c>
      <c r="CX46">
        <f t="shared" si="41"/>
        <v>9306</v>
      </c>
      <c r="CY46">
        <f t="shared" si="42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3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4"/>
        <v>200</v>
      </c>
      <c r="DF46">
        <f t="shared" si="45"/>
        <v>60410</v>
      </c>
      <c r="DG46">
        <f>_xlfn.XLOOKUP(B46,'[11]january-2026'!$A:$A,'[11]january-2026'!$C:$C,0,0)</f>
        <v>51700</v>
      </c>
      <c r="DH46">
        <f t="shared" si="46"/>
        <v>9306</v>
      </c>
      <c r="DI46">
        <f t="shared" si="47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48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49"/>
        <v>200</v>
      </c>
      <c r="DP46">
        <f t="shared" si="50"/>
        <v>60410</v>
      </c>
      <c r="DQ46">
        <f>_xlfn.XLOOKUP(B46,'[12]february-2026'!$A:$A,'[12]february-2026'!$C:$C,0,0)</f>
        <v>51700</v>
      </c>
      <c r="DR46">
        <f t="shared" si="51"/>
        <v>9306</v>
      </c>
      <c r="DS46">
        <f t="shared" si="52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3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4"/>
        <v>200</v>
      </c>
      <c r="DZ46">
        <f t="shared" si="55"/>
        <v>60410</v>
      </c>
      <c r="EA46">
        <f>_xlfn.XLOOKUP(B46,'[1]march-2025'!$A:$A,'[1]march-2025'!$J:$J,0,0)</f>
        <v>0</v>
      </c>
      <c r="EB46">
        <f>_xlfn.XLOOKUP(B46,'[2]april-2025'!$A:$A,'[2]april-2025'!$J:$J,0,0)</f>
        <v>0</v>
      </c>
      <c r="EC46">
        <f>_xlfn.XLOOKUP(B46,'[3]may-2025'!$A:$A,'[3]may-2025'!$J:$J,0,0)</f>
        <v>0</v>
      </c>
      <c r="ED46">
        <f>_xlfn.XLOOKUP(B46,'[4]june-2025'!$A:$A,'[4]june-2025'!$J:$J,0,0)</f>
        <v>0</v>
      </c>
      <c r="EE46">
        <f>_xlfn.XLOOKUP(B46,'[5]july-2025'!$A:$A,'[5]july-2025'!$J:$J,0,0)</f>
        <v>0</v>
      </c>
      <c r="EF46">
        <f>_xlfn.XLOOKUP(B46,'[6]august-2025'!$A:$A,'[6]august-2025'!$J:$J,0,0)</f>
        <v>0</v>
      </c>
      <c r="EG46">
        <f>_xlfn.XLOOKUP(B46,'[7]september-2025'!$A:$A,'[7]september-2025'!$J:$J,0,0)</f>
        <v>0</v>
      </c>
      <c r="EH46">
        <f>_xlfn.XLOOKUP(B46,'[8]october-2025'!$A:$A,'[8]october-2025'!$J:$J,0,0)</f>
        <v>0</v>
      </c>
      <c r="EI46">
        <f>_xlfn.XLOOKUP(C46,'[9]november-2025'!$A:$A,'[9]november-2025'!$J:$J,0,0)</f>
        <v>0</v>
      </c>
      <c r="EJ46">
        <f>_xlfn.XLOOKUP(B46,'[10]december-2025'!$A:$A,'[10]december-2025'!$J:$J,0,0)</f>
        <v>0</v>
      </c>
      <c r="EK46">
        <f>_xlfn.XLOOKUP(B46,'[11]january-2026'!$A:$A,'[11]january-2026'!$J:$J,0,0)</f>
        <v>0</v>
      </c>
      <c r="EL46">
        <f>_xlfn.XLOOKUP(B46,'[12]february-2026'!$A:$A,'[12]february-2026'!$J:$J,0,0)</f>
        <v>0</v>
      </c>
      <c r="EM46">
        <f t="shared" si="106"/>
        <v>0</v>
      </c>
      <c r="EN46">
        <f t="shared" si="56"/>
        <v>800572</v>
      </c>
      <c r="EO46">
        <f t="shared" si="57"/>
        <v>2400</v>
      </c>
      <c r="EP46">
        <f t="shared" si="58"/>
        <v>50000</v>
      </c>
      <c r="EQ46">
        <v>0</v>
      </c>
      <c r="ER46">
        <f t="shared" si="107"/>
        <v>748172</v>
      </c>
      <c r="ES46">
        <f t="shared" si="59"/>
        <v>84000</v>
      </c>
      <c r="ET46">
        <f t="shared" si="60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1"/>
        <v>84000</v>
      </c>
      <c r="FF46">
        <f t="shared" si="62"/>
        <v>84000</v>
      </c>
      <c r="FG46">
        <f t="shared" si="63"/>
        <v>664172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4"/>
        <v>0</v>
      </c>
      <c r="FP46">
        <f t="shared" si="65"/>
        <v>664172</v>
      </c>
      <c r="FQ46">
        <f t="shared" si="66"/>
        <v>12500</v>
      </c>
      <c r="FR46">
        <f t="shared" si="67"/>
        <v>32834</v>
      </c>
      <c r="FS46">
        <f t="shared" si="68"/>
        <v>45334</v>
      </c>
      <c r="FT46">
        <f t="shared" si="69"/>
        <v>45334</v>
      </c>
      <c r="FU46">
        <f t="shared" si="70"/>
        <v>1813.3600000000001</v>
      </c>
      <c r="FV46">
        <f t="shared" si="71"/>
        <v>47147</v>
      </c>
      <c r="FW46">
        <v>0</v>
      </c>
      <c r="FX46">
        <f t="shared" si="72"/>
        <v>47147</v>
      </c>
      <c r="FY46" t="b">
        <f t="shared" si="73"/>
        <v>1</v>
      </c>
      <c r="FZ46">
        <f t="shared" ca="1" si="74"/>
        <v>650</v>
      </c>
      <c r="GA46">
        <f t="shared" ca="1" si="75"/>
        <v>801222</v>
      </c>
      <c r="GB46">
        <f t="shared" si="76"/>
        <v>75000</v>
      </c>
      <c r="GC46">
        <f t="shared" ca="1" si="77"/>
        <v>726222</v>
      </c>
      <c r="GD46">
        <f t="shared" ca="1" si="78"/>
        <v>0</v>
      </c>
      <c r="GE46">
        <f t="shared" ca="1" si="79"/>
        <v>0</v>
      </c>
      <c r="GF46">
        <f t="shared" ca="1" si="80"/>
        <v>0</v>
      </c>
      <c r="GG46">
        <f t="shared" ca="1" si="81"/>
        <v>0</v>
      </c>
      <c r="GH46">
        <f t="shared" ca="1" si="82"/>
        <v>0</v>
      </c>
      <c r="GI46">
        <f t="shared" ca="1" si="83"/>
        <v>0</v>
      </c>
      <c r="GJ46">
        <f t="shared" ca="1" si="84"/>
        <v>0</v>
      </c>
      <c r="GK46">
        <f t="shared" ca="1" si="85"/>
        <v>0</v>
      </c>
      <c r="GL46">
        <f t="shared" ca="1" si="86"/>
        <v>0</v>
      </c>
      <c r="GM46">
        <f t="shared" ca="1" si="87"/>
        <v>0</v>
      </c>
      <c r="GN46">
        <f t="shared" ca="1" si="88"/>
        <v>326222</v>
      </c>
      <c r="GO46">
        <f t="shared" ca="1" si="89"/>
        <v>16311.1</v>
      </c>
      <c r="GP46">
        <f t="shared" ca="1" si="90"/>
        <v>16311</v>
      </c>
      <c r="GQ46">
        <f t="shared" ca="1" si="91"/>
        <v>0</v>
      </c>
      <c r="GR46">
        <f t="shared" ca="1" si="92"/>
        <v>0</v>
      </c>
      <c r="GS46">
        <f t="shared" ca="1" si="93"/>
        <v>16311</v>
      </c>
      <c r="GT46">
        <f t="shared" ca="1" si="94"/>
        <v>0</v>
      </c>
      <c r="GU46" t="b">
        <f t="shared" ca="1" si="95"/>
        <v>0</v>
      </c>
      <c r="GV46">
        <f t="shared" ca="1" si="96"/>
        <v>0</v>
      </c>
      <c r="GW46">
        <f t="shared" ca="1" si="97"/>
        <v>16311</v>
      </c>
      <c r="GX46">
        <f t="shared" ca="1" si="98"/>
        <v>0</v>
      </c>
      <c r="GY46">
        <f t="shared" ca="1" si="99"/>
        <v>0</v>
      </c>
      <c r="GZ46">
        <f t="shared" ca="1" si="100"/>
        <v>0</v>
      </c>
    </row>
    <row r="47" spans="1:208" x14ac:dyDescent="0.3">
      <c r="A47">
        <f>_xlfn.AGGREGATE(3,5,$B$2:B47)</f>
        <v>46</v>
      </c>
      <c r="B47" t="s">
        <v>209</v>
      </c>
      <c r="C47" t="s">
        <v>210</v>
      </c>
      <c r="D47" t="s">
        <v>761</v>
      </c>
      <c r="E47" t="s">
        <v>830</v>
      </c>
      <c r="F47" t="s">
        <v>956</v>
      </c>
      <c r="G47" t="s">
        <v>877</v>
      </c>
      <c r="H47">
        <f t="shared" si="19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1"/>
        <v>200</v>
      </c>
      <c r="S47">
        <f t="shared" si="102"/>
        <v>38770</v>
      </c>
      <c r="T47">
        <f>_xlfn.XLOOKUP(B47,'[2]april-2025'!$A:$A,'[2]april-2025'!$C:$C,0,0)</f>
        <v>34500</v>
      </c>
      <c r="U47">
        <f t="shared" si="4"/>
        <v>6210</v>
      </c>
      <c r="V47">
        <f t="shared" si="5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103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6"/>
        <v>200</v>
      </c>
      <c r="AC47">
        <f t="shared" si="7"/>
        <v>40150</v>
      </c>
      <c r="AD47">
        <f>_xlfn.XLOOKUP(B47,'[3]may-2025'!$A:$A,'[3]may-2025'!$C:$C,0,0)</f>
        <v>34500</v>
      </c>
      <c r="AE47">
        <f t="shared" si="8"/>
        <v>6210</v>
      </c>
      <c r="AF47">
        <f t="shared" si="9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04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0"/>
        <v>200</v>
      </c>
      <c r="AM47">
        <f t="shared" si="11"/>
        <v>40150</v>
      </c>
      <c r="AN47">
        <f>_xlfn.XLOOKUP(B47,'[4]june-2025'!$A:$A,'[4]june-2025'!$C:$C,0,0)</f>
        <v>34500</v>
      </c>
      <c r="AO47">
        <f t="shared" si="12"/>
        <v>6210</v>
      </c>
      <c r="AP47">
        <f t="shared" si="13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05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4"/>
        <v>200</v>
      </c>
      <c r="AW47">
        <f t="shared" si="15"/>
        <v>40150</v>
      </c>
      <c r="AX47">
        <f>_xlfn.XLOOKUP(B47,'[5]july-2025'!$A:$A,'[5]july-2025'!$C:$C,0,0)</f>
        <v>35500</v>
      </c>
      <c r="AY47">
        <f t="shared" si="16"/>
        <v>6390</v>
      </c>
      <c r="AZ47">
        <v>0</v>
      </c>
      <c r="BA47">
        <f t="shared" si="17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18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19"/>
        <v>200</v>
      </c>
      <c r="BH47">
        <f t="shared" si="20"/>
        <v>41450</v>
      </c>
      <c r="BI47">
        <f>_xlfn.XLOOKUP(B47,'[6]august-2025'!$A:$A,'[6]august-2025'!$C:$C,0,0)</f>
        <v>35500</v>
      </c>
      <c r="BJ47">
        <f t="shared" si="21"/>
        <v>6390</v>
      </c>
      <c r="BK47">
        <f t="shared" si="22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3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4"/>
        <v>200</v>
      </c>
      <c r="BR47">
        <f t="shared" si="25"/>
        <v>41450</v>
      </c>
      <c r="BS47">
        <f>_xlfn.XLOOKUP(B47,'[7]september-2025'!$A:$A,'[7]september-2025'!$C:$C,0,0)</f>
        <v>35500</v>
      </c>
      <c r="BT47">
        <f t="shared" si="26"/>
        <v>6390</v>
      </c>
      <c r="BU47">
        <f t="shared" si="27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28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29"/>
        <v>200</v>
      </c>
      <c r="CB47">
        <f t="shared" si="30"/>
        <v>41450</v>
      </c>
      <c r="CC47">
        <f>_xlfn.XLOOKUP(B47,'[8]october-2025'!$A:$A,'[8]october-2025'!$C:$C,0,0)</f>
        <v>35500</v>
      </c>
      <c r="CD47">
        <f t="shared" si="31"/>
        <v>6390</v>
      </c>
      <c r="CE47">
        <f t="shared" si="32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3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4"/>
        <v>200</v>
      </c>
      <c r="CL47">
        <f t="shared" si="35"/>
        <v>41450</v>
      </c>
      <c r="CM47">
        <f>_xlfn.XLOOKUP(B47,'[9]november-2025'!$A:$A,'[9]november-2025'!$C:$C,0,0)</f>
        <v>35500</v>
      </c>
      <c r="CN47">
        <f t="shared" si="36"/>
        <v>6390</v>
      </c>
      <c r="CO47">
        <f t="shared" si="37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38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39"/>
        <v>200</v>
      </c>
      <c r="CV47">
        <f t="shared" si="40"/>
        <v>41450</v>
      </c>
      <c r="CW47">
        <f>_xlfn.XLOOKUP(B47,'[10]december-2025'!$A:$A,'[10]december-2025'!$C:$C,0,0)</f>
        <v>35500</v>
      </c>
      <c r="CX47">
        <f t="shared" si="41"/>
        <v>6390</v>
      </c>
      <c r="CY47">
        <f t="shared" si="42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3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4"/>
        <v>200</v>
      </c>
      <c r="DF47">
        <f t="shared" si="45"/>
        <v>41450</v>
      </c>
      <c r="DG47">
        <f>_xlfn.XLOOKUP(B47,'[11]january-2026'!$A:$A,'[11]january-2026'!$C:$C,0,0)</f>
        <v>35500</v>
      </c>
      <c r="DH47">
        <f t="shared" si="46"/>
        <v>6390</v>
      </c>
      <c r="DI47">
        <f t="shared" si="47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48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49"/>
        <v>200</v>
      </c>
      <c r="DP47">
        <f t="shared" si="50"/>
        <v>41450</v>
      </c>
      <c r="DQ47">
        <f>_xlfn.XLOOKUP(B47,'[12]february-2026'!$A:$A,'[12]february-2026'!$C:$C,0,0)</f>
        <v>35500</v>
      </c>
      <c r="DR47">
        <f t="shared" si="51"/>
        <v>6390</v>
      </c>
      <c r="DS47">
        <f t="shared" si="52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3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4"/>
        <v>200</v>
      </c>
      <c r="DZ47">
        <f t="shared" si="55"/>
        <v>41450</v>
      </c>
      <c r="EA47">
        <f>_xlfn.XLOOKUP(B47,'[1]march-2025'!$A:$A,'[1]march-2025'!$J:$J,0,0)</f>
        <v>0</v>
      </c>
      <c r="EB47">
        <f>_xlfn.XLOOKUP(B47,'[2]april-2025'!$A:$A,'[2]april-2025'!$J:$J,0,0)</f>
        <v>0</v>
      </c>
      <c r="EC47">
        <f>_xlfn.XLOOKUP(B47,'[3]may-2025'!$A:$A,'[3]may-2025'!$J:$J,0,0)</f>
        <v>0</v>
      </c>
      <c r="ED47">
        <f>_xlfn.XLOOKUP(B47,'[4]june-2025'!$A:$A,'[4]june-2025'!$J:$J,0,0)</f>
        <v>0</v>
      </c>
      <c r="EE47">
        <f>_xlfn.XLOOKUP(B47,'[5]july-2025'!$A:$A,'[5]july-2025'!$J:$J,0,0)</f>
        <v>0</v>
      </c>
      <c r="EF47">
        <f>_xlfn.XLOOKUP(B47,'[6]august-2025'!$A:$A,'[6]august-2025'!$J:$J,0,0)</f>
        <v>0</v>
      </c>
      <c r="EG47">
        <f>_xlfn.XLOOKUP(B47,'[7]september-2025'!$A:$A,'[7]september-2025'!$J:$J,0,0)</f>
        <v>0</v>
      </c>
      <c r="EH47">
        <f>_xlfn.XLOOKUP(B47,'[8]october-2025'!$A:$A,'[8]october-2025'!$J:$J,0,0)</f>
        <v>0</v>
      </c>
      <c r="EI47">
        <f>_xlfn.XLOOKUP(C47,'[9]november-2025'!$A:$A,'[9]november-2025'!$J:$J,0,0)</f>
        <v>0</v>
      </c>
      <c r="EJ47">
        <f>_xlfn.XLOOKUP(B47,'[10]december-2025'!$A:$A,'[10]december-2025'!$J:$J,0,0)</f>
        <v>0</v>
      </c>
      <c r="EK47">
        <f>_xlfn.XLOOKUP(B47,'[11]january-2026'!$A:$A,'[11]january-2026'!$J:$J,0,0)</f>
        <v>0</v>
      </c>
      <c r="EL47">
        <f>_xlfn.XLOOKUP(B47,'[12]february-2026'!$A:$A,'[12]february-2026'!$J:$J,0,0)</f>
        <v>0</v>
      </c>
      <c r="EM47">
        <f t="shared" si="106"/>
        <v>0</v>
      </c>
      <c r="EN47">
        <f t="shared" si="56"/>
        <v>560020</v>
      </c>
      <c r="EO47">
        <f t="shared" si="57"/>
        <v>2400</v>
      </c>
      <c r="EP47">
        <f t="shared" si="58"/>
        <v>50000</v>
      </c>
      <c r="EQ47">
        <v>0</v>
      </c>
      <c r="ER47">
        <f t="shared" si="107"/>
        <v>507620</v>
      </c>
      <c r="ES47">
        <f t="shared" si="59"/>
        <v>60000</v>
      </c>
      <c r="ET47">
        <f t="shared" si="60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1"/>
        <v>60000</v>
      </c>
      <c r="FF47">
        <f t="shared" si="62"/>
        <v>60000</v>
      </c>
      <c r="FG47">
        <f t="shared" si="63"/>
        <v>447620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4"/>
        <v>0</v>
      </c>
      <c r="FP47">
        <f t="shared" si="65"/>
        <v>447620</v>
      </c>
      <c r="FQ47">
        <f t="shared" si="66"/>
        <v>9881</v>
      </c>
      <c r="FR47">
        <f t="shared" si="67"/>
        <v>0</v>
      </c>
      <c r="FS47">
        <f t="shared" si="68"/>
        <v>9881</v>
      </c>
      <c r="FT47">
        <f t="shared" si="69"/>
        <v>0</v>
      </c>
      <c r="FU47">
        <f t="shared" si="70"/>
        <v>0</v>
      </c>
      <c r="FV47">
        <f t="shared" si="71"/>
        <v>0</v>
      </c>
      <c r="FW47">
        <v>0</v>
      </c>
      <c r="FX47">
        <f t="shared" si="72"/>
        <v>0</v>
      </c>
      <c r="FY47" t="b">
        <f t="shared" si="73"/>
        <v>1</v>
      </c>
      <c r="FZ47">
        <f t="shared" ca="1" si="74"/>
        <v>638</v>
      </c>
      <c r="GA47">
        <f t="shared" ca="1" si="75"/>
        <v>560658</v>
      </c>
      <c r="GB47">
        <f t="shared" si="76"/>
        <v>75000</v>
      </c>
      <c r="GC47">
        <f t="shared" ca="1" si="77"/>
        <v>485658</v>
      </c>
      <c r="GD47">
        <f t="shared" ca="1" si="78"/>
        <v>0</v>
      </c>
      <c r="GE47">
        <f t="shared" ca="1" si="79"/>
        <v>0</v>
      </c>
      <c r="GF47">
        <f t="shared" ca="1" si="80"/>
        <v>0</v>
      </c>
      <c r="GG47">
        <f t="shared" ca="1" si="81"/>
        <v>0</v>
      </c>
      <c r="GH47">
        <f t="shared" ca="1" si="82"/>
        <v>0</v>
      </c>
      <c r="GI47">
        <f t="shared" ca="1" si="83"/>
        <v>0</v>
      </c>
      <c r="GJ47">
        <f t="shared" ca="1" si="84"/>
        <v>0</v>
      </c>
      <c r="GK47">
        <f t="shared" ca="1" si="85"/>
        <v>0</v>
      </c>
      <c r="GL47">
        <f t="shared" ca="1" si="86"/>
        <v>0</v>
      </c>
      <c r="GM47">
        <f t="shared" ca="1" si="87"/>
        <v>0</v>
      </c>
      <c r="GN47">
        <f t="shared" ca="1" si="88"/>
        <v>85658</v>
      </c>
      <c r="GO47">
        <f t="shared" ca="1" si="89"/>
        <v>4282.9000000000005</v>
      </c>
      <c r="GP47">
        <f t="shared" ca="1" si="90"/>
        <v>4283</v>
      </c>
      <c r="GQ47">
        <f t="shared" ca="1" si="91"/>
        <v>0</v>
      </c>
      <c r="GR47">
        <f t="shared" ca="1" si="92"/>
        <v>0</v>
      </c>
      <c r="GS47">
        <f t="shared" ca="1" si="93"/>
        <v>4283</v>
      </c>
      <c r="GT47">
        <f t="shared" ca="1" si="94"/>
        <v>0</v>
      </c>
      <c r="GU47" t="b">
        <f t="shared" ca="1" si="95"/>
        <v>0</v>
      </c>
      <c r="GV47">
        <f t="shared" ca="1" si="96"/>
        <v>0</v>
      </c>
      <c r="GW47">
        <f t="shared" ca="1" si="97"/>
        <v>4283</v>
      </c>
      <c r="GX47">
        <f t="shared" ca="1" si="98"/>
        <v>0</v>
      </c>
      <c r="GY47">
        <f t="shared" ca="1" si="99"/>
        <v>0</v>
      </c>
      <c r="GZ47">
        <f t="shared" ca="1" si="100"/>
        <v>0</v>
      </c>
    </row>
    <row r="48" spans="1:208" x14ac:dyDescent="0.3">
      <c r="A48">
        <f>_xlfn.AGGREGATE(3,5,$B$2:B48)</f>
        <v>47</v>
      </c>
      <c r="B48" t="s">
        <v>211</v>
      </c>
      <c r="C48" t="s">
        <v>212</v>
      </c>
      <c r="D48" t="s">
        <v>761</v>
      </c>
      <c r="E48" t="s">
        <v>830</v>
      </c>
      <c r="F48" t="s">
        <v>956</v>
      </c>
      <c r="G48" t="s">
        <v>877</v>
      </c>
      <c r="H48">
        <f t="shared" si="19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1"/>
        <v>200</v>
      </c>
      <c r="S48">
        <f t="shared" si="102"/>
        <v>35770</v>
      </c>
      <c r="T48">
        <f>_xlfn.XLOOKUP(B48,'[2]april-2025'!$A:$A,'[2]april-2025'!$C:$C,0,0)</f>
        <v>34500</v>
      </c>
      <c r="U48">
        <f t="shared" si="4"/>
        <v>6210</v>
      </c>
      <c r="V48">
        <f t="shared" si="5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103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6"/>
        <v>200</v>
      </c>
      <c r="AC48">
        <f t="shared" si="7"/>
        <v>37150</v>
      </c>
      <c r="AD48">
        <f>_xlfn.XLOOKUP(B48,'[3]may-2025'!$A:$A,'[3]may-2025'!$C:$C,0,0)</f>
        <v>34500</v>
      </c>
      <c r="AE48">
        <f t="shared" si="8"/>
        <v>6210</v>
      </c>
      <c r="AF48">
        <f t="shared" si="9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04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0"/>
        <v>200</v>
      </c>
      <c r="AM48">
        <f t="shared" si="11"/>
        <v>37150</v>
      </c>
      <c r="AN48">
        <f>_xlfn.XLOOKUP(B48,'[4]june-2025'!$A:$A,'[4]june-2025'!$C:$C,0,0)</f>
        <v>34500</v>
      </c>
      <c r="AO48">
        <f t="shared" si="12"/>
        <v>6210</v>
      </c>
      <c r="AP48">
        <f t="shared" si="13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05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4"/>
        <v>200</v>
      </c>
      <c r="AW48">
        <f t="shared" si="15"/>
        <v>37150</v>
      </c>
      <c r="AX48">
        <f>_xlfn.XLOOKUP(B48,'[5]july-2025'!$A:$A,'[5]july-2025'!$C:$C,0,0)</f>
        <v>35500</v>
      </c>
      <c r="AY48">
        <f t="shared" si="16"/>
        <v>6390</v>
      </c>
      <c r="AZ48">
        <v>0</v>
      </c>
      <c r="BA48">
        <f t="shared" si="17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18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19"/>
        <v>200</v>
      </c>
      <c r="BH48">
        <f t="shared" si="20"/>
        <v>38450</v>
      </c>
      <c r="BI48">
        <f>_xlfn.XLOOKUP(B48,'[6]august-2025'!$A:$A,'[6]august-2025'!$C:$C,0,0)</f>
        <v>35500</v>
      </c>
      <c r="BJ48">
        <f t="shared" si="21"/>
        <v>6390</v>
      </c>
      <c r="BK48">
        <f t="shared" si="22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3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4"/>
        <v>200</v>
      </c>
      <c r="BR48">
        <f t="shared" si="25"/>
        <v>38450</v>
      </c>
      <c r="BS48">
        <f>_xlfn.XLOOKUP(B48,'[7]september-2025'!$A:$A,'[7]september-2025'!$C:$C,0,0)</f>
        <v>35500</v>
      </c>
      <c r="BT48">
        <f t="shared" si="26"/>
        <v>6390</v>
      </c>
      <c r="BU48">
        <f t="shared" si="27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28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29"/>
        <v>200</v>
      </c>
      <c r="CB48">
        <f t="shared" si="30"/>
        <v>38450</v>
      </c>
      <c r="CC48">
        <f>_xlfn.XLOOKUP(B48,'[8]october-2025'!$A:$A,'[8]october-2025'!$C:$C,0,0)</f>
        <v>35500</v>
      </c>
      <c r="CD48">
        <f t="shared" si="31"/>
        <v>6390</v>
      </c>
      <c r="CE48">
        <f t="shared" si="32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3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4"/>
        <v>200</v>
      </c>
      <c r="CL48">
        <f t="shared" si="35"/>
        <v>38450</v>
      </c>
      <c r="CM48">
        <f>_xlfn.XLOOKUP(B48,'[9]november-2025'!$A:$A,'[9]november-2025'!$C:$C,0,0)</f>
        <v>35500</v>
      </c>
      <c r="CN48">
        <f t="shared" si="36"/>
        <v>6390</v>
      </c>
      <c r="CO48">
        <f t="shared" si="37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38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39"/>
        <v>200</v>
      </c>
      <c r="CV48">
        <f t="shared" si="40"/>
        <v>38450</v>
      </c>
      <c r="CW48">
        <f>_xlfn.XLOOKUP(B48,'[10]december-2025'!$A:$A,'[10]december-2025'!$C:$C,0,0)</f>
        <v>35500</v>
      </c>
      <c r="CX48">
        <f t="shared" si="41"/>
        <v>6390</v>
      </c>
      <c r="CY48">
        <f t="shared" si="42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3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4"/>
        <v>200</v>
      </c>
      <c r="DF48">
        <f t="shared" si="45"/>
        <v>38450</v>
      </c>
      <c r="DG48">
        <f>_xlfn.XLOOKUP(B48,'[11]january-2026'!$A:$A,'[11]january-2026'!$C:$C,0,0)</f>
        <v>35500</v>
      </c>
      <c r="DH48">
        <f t="shared" si="46"/>
        <v>6390</v>
      </c>
      <c r="DI48">
        <f t="shared" si="47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48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49"/>
        <v>200</v>
      </c>
      <c r="DP48">
        <f t="shared" si="50"/>
        <v>38450</v>
      </c>
      <c r="DQ48">
        <f>_xlfn.XLOOKUP(B48,'[12]february-2026'!$A:$A,'[12]february-2026'!$C:$C,0,0)</f>
        <v>35500</v>
      </c>
      <c r="DR48">
        <f t="shared" si="51"/>
        <v>6390</v>
      </c>
      <c r="DS48">
        <f t="shared" si="52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3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4"/>
        <v>200</v>
      </c>
      <c r="DZ48">
        <f t="shared" si="55"/>
        <v>38450</v>
      </c>
      <c r="EA48">
        <f>_xlfn.XLOOKUP(B48,'[1]march-2025'!$A:$A,'[1]march-2025'!$J:$J,0,0)</f>
        <v>0</v>
      </c>
      <c r="EB48">
        <f>_xlfn.XLOOKUP(B48,'[2]april-2025'!$A:$A,'[2]april-2025'!$J:$J,0,0)</f>
        <v>0</v>
      </c>
      <c r="EC48">
        <f>_xlfn.XLOOKUP(B48,'[3]may-2025'!$A:$A,'[3]may-2025'!$J:$J,0,0)</f>
        <v>0</v>
      </c>
      <c r="ED48">
        <f>_xlfn.XLOOKUP(B48,'[4]june-2025'!$A:$A,'[4]june-2025'!$J:$J,0,0)</f>
        <v>0</v>
      </c>
      <c r="EE48">
        <f>_xlfn.XLOOKUP(B48,'[5]july-2025'!$A:$A,'[5]july-2025'!$J:$J,0,0)</f>
        <v>0</v>
      </c>
      <c r="EF48">
        <f>_xlfn.XLOOKUP(B48,'[6]august-2025'!$A:$A,'[6]august-2025'!$J:$J,0,0)</f>
        <v>0</v>
      </c>
      <c r="EG48">
        <f>_xlfn.XLOOKUP(B48,'[7]september-2025'!$A:$A,'[7]september-2025'!$J:$J,0,0)</f>
        <v>0</v>
      </c>
      <c r="EH48">
        <f>_xlfn.XLOOKUP(B48,'[8]october-2025'!$A:$A,'[8]october-2025'!$J:$J,0,0)</f>
        <v>0</v>
      </c>
      <c r="EI48">
        <f>_xlfn.XLOOKUP(C48,'[9]november-2025'!$A:$A,'[9]november-2025'!$J:$J,0,0)</f>
        <v>0</v>
      </c>
      <c r="EJ48">
        <f>_xlfn.XLOOKUP(B48,'[10]december-2025'!$A:$A,'[10]december-2025'!$J:$J,0,0)</f>
        <v>0</v>
      </c>
      <c r="EK48">
        <f>_xlfn.XLOOKUP(B48,'[11]january-2026'!$A:$A,'[11]january-2026'!$J:$J,0,0)</f>
        <v>0</v>
      </c>
      <c r="EL48">
        <f>_xlfn.XLOOKUP(B48,'[12]february-2026'!$A:$A,'[12]february-2026'!$J:$J,0,0)</f>
        <v>0</v>
      </c>
      <c r="EM48">
        <f t="shared" si="106"/>
        <v>0</v>
      </c>
      <c r="EN48">
        <f t="shared" si="56"/>
        <v>560020</v>
      </c>
      <c r="EO48">
        <f t="shared" si="57"/>
        <v>2400</v>
      </c>
      <c r="EP48">
        <f t="shared" si="58"/>
        <v>50000</v>
      </c>
      <c r="EQ48">
        <v>0</v>
      </c>
      <c r="ER48">
        <f t="shared" si="107"/>
        <v>507620</v>
      </c>
      <c r="ES48">
        <f t="shared" si="59"/>
        <v>96000</v>
      </c>
      <c r="ET48">
        <f t="shared" si="60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1"/>
        <v>96000</v>
      </c>
      <c r="FF48">
        <f t="shared" si="62"/>
        <v>96000</v>
      </c>
      <c r="FG48">
        <f t="shared" si="63"/>
        <v>411620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4"/>
        <v>0</v>
      </c>
      <c r="FP48">
        <f t="shared" si="65"/>
        <v>411620</v>
      </c>
      <c r="FQ48">
        <f t="shared" si="66"/>
        <v>8081</v>
      </c>
      <c r="FR48">
        <f t="shared" si="67"/>
        <v>0</v>
      </c>
      <c r="FS48">
        <f t="shared" si="68"/>
        <v>8081</v>
      </c>
      <c r="FT48">
        <f t="shared" si="69"/>
        <v>0</v>
      </c>
      <c r="FU48">
        <f t="shared" si="70"/>
        <v>0</v>
      </c>
      <c r="FV48">
        <f t="shared" si="71"/>
        <v>0</v>
      </c>
      <c r="FW48">
        <v>0</v>
      </c>
      <c r="FX48">
        <f t="shared" si="72"/>
        <v>0</v>
      </c>
      <c r="FY48" t="b">
        <f t="shared" si="73"/>
        <v>1</v>
      </c>
      <c r="FZ48">
        <f t="shared" ca="1" si="74"/>
        <v>800</v>
      </c>
      <c r="GA48">
        <f t="shared" ca="1" si="75"/>
        <v>560820</v>
      </c>
      <c r="GB48">
        <f t="shared" si="76"/>
        <v>75000</v>
      </c>
      <c r="GC48">
        <f t="shared" ca="1" si="77"/>
        <v>485820</v>
      </c>
      <c r="GD48">
        <f t="shared" ca="1" si="78"/>
        <v>0</v>
      </c>
      <c r="GE48">
        <f t="shared" ca="1" si="79"/>
        <v>0</v>
      </c>
      <c r="GF48">
        <f t="shared" ca="1" si="80"/>
        <v>0</v>
      </c>
      <c r="GG48">
        <f t="shared" ca="1" si="81"/>
        <v>0</v>
      </c>
      <c r="GH48">
        <f t="shared" ca="1" si="82"/>
        <v>0</v>
      </c>
      <c r="GI48">
        <f t="shared" ca="1" si="83"/>
        <v>0</v>
      </c>
      <c r="GJ48">
        <f t="shared" ca="1" si="84"/>
        <v>0</v>
      </c>
      <c r="GK48">
        <f t="shared" ca="1" si="85"/>
        <v>0</v>
      </c>
      <c r="GL48">
        <f t="shared" ca="1" si="86"/>
        <v>0</v>
      </c>
      <c r="GM48">
        <f t="shared" ca="1" si="87"/>
        <v>0</v>
      </c>
      <c r="GN48">
        <f t="shared" ca="1" si="88"/>
        <v>85820</v>
      </c>
      <c r="GO48">
        <f t="shared" ca="1" si="89"/>
        <v>4291</v>
      </c>
      <c r="GP48">
        <f t="shared" ca="1" si="90"/>
        <v>4291</v>
      </c>
      <c r="GQ48">
        <f t="shared" ca="1" si="91"/>
        <v>0</v>
      </c>
      <c r="GR48">
        <f t="shared" ca="1" si="92"/>
        <v>0</v>
      </c>
      <c r="GS48">
        <f t="shared" ca="1" si="93"/>
        <v>4291</v>
      </c>
      <c r="GT48">
        <f t="shared" ca="1" si="94"/>
        <v>0</v>
      </c>
      <c r="GU48" t="b">
        <f t="shared" ca="1" si="95"/>
        <v>0</v>
      </c>
      <c r="GV48">
        <f t="shared" ca="1" si="96"/>
        <v>0</v>
      </c>
      <c r="GW48">
        <f t="shared" ca="1" si="97"/>
        <v>4291</v>
      </c>
      <c r="GX48">
        <f t="shared" ca="1" si="98"/>
        <v>0</v>
      </c>
      <c r="GY48">
        <f t="shared" ca="1" si="99"/>
        <v>0</v>
      </c>
      <c r="GZ48">
        <f t="shared" ca="1" si="100"/>
        <v>0</v>
      </c>
    </row>
    <row r="49" spans="1:208" x14ac:dyDescent="0.3">
      <c r="A49">
        <f>_xlfn.AGGREGATE(3,5,$B$2:B49)</f>
        <v>48</v>
      </c>
      <c r="B49" t="s">
        <v>213</v>
      </c>
      <c r="C49" t="s">
        <v>214</v>
      </c>
      <c r="D49" t="s">
        <v>761</v>
      </c>
      <c r="E49" t="s">
        <v>830</v>
      </c>
      <c r="F49" t="s">
        <v>956</v>
      </c>
      <c r="G49" t="s">
        <v>899</v>
      </c>
      <c r="H49">
        <f t="shared" si="19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1"/>
        <v>200</v>
      </c>
      <c r="S49">
        <f t="shared" si="102"/>
        <v>38770</v>
      </c>
      <c r="T49">
        <f>_xlfn.XLOOKUP(B49,'[2]april-2025'!$A:$A,'[2]april-2025'!$C:$C,0,0)</f>
        <v>34500</v>
      </c>
      <c r="U49">
        <f t="shared" si="4"/>
        <v>6210</v>
      </c>
      <c r="V49">
        <f t="shared" si="5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103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6"/>
        <v>200</v>
      </c>
      <c r="AC49">
        <f t="shared" si="7"/>
        <v>40150</v>
      </c>
      <c r="AD49">
        <f>_xlfn.XLOOKUP(B49,'[3]may-2025'!$A:$A,'[3]may-2025'!$C:$C,0,0)</f>
        <v>34500</v>
      </c>
      <c r="AE49">
        <f t="shared" si="8"/>
        <v>6210</v>
      </c>
      <c r="AF49">
        <f t="shared" si="9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04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0"/>
        <v>200</v>
      </c>
      <c r="AM49">
        <f t="shared" si="11"/>
        <v>40150</v>
      </c>
      <c r="AN49">
        <f>_xlfn.XLOOKUP(B49,'[4]june-2025'!$A:$A,'[4]june-2025'!$C:$C,0,0)</f>
        <v>34500</v>
      </c>
      <c r="AO49">
        <f t="shared" si="12"/>
        <v>6210</v>
      </c>
      <c r="AP49">
        <f t="shared" si="13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05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4"/>
        <v>200</v>
      </c>
      <c r="AW49">
        <f t="shared" si="15"/>
        <v>40150</v>
      </c>
      <c r="AX49">
        <f>_xlfn.XLOOKUP(B49,'[5]july-2025'!$A:$A,'[5]july-2025'!$C:$C,0,0)</f>
        <v>35500</v>
      </c>
      <c r="AY49">
        <f t="shared" si="16"/>
        <v>6390</v>
      </c>
      <c r="AZ49">
        <v>0</v>
      </c>
      <c r="BA49">
        <f t="shared" si="17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18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19"/>
        <v>200</v>
      </c>
      <c r="BH49">
        <f t="shared" si="20"/>
        <v>41450</v>
      </c>
      <c r="BI49">
        <f>_xlfn.XLOOKUP(B49,'[6]august-2025'!$A:$A,'[6]august-2025'!$C:$C,0,0)</f>
        <v>35500</v>
      </c>
      <c r="BJ49">
        <f t="shared" si="21"/>
        <v>6390</v>
      </c>
      <c r="BK49">
        <f t="shared" si="22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3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4"/>
        <v>200</v>
      </c>
      <c r="BR49">
        <f t="shared" si="25"/>
        <v>41450</v>
      </c>
      <c r="BS49">
        <f>_xlfn.XLOOKUP(B49,'[7]september-2025'!$A:$A,'[7]september-2025'!$C:$C,0,0)</f>
        <v>35500</v>
      </c>
      <c r="BT49">
        <f t="shared" si="26"/>
        <v>6390</v>
      </c>
      <c r="BU49">
        <f t="shared" si="27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28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29"/>
        <v>200</v>
      </c>
      <c r="CB49">
        <f t="shared" si="30"/>
        <v>41450</v>
      </c>
      <c r="CC49">
        <f>_xlfn.XLOOKUP(B49,'[8]october-2025'!$A:$A,'[8]october-2025'!$C:$C,0,0)</f>
        <v>35500</v>
      </c>
      <c r="CD49">
        <f t="shared" si="31"/>
        <v>6390</v>
      </c>
      <c r="CE49">
        <f t="shared" si="32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3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4"/>
        <v>200</v>
      </c>
      <c r="CL49">
        <f t="shared" si="35"/>
        <v>41450</v>
      </c>
      <c r="CM49">
        <f>_xlfn.XLOOKUP(B49,'[9]november-2025'!$A:$A,'[9]november-2025'!$C:$C,0,0)</f>
        <v>35500</v>
      </c>
      <c r="CN49">
        <f t="shared" si="36"/>
        <v>6390</v>
      </c>
      <c r="CO49">
        <f t="shared" si="37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38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39"/>
        <v>200</v>
      </c>
      <c r="CV49">
        <f t="shared" si="40"/>
        <v>41450</v>
      </c>
      <c r="CW49">
        <f>_xlfn.XLOOKUP(B49,'[10]december-2025'!$A:$A,'[10]december-2025'!$C:$C,0,0)</f>
        <v>35500</v>
      </c>
      <c r="CX49">
        <f t="shared" si="41"/>
        <v>6390</v>
      </c>
      <c r="CY49">
        <f t="shared" si="42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3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4"/>
        <v>200</v>
      </c>
      <c r="DF49">
        <f t="shared" si="45"/>
        <v>41450</v>
      </c>
      <c r="DG49">
        <f>_xlfn.XLOOKUP(B49,'[11]january-2026'!$A:$A,'[11]january-2026'!$C:$C,0,0)</f>
        <v>35500</v>
      </c>
      <c r="DH49">
        <f t="shared" si="46"/>
        <v>6390</v>
      </c>
      <c r="DI49">
        <f t="shared" si="47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48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49"/>
        <v>200</v>
      </c>
      <c r="DP49">
        <f t="shared" si="50"/>
        <v>41450</v>
      </c>
      <c r="DQ49">
        <f>_xlfn.XLOOKUP(B49,'[12]february-2026'!$A:$A,'[12]february-2026'!$C:$C,0,0)</f>
        <v>35500</v>
      </c>
      <c r="DR49">
        <f t="shared" si="51"/>
        <v>6390</v>
      </c>
      <c r="DS49">
        <f t="shared" si="52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3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4"/>
        <v>200</v>
      </c>
      <c r="DZ49">
        <f t="shared" si="55"/>
        <v>41450</v>
      </c>
      <c r="EA49">
        <f>_xlfn.XLOOKUP(B49,'[1]march-2025'!$A:$A,'[1]march-2025'!$J:$J,0,0)</f>
        <v>0</v>
      </c>
      <c r="EB49">
        <f>_xlfn.XLOOKUP(B49,'[2]april-2025'!$A:$A,'[2]april-2025'!$J:$J,0,0)</f>
        <v>0</v>
      </c>
      <c r="EC49">
        <f>_xlfn.XLOOKUP(B49,'[3]may-2025'!$A:$A,'[3]may-2025'!$J:$J,0,0)</f>
        <v>0</v>
      </c>
      <c r="ED49">
        <f>_xlfn.XLOOKUP(B49,'[4]june-2025'!$A:$A,'[4]june-2025'!$J:$J,0,0)</f>
        <v>0</v>
      </c>
      <c r="EE49">
        <f>_xlfn.XLOOKUP(B49,'[5]july-2025'!$A:$A,'[5]july-2025'!$J:$J,0,0)</f>
        <v>0</v>
      </c>
      <c r="EF49">
        <f>_xlfn.XLOOKUP(B49,'[6]august-2025'!$A:$A,'[6]august-2025'!$J:$J,0,0)</f>
        <v>0</v>
      </c>
      <c r="EG49">
        <f>_xlfn.XLOOKUP(B49,'[7]september-2025'!$A:$A,'[7]september-2025'!$J:$J,0,0)</f>
        <v>0</v>
      </c>
      <c r="EH49">
        <f>_xlfn.XLOOKUP(B49,'[8]october-2025'!$A:$A,'[8]october-2025'!$J:$J,0,0)</f>
        <v>0</v>
      </c>
      <c r="EI49">
        <f>_xlfn.XLOOKUP(C49,'[9]november-2025'!$A:$A,'[9]november-2025'!$J:$J,0,0)</f>
        <v>0</v>
      </c>
      <c r="EJ49">
        <f>_xlfn.XLOOKUP(B49,'[10]december-2025'!$A:$A,'[10]december-2025'!$J:$J,0,0)</f>
        <v>0</v>
      </c>
      <c r="EK49">
        <f>_xlfn.XLOOKUP(B49,'[11]january-2026'!$A:$A,'[11]january-2026'!$J:$J,0,0)</f>
        <v>0</v>
      </c>
      <c r="EL49">
        <f>_xlfn.XLOOKUP(B49,'[12]february-2026'!$A:$A,'[12]february-2026'!$J:$J,0,0)</f>
        <v>0</v>
      </c>
      <c r="EM49">
        <f t="shared" si="106"/>
        <v>0</v>
      </c>
      <c r="EN49">
        <f t="shared" si="56"/>
        <v>560020</v>
      </c>
      <c r="EO49">
        <f t="shared" si="57"/>
        <v>2400</v>
      </c>
      <c r="EP49">
        <f t="shared" si="58"/>
        <v>50000</v>
      </c>
      <c r="EQ49">
        <v>0</v>
      </c>
      <c r="ER49">
        <f t="shared" si="107"/>
        <v>507620</v>
      </c>
      <c r="ES49">
        <f t="shared" si="59"/>
        <v>60000</v>
      </c>
      <c r="ET49">
        <f t="shared" si="60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1"/>
        <v>60000</v>
      </c>
      <c r="FF49">
        <f t="shared" si="62"/>
        <v>60000</v>
      </c>
      <c r="FG49">
        <f t="shared" si="63"/>
        <v>447620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4"/>
        <v>0</v>
      </c>
      <c r="FP49">
        <f t="shared" si="65"/>
        <v>447620</v>
      </c>
      <c r="FQ49">
        <f t="shared" si="66"/>
        <v>9881</v>
      </c>
      <c r="FR49">
        <f t="shared" si="67"/>
        <v>0</v>
      </c>
      <c r="FS49">
        <f t="shared" si="68"/>
        <v>9881</v>
      </c>
      <c r="FT49">
        <f t="shared" si="69"/>
        <v>0</v>
      </c>
      <c r="FU49">
        <f t="shared" si="70"/>
        <v>0</v>
      </c>
      <c r="FV49">
        <f t="shared" si="71"/>
        <v>0</v>
      </c>
      <c r="FW49">
        <v>0</v>
      </c>
      <c r="FX49">
        <f t="shared" si="72"/>
        <v>0</v>
      </c>
      <c r="FY49" t="b">
        <f t="shared" si="73"/>
        <v>1</v>
      </c>
      <c r="FZ49">
        <f t="shared" ca="1" si="74"/>
        <v>710</v>
      </c>
      <c r="GA49">
        <f t="shared" ca="1" si="75"/>
        <v>560730</v>
      </c>
      <c r="GB49">
        <f t="shared" si="76"/>
        <v>75000</v>
      </c>
      <c r="GC49">
        <f t="shared" ca="1" si="77"/>
        <v>485730</v>
      </c>
      <c r="GD49">
        <f t="shared" ca="1" si="78"/>
        <v>0</v>
      </c>
      <c r="GE49">
        <f t="shared" ca="1" si="79"/>
        <v>0</v>
      </c>
      <c r="GF49">
        <f t="shared" ca="1" si="80"/>
        <v>0</v>
      </c>
      <c r="GG49">
        <f t="shared" ca="1" si="81"/>
        <v>0</v>
      </c>
      <c r="GH49">
        <f t="shared" ca="1" si="82"/>
        <v>0</v>
      </c>
      <c r="GI49">
        <f t="shared" ca="1" si="83"/>
        <v>0</v>
      </c>
      <c r="GJ49">
        <f t="shared" ca="1" si="84"/>
        <v>0</v>
      </c>
      <c r="GK49">
        <f t="shared" ca="1" si="85"/>
        <v>0</v>
      </c>
      <c r="GL49">
        <f t="shared" ca="1" si="86"/>
        <v>0</v>
      </c>
      <c r="GM49">
        <f t="shared" ca="1" si="87"/>
        <v>0</v>
      </c>
      <c r="GN49">
        <f t="shared" ca="1" si="88"/>
        <v>85730</v>
      </c>
      <c r="GO49">
        <f t="shared" ca="1" si="89"/>
        <v>4286.5</v>
      </c>
      <c r="GP49">
        <f t="shared" ca="1" si="90"/>
        <v>4287</v>
      </c>
      <c r="GQ49">
        <f t="shared" ca="1" si="91"/>
        <v>0</v>
      </c>
      <c r="GR49">
        <f t="shared" ca="1" si="92"/>
        <v>0</v>
      </c>
      <c r="GS49">
        <f t="shared" ca="1" si="93"/>
        <v>4287</v>
      </c>
      <c r="GT49">
        <f t="shared" ca="1" si="94"/>
        <v>0</v>
      </c>
      <c r="GU49" t="b">
        <f t="shared" ca="1" si="95"/>
        <v>0</v>
      </c>
      <c r="GV49">
        <f t="shared" ca="1" si="96"/>
        <v>0</v>
      </c>
      <c r="GW49">
        <f t="shared" ca="1" si="97"/>
        <v>4287</v>
      </c>
      <c r="GX49">
        <f t="shared" ca="1" si="98"/>
        <v>0</v>
      </c>
      <c r="GY49">
        <f t="shared" ca="1" si="99"/>
        <v>0</v>
      </c>
      <c r="GZ49">
        <f t="shared" ca="1" si="100"/>
        <v>0</v>
      </c>
    </row>
    <row r="50" spans="1:208" x14ac:dyDescent="0.3">
      <c r="A50">
        <f>_xlfn.AGGREGATE(3,5,$B$2:B50)</f>
        <v>49</v>
      </c>
      <c r="B50" t="s">
        <v>215</v>
      </c>
      <c r="C50" t="s">
        <v>216</v>
      </c>
      <c r="D50" t="s">
        <v>762</v>
      </c>
      <c r="E50" t="s">
        <v>830</v>
      </c>
      <c r="F50" t="s">
        <v>956</v>
      </c>
      <c r="G50" t="s">
        <v>884</v>
      </c>
      <c r="H50">
        <f t="shared" si="193"/>
        <v>6800</v>
      </c>
      <c r="I50">
        <f>_xlfn.XLOOKUP(B50,'[1]march-2025'!$A:$A,'[1]march-2025'!$J:$J,0,0)</f>
        <v>7405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1"/>
        <v>200</v>
      </c>
      <c r="S50">
        <f t="shared" si="102"/>
        <v>56062</v>
      </c>
      <c r="T50">
        <f>_xlfn.XLOOKUP(B50,'[2]april-2025'!$A:$A,'[2]april-2025'!$C:$C,0,0)</f>
        <v>48700</v>
      </c>
      <c r="U50">
        <f t="shared" si="4"/>
        <v>8766</v>
      </c>
      <c r="V50">
        <f t="shared" si="5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103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6"/>
        <v>200</v>
      </c>
      <c r="AC50">
        <f t="shared" si="7"/>
        <v>58010</v>
      </c>
      <c r="AD50">
        <f>_xlfn.XLOOKUP(B50,'[3]may-2025'!$A:$A,'[3]may-2025'!$C:$C,0,0)</f>
        <v>48700</v>
      </c>
      <c r="AE50">
        <f t="shared" si="8"/>
        <v>8766</v>
      </c>
      <c r="AF50">
        <f t="shared" si="9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04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0"/>
        <v>200</v>
      </c>
      <c r="AM50">
        <f t="shared" si="11"/>
        <v>58010</v>
      </c>
      <c r="AN50">
        <f>_xlfn.XLOOKUP(B50,'[4]june-2025'!$A:$A,'[4]june-2025'!$C:$C,0,0)</f>
        <v>48700</v>
      </c>
      <c r="AO50">
        <f t="shared" si="12"/>
        <v>8766</v>
      </c>
      <c r="AP50">
        <f t="shared" si="13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05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4"/>
        <v>200</v>
      </c>
      <c r="AW50">
        <f t="shared" si="15"/>
        <v>58010</v>
      </c>
      <c r="AX50">
        <f>_xlfn.XLOOKUP(B50,'[5]july-2025'!$A:$A,'[5]july-2025'!$C:$C,0,0)</f>
        <v>50200</v>
      </c>
      <c r="AY50">
        <f t="shared" si="16"/>
        <v>9036</v>
      </c>
      <c r="AZ50">
        <v>0</v>
      </c>
      <c r="BA50">
        <f t="shared" si="17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18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19"/>
        <v>200</v>
      </c>
      <c r="BH50">
        <f t="shared" si="20"/>
        <v>59960</v>
      </c>
      <c r="BI50">
        <f>_xlfn.XLOOKUP(B50,'[6]august-2025'!$A:$A,'[6]august-2025'!$C:$C,0,0)</f>
        <v>50200</v>
      </c>
      <c r="BJ50">
        <f t="shared" si="21"/>
        <v>9036</v>
      </c>
      <c r="BK50">
        <f t="shared" si="22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3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4"/>
        <v>200</v>
      </c>
      <c r="BR50">
        <f t="shared" si="25"/>
        <v>59960</v>
      </c>
      <c r="BS50">
        <f>_xlfn.XLOOKUP(B50,'[7]september-2025'!$A:$A,'[7]september-2025'!$C:$C,0,0)</f>
        <v>50200</v>
      </c>
      <c r="BT50">
        <f t="shared" si="26"/>
        <v>9036</v>
      </c>
      <c r="BU50">
        <f t="shared" si="27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28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29"/>
        <v>200</v>
      </c>
      <c r="CB50">
        <f t="shared" si="30"/>
        <v>59960</v>
      </c>
      <c r="CC50">
        <f>_xlfn.XLOOKUP(B50,'[8]october-2025'!$A:$A,'[8]october-2025'!$C:$C,0,0)</f>
        <v>50200</v>
      </c>
      <c r="CD50">
        <f t="shared" si="31"/>
        <v>9036</v>
      </c>
      <c r="CE50">
        <f t="shared" si="32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3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4"/>
        <v>200</v>
      </c>
      <c r="CL50">
        <f t="shared" si="35"/>
        <v>59960</v>
      </c>
      <c r="CM50">
        <f>_xlfn.XLOOKUP(B50,'[9]november-2025'!$A:$A,'[9]november-2025'!$C:$C,0,0)</f>
        <v>50200</v>
      </c>
      <c r="CN50">
        <f t="shared" si="36"/>
        <v>9036</v>
      </c>
      <c r="CO50">
        <f t="shared" si="37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38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39"/>
        <v>200</v>
      </c>
      <c r="CV50">
        <f t="shared" si="40"/>
        <v>59960</v>
      </c>
      <c r="CW50">
        <f>_xlfn.XLOOKUP(B50,'[10]december-2025'!$A:$A,'[10]december-2025'!$C:$C,0,0)</f>
        <v>50200</v>
      </c>
      <c r="CX50">
        <f t="shared" si="41"/>
        <v>9036</v>
      </c>
      <c r="CY50">
        <f t="shared" si="42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3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4"/>
        <v>200</v>
      </c>
      <c r="DF50">
        <f t="shared" si="45"/>
        <v>59960</v>
      </c>
      <c r="DG50">
        <f>_xlfn.XLOOKUP(B50,'[11]january-2026'!$A:$A,'[11]january-2026'!$C:$C,0,0)</f>
        <v>50200</v>
      </c>
      <c r="DH50">
        <f t="shared" si="46"/>
        <v>9036</v>
      </c>
      <c r="DI50">
        <f t="shared" si="47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48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49"/>
        <v>200</v>
      </c>
      <c r="DP50">
        <f t="shared" si="50"/>
        <v>59960</v>
      </c>
      <c r="DQ50">
        <f>_xlfn.XLOOKUP(B50,'[12]february-2026'!$A:$A,'[12]february-2026'!$C:$C,0,0)</f>
        <v>50200</v>
      </c>
      <c r="DR50">
        <f t="shared" si="51"/>
        <v>9036</v>
      </c>
      <c r="DS50">
        <f t="shared" si="52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3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4"/>
        <v>200</v>
      </c>
      <c r="DZ50">
        <f t="shared" si="55"/>
        <v>59960</v>
      </c>
      <c r="EA50">
        <f>_xlfn.XLOOKUP(B50,'[1]march-2025'!$A:$A,'[1]march-2025'!$J:$J,0,0)</f>
        <v>7405</v>
      </c>
      <c r="EB50">
        <f>_xlfn.XLOOKUP(B50,'[2]april-2025'!$A:$A,'[2]april-2025'!$J:$J,0,0)</f>
        <v>0</v>
      </c>
      <c r="EC50">
        <f>_xlfn.XLOOKUP(B50,'[3]may-2025'!$A:$A,'[3]may-2025'!$J:$J,0,0)</f>
        <v>0</v>
      </c>
      <c r="ED50">
        <f>_xlfn.XLOOKUP(B50,'[4]june-2025'!$A:$A,'[4]june-2025'!$J:$J,0,0)</f>
        <v>0</v>
      </c>
      <c r="EE50">
        <f>_xlfn.XLOOKUP(B50,'[5]july-2025'!$A:$A,'[5]july-2025'!$J:$J,0,0)</f>
        <v>0</v>
      </c>
      <c r="EF50">
        <f>_xlfn.XLOOKUP(B50,'[6]august-2025'!$A:$A,'[6]august-2025'!$J:$J,0,0)</f>
        <v>0</v>
      </c>
      <c r="EG50">
        <f>_xlfn.XLOOKUP(B50,'[7]september-2025'!$A:$A,'[7]september-2025'!$J:$J,0,0)</f>
        <v>0</v>
      </c>
      <c r="EH50">
        <f>_xlfn.XLOOKUP(B50,'[8]october-2025'!$A:$A,'[8]october-2025'!$J:$J,0,0)</f>
        <v>0</v>
      </c>
      <c r="EI50">
        <f>_xlfn.XLOOKUP(C50,'[9]november-2025'!$A:$A,'[9]november-2025'!$J:$J,0,0)</f>
        <v>0</v>
      </c>
      <c r="EJ50">
        <f>_xlfn.XLOOKUP(B50,'[10]december-2025'!$A:$A,'[10]december-2025'!$J:$J,0,0)</f>
        <v>0</v>
      </c>
      <c r="EK50">
        <f>_xlfn.XLOOKUP(B50,'[11]january-2026'!$A:$A,'[11]january-2026'!$J:$J,0,0)</f>
        <v>0</v>
      </c>
      <c r="EL50">
        <f>_xlfn.XLOOKUP(B50,'[12]february-2026'!$A:$A,'[12]february-2026'!$J:$J,0,0)</f>
        <v>0</v>
      </c>
      <c r="EM50">
        <f t="shared" si="106"/>
        <v>7405</v>
      </c>
      <c r="EN50">
        <f t="shared" si="56"/>
        <v>798377</v>
      </c>
      <c r="EO50">
        <f t="shared" si="57"/>
        <v>2400</v>
      </c>
      <c r="EP50">
        <f t="shared" si="58"/>
        <v>50000</v>
      </c>
      <c r="EQ50">
        <v>0</v>
      </c>
      <c r="ER50">
        <f t="shared" si="107"/>
        <v>753382</v>
      </c>
      <c r="ES50">
        <f t="shared" si="59"/>
        <v>72000</v>
      </c>
      <c r="ET50">
        <f t="shared" si="60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1"/>
        <v>72000</v>
      </c>
      <c r="FF50">
        <f t="shared" si="62"/>
        <v>72000</v>
      </c>
      <c r="FG50">
        <f t="shared" si="63"/>
        <v>681382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4"/>
        <v>0</v>
      </c>
      <c r="FP50">
        <f t="shared" si="65"/>
        <v>681382</v>
      </c>
      <c r="FQ50">
        <f t="shared" si="66"/>
        <v>12500</v>
      </c>
      <c r="FR50">
        <f t="shared" si="67"/>
        <v>36276</v>
      </c>
      <c r="FS50">
        <f t="shared" si="68"/>
        <v>48776</v>
      </c>
      <c r="FT50">
        <f t="shared" si="69"/>
        <v>48776</v>
      </c>
      <c r="FU50">
        <f t="shared" si="70"/>
        <v>1951.04</v>
      </c>
      <c r="FV50">
        <f t="shared" si="71"/>
        <v>50727</v>
      </c>
      <c r="FW50">
        <v>0</v>
      </c>
      <c r="FX50">
        <f t="shared" si="72"/>
        <v>50727</v>
      </c>
      <c r="FY50" t="b">
        <f t="shared" si="73"/>
        <v>1</v>
      </c>
      <c r="FZ50">
        <f t="shared" ca="1" si="74"/>
        <v>746</v>
      </c>
      <c r="GA50">
        <f t="shared" ca="1" si="75"/>
        <v>799123</v>
      </c>
      <c r="GB50">
        <f t="shared" si="76"/>
        <v>75000</v>
      </c>
      <c r="GC50">
        <f t="shared" ca="1" si="77"/>
        <v>724123</v>
      </c>
      <c r="GD50">
        <f t="shared" ca="1" si="78"/>
        <v>0</v>
      </c>
      <c r="GE50">
        <f t="shared" ca="1" si="79"/>
        <v>0</v>
      </c>
      <c r="GF50">
        <f t="shared" ca="1" si="80"/>
        <v>0</v>
      </c>
      <c r="GG50">
        <f t="shared" ca="1" si="81"/>
        <v>0</v>
      </c>
      <c r="GH50">
        <f t="shared" ca="1" si="82"/>
        <v>0</v>
      </c>
      <c r="GI50">
        <f t="shared" ca="1" si="83"/>
        <v>0</v>
      </c>
      <c r="GJ50">
        <f t="shared" ca="1" si="84"/>
        <v>0</v>
      </c>
      <c r="GK50">
        <f t="shared" ca="1" si="85"/>
        <v>0</v>
      </c>
      <c r="GL50">
        <f t="shared" ca="1" si="86"/>
        <v>0</v>
      </c>
      <c r="GM50">
        <f t="shared" ca="1" si="87"/>
        <v>0</v>
      </c>
      <c r="GN50">
        <f t="shared" ca="1" si="88"/>
        <v>324123</v>
      </c>
      <c r="GO50">
        <f t="shared" ca="1" si="89"/>
        <v>16206.150000000001</v>
      </c>
      <c r="GP50">
        <f t="shared" ca="1" si="90"/>
        <v>16206</v>
      </c>
      <c r="GQ50">
        <f t="shared" ca="1" si="91"/>
        <v>0</v>
      </c>
      <c r="GR50">
        <f t="shared" ca="1" si="92"/>
        <v>0</v>
      </c>
      <c r="GS50">
        <f t="shared" ca="1" si="93"/>
        <v>16206</v>
      </c>
      <c r="GT50">
        <f t="shared" ca="1" si="94"/>
        <v>0</v>
      </c>
      <c r="GU50" t="b">
        <f t="shared" ca="1" si="95"/>
        <v>0</v>
      </c>
      <c r="GV50">
        <f t="shared" ca="1" si="96"/>
        <v>0</v>
      </c>
      <c r="GW50">
        <f t="shared" ca="1" si="97"/>
        <v>16206</v>
      </c>
      <c r="GX50">
        <f t="shared" ca="1" si="98"/>
        <v>0</v>
      </c>
      <c r="GY50">
        <f t="shared" ca="1" si="99"/>
        <v>0</v>
      </c>
      <c r="GZ50">
        <f t="shared" ca="1" si="100"/>
        <v>0</v>
      </c>
    </row>
    <row r="51" spans="1:208" x14ac:dyDescent="0.3">
      <c r="A51">
        <f>_xlfn.AGGREGATE(3,5,$B$2:B51)</f>
        <v>50</v>
      </c>
      <c r="B51" t="s">
        <v>217</v>
      </c>
      <c r="C51" t="s">
        <v>218</v>
      </c>
      <c r="D51" t="s">
        <v>762</v>
      </c>
      <c r="E51" t="s">
        <v>830</v>
      </c>
      <c r="F51" t="s">
        <v>956</v>
      </c>
      <c r="G51" t="s">
        <v>900</v>
      </c>
      <c r="H51">
        <f t="shared" si="193"/>
        <v>6800</v>
      </c>
      <c r="I51">
        <f>_xlfn.XLOOKUP(B51,'[1]march-2025'!$A:$A,'[1]march-2025'!$J:$J,0,0)</f>
        <v>5072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1"/>
        <v>200</v>
      </c>
      <c r="S51">
        <f t="shared" si="102"/>
        <v>36510</v>
      </c>
      <c r="T51">
        <f>_xlfn.XLOOKUP(B51,'[2]april-2025'!$A:$A,'[2]april-2025'!$C:$C,0,0)</f>
        <v>33500</v>
      </c>
      <c r="U51">
        <f t="shared" si="4"/>
        <v>6030</v>
      </c>
      <c r="V51">
        <f t="shared" si="5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103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6"/>
        <v>200</v>
      </c>
      <c r="AC51">
        <f t="shared" si="7"/>
        <v>37850</v>
      </c>
      <c r="AD51">
        <f>_xlfn.XLOOKUP(B51,'[3]may-2025'!$A:$A,'[3]may-2025'!$C:$C,0,0)</f>
        <v>33500</v>
      </c>
      <c r="AE51">
        <f t="shared" si="8"/>
        <v>6030</v>
      </c>
      <c r="AF51">
        <f t="shared" si="9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04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0"/>
        <v>200</v>
      </c>
      <c r="AM51">
        <f t="shared" si="11"/>
        <v>37850</v>
      </c>
      <c r="AN51">
        <f>_xlfn.XLOOKUP(B51,'[4]june-2025'!$A:$A,'[4]june-2025'!$C:$C,0,0)</f>
        <v>33500</v>
      </c>
      <c r="AO51">
        <f t="shared" si="12"/>
        <v>6030</v>
      </c>
      <c r="AP51">
        <f t="shared" si="13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05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4"/>
        <v>200</v>
      </c>
      <c r="AW51">
        <f t="shared" si="15"/>
        <v>37850</v>
      </c>
      <c r="AX51">
        <f>_xlfn.XLOOKUP(B51,'[5]july-2025'!$A:$A,'[5]july-2025'!$C:$C,0,0)</f>
        <v>35500</v>
      </c>
      <c r="AY51">
        <f t="shared" si="16"/>
        <v>6390</v>
      </c>
      <c r="AZ51">
        <v>0</v>
      </c>
      <c r="BA51">
        <f t="shared" si="17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18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19"/>
        <v>200</v>
      </c>
      <c r="BH51">
        <f t="shared" si="20"/>
        <v>40450</v>
      </c>
      <c r="BI51">
        <f>_xlfn.XLOOKUP(B51,'[6]august-2025'!$A:$A,'[6]august-2025'!$C:$C,0,0)</f>
        <v>35500</v>
      </c>
      <c r="BJ51">
        <f t="shared" si="21"/>
        <v>6390</v>
      </c>
      <c r="BK51">
        <f t="shared" si="22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3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4"/>
        <v>200</v>
      </c>
      <c r="BR51">
        <f t="shared" si="25"/>
        <v>40450</v>
      </c>
      <c r="BS51">
        <f>_xlfn.XLOOKUP(B51,'[7]september-2025'!$A:$A,'[7]september-2025'!$C:$C,0,0)</f>
        <v>35500</v>
      </c>
      <c r="BT51">
        <f t="shared" si="26"/>
        <v>6390</v>
      </c>
      <c r="BU51">
        <f t="shared" si="27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28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29"/>
        <v>200</v>
      </c>
      <c r="CB51">
        <f t="shared" si="30"/>
        <v>40450</v>
      </c>
      <c r="CC51">
        <f>_xlfn.XLOOKUP(B51,'[8]october-2025'!$A:$A,'[8]october-2025'!$C:$C,0,0)</f>
        <v>35500</v>
      </c>
      <c r="CD51">
        <f t="shared" si="31"/>
        <v>6390</v>
      </c>
      <c r="CE51">
        <f t="shared" si="32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3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4"/>
        <v>200</v>
      </c>
      <c r="CL51">
        <f t="shared" si="35"/>
        <v>40450</v>
      </c>
      <c r="CM51">
        <f>_xlfn.XLOOKUP(B51,'[9]november-2025'!$A:$A,'[9]november-2025'!$C:$C,0,0)</f>
        <v>35500</v>
      </c>
      <c r="CN51">
        <f t="shared" si="36"/>
        <v>6390</v>
      </c>
      <c r="CO51">
        <f t="shared" si="37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38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39"/>
        <v>200</v>
      </c>
      <c r="CV51">
        <f t="shared" si="40"/>
        <v>40450</v>
      </c>
      <c r="CW51">
        <f>_xlfn.XLOOKUP(B51,'[10]december-2025'!$A:$A,'[10]december-2025'!$C:$C,0,0)</f>
        <v>35500</v>
      </c>
      <c r="CX51">
        <f t="shared" si="41"/>
        <v>6390</v>
      </c>
      <c r="CY51">
        <f t="shared" si="42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3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4"/>
        <v>200</v>
      </c>
      <c r="DF51">
        <f t="shared" si="45"/>
        <v>40450</v>
      </c>
      <c r="DG51">
        <f>_xlfn.XLOOKUP(B51,'[11]january-2026'!$A:$A,'[11]january-2026'!$C:$C,0,0)</f>
        <v>35500</v>
      </c>
      <c r="DH51">
        <f t="shared" si="46"/>
        <v>6390</v>
      </c>
      <c r="DI51">
        <f t="shared" si="47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48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49"/>
        <v>200</v>
      </c>
      <c r="DP51">
        <f t="shared" si="50"/>
        <v>40450</v>
      </c>
      <c r="DQ51">
        <f>_xlfn.XLOOKUP(B51,'[12]february-2026'!$A:$A,'[12]february-2026'!$C:$C,0,0)</f>
        <v>35500</v>
      </c>
      <c r="DR51">
        <f t="shared" si="51"/>
        <v>6390</v>
      </c>
      <c r="DS51">
        <f t="shared" si="52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3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4"/>
        <v>200</v>
      </c>
      <c r="DZ51">
        <f t="shared" si="55"/>
        <v>40450</v>
      </c>
      <c r="EA51">
        <f>_xlfn.XLOOKUP(B51,'[1]march-2025'!$A:$A,'[1]march-2025'!$J:$J,0,0)</f>
        <v>5072</v>
      </c>
      <c r="EB51">
        <f>_xlfn.XLOOKUP(B51,'[2]april-2025'!$A:$A,'[2]april-2025'!$J:$J,0,0)</f>
        <v>0</v>
      </c>
      <c r="EC51">
        <f>_xlfn.XLOOKUP(B51,'[3]may-2025'!$A:$A,'[3]may-2025'!$J:$J,0,0)</f>
        <v>0</v>
      </c>
      <c r="ED51">
        <f>_xlfn.XLOOKUP(B51,'[4]june-2025'!$A:$A,'[4]june-2025'!$J:$J,0,0)</f>
        <v>0</v>
      </c>
      <c r="EE51">
        <f>_xlfn.XLOOKUP(B51,'[5]july-2025'!$A:$A,'[5]july-2025'!$J:$J,0,0)</f>
        <v>0</v>
      </c>
      <c r="EF51">
        <f>_xlfn.XLOOKUP(B51,'[6]august-2025'!$A:$A,'[6]august-2025'!$J:$J,0,0)</f>
        <v>0</v>
      </c>
      <c r="EG51">
        <f>_xlfn.XLOOKUP(B51,'[7]september-2025'!$A:$A,'[7]september-2025'!$J:$J,0,0)</f>
        <v>0</v>
      </c>
      <c r="EH51">
        <f>_xlfn.XLOOKUP(B51,'[8]october-2025'!$A:$A,'[8]october-2025'!$J:$J,0,0)</f>
        <v>0</v>
      </c>
      <c r="EI51">
        <f>_xlfn.XLOOKUP(C51,'[9]november-2025'!$A:$A,'[9]november-2025'!$J:$J,0,0)</f>
        <v>0</v>
      </c>
      <c r="EJ51">
        <f>_xlfn.XLOOKUP(B51,'[10]december-2025'!$A:$A,'[10]december-2025'!$J:$J,0,0)</f>
        <v>0</v>
      </c>
      <c r="EK51">
        <f>_xlfn.XLOOKUP(B51,'[11]january-2026'!$A:$A,'[11]january-2026'!$J:$J,0,0)</f>
        <v>0</v>
      </c>
      <c r="EL51">
        <f>_xlfn.XLOOKUP(B51,'[12]february-2026'!$A:$A,'[12]february-2026'!$J:$J,0,0)</f>
        <v>0</v>
      </c>
      <c r="EM51">
        <f t="shared" si="106"/>
        <v>5072</v>
      </c>
      <c r="EN51">
        <f t="shared" si="56"/>
        <v>559932</v>
      </c>
      <c r="EO51">
        <f t="shared" si="57"/>
        <v>2400</v>
      </c>
      <c r="EP51">
        <f t="shared" si="58"/>
        <v>50000</v>
      </c>
      <c r="EQ51">
        <v>0</v>
      </c>
      <c r="ER51">
        <f t="shared" si="107"/>
        <v>512604</v>
      </c>
      <c r="ES51">
        <f t="shared" si="59"/>
        <v>72000</v>
      </c>
      <c r="ET51">
        <f t="shared" si="60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1"/>
        <v>72000</v>
      </c>
      <c r="FF51">
        <f t="shared" si="62"/>
        <v>72000</v>
      </c>
      <c r="FG51">
        <f t="shared" si="63"/>
        <v>440604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4"/>
        <v>0</v>
      </c>
      <c r="FP51">
        <f t="shared" si="65"/>
        <v>440604</v>
      </c>
      <c r="FQ51">
        <f t="shared" si="66"/>
        <v>9530</v>
      </c>
      <c r="FR51">
        <f t="shared" si="67"/>
        <v>0</v>
      </c>
      <c r="FS51">
        <f t="shared" si="68"/>
        <v>9530</v>
      </c>
      <c r="FT51">
        <f t="shared" si="69"/>
        <v>0</v>
      </c>
      <c r="FU51">
        <f t="shared" si="70"/>
        <v>0</v>
      </c>
      <c r="FV51">
        <f t="shared" si="71"/>
        <v>0</v>
      </c>
      <c r="FW51">
        <v>0</v>
      </c>
      <c r="FX51">
        <f t="shared" si="72"/>
        <v>0</v>
      </c>
      <c r="FY51" t="b">
        <f t="shared" si="73"/>
        <v>1</v>
      </c>
      <c r="FZ51">
        <f t="shared" ca="1" si="74"/>
        <v>945</v>
      </c>
      <c r="GA51">
        <f t="shared" ca="1" si="75"/>
        <v>560877</v>
      </c>
      <c r="GB51">
        <f t="shared" si="76"/>
        <v>75000</v>
      </c>
      <c r="GC51">
        <f t="shared" ca="1" si="77"/>
        <v>485877</v>
      </c>
      <c r="GD51">
        <f t="shared" ca="1" si="78"/>
        <v>0</v>
      </c>
      <c r="GE51">
        <f t="shared" ca="1" si="79"/>
        <v>0</v>
      </c>
      <c r="GF51">
        <f t="shared" ca="1" si="80"/>
        <v>0</v>
      </c>
      <c r="GG51">
        <f t="shared" ca="1" si="81"/>
        <v>0</v>
      </c>
      <c r="GH51">
        <f t="shared" ca="1" si="82"/>
        <v>0</v>
      </c>
      <c r="GI51">
        <f t="shared" ca="1" si="83"/>
        <v>0</v>
      </c>
      <c r="GJ51">
        <f t="shared" ca="1" si="84"/>
        <v>0</v>
      </c>
      <c r="GK51">
        <f t="shared" ca="1" si="85"/>
        <v>0</v>
      </c>
      <c r="GL51">
        <f t="shared" ca="1" si="86"/>
        <v>0</v>
      </c>
      <c r="GM51">
        <f t="shared" ca="1" si="87"/>
        <v>0</v>
      </c>
      <c r="GN51">
        <f t="shared" ca="1" si="88"/>
        <v>85877</v>
      </c>
      <c r="GO51">
        <f t="shared" ca="1" si="89"/>
        <v>4293.8500000000004</v>
      </c>
      <c r="GP51">
        <f t="shared" ca="1" si="90"/>
        <v>4294</v>
      </c>
      <c r="GQ51">
        <f t="shared" ca="1" si="91"/>
        <v>0</v>
      </c>
      <c r="GR51">
        <f t="shared" ca="1" si="92"/>
        <v>0</v>
      </c>
      <c r="GS51">
        <f t="shared" ca="1" si="93"/>
        <v>4294</v>
      </c>
      <c r="GT51">
        <f t="shared" ca="1" si="94"/>
        <v>0</v>
      </c>
      <c r="GU51" t="b">
        <f t="shared" ca="1" si="95"/>
        <v>0</v>
      </c>
      <c r="GV51">
        <f t="shared" ca="1" si="96"/>
        <v>0</v>
      </c>
      <c r="GW51">
        <f t="shared" ca="1" si="97"/>
        <v>4294</v>
      </c>
      <c r="GX51">
        <f t="shared" ca="1" si="98"/>
        <v>0</v>
      </c>
      <c r="GY51">
        <f t="shared" ca="1" si="99"/>
        <v>0</v>
      </c>
      <c r="GZ51">
        <f t="shared" ca="1" si="100"/>
        <v>0</v>
      </c>
    </row>
    <row r="52" spans="1:208" x14ac:dyDescent="0.3">
      <c r="A52">
        <f>_xlfn.AGGREGATE(3,5,$B$2:B52)</f>
        <v>51</v>
      </c>
      <c r="B52" t="s">
        <v>219</v>
      </c>
      <c r="C52" t="s">
        <v>220</v>
      </c>
      <c r="D52" t="s">
        <v>762</v>
      </c>
      <c r="E52" t="s">
        <v>830</v>
      </c>
      <c r="F52" t="s">
        <v>956</v>
      </c>
      <c r="G52" t="s">
        <v>901</v>
      </c>
      <c r="H52">
        <f t="shared" si="193"/>
        <v>6800</v>
      </c>
      <c r="I52">
        <f>_xlfn.XLOOKUP(B52,'[1]march-2025'!$A:$A,'[1]march-2025'!$J:$J,0,0)</f>
        <v>5072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1"/>
        <v>200</v>
      </c>
      <c r="S52">
        <f t="shared" si="102"/>
        <v>39510</v>
      </c>
      <c r="T52">
        <f>_xlfn.XLOOKUP(B52,'[2]april-2025'!$A:$A,'[2]april-2025'!$C:$C,0,0)</f>
        <v>33500</v>
      </c>
      <c r="U52">
        <f t="shared" si="4"/>
        <v>6030</v>
      </c>
      <c r="V52">
        <f t="shared" si="5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103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6"/>
        <v>200</v>
      </c>
      <c r="AC52">
        <f t="shared" si="7"/>
        <v>40850</v>
      </c>
      <c r="AD52">
        <f>_xlfn.XLOOKUP(B52,'[3]may-2025'!$A:$A,'[3]may-2025'!$C:$C,0,0)</f>
        <v>33500</v>
      </c>
      <c r="AE52">
        <f t="shared" si="8"/>
        <v>6030</v>
      </c>
      <c r="AF52">
        <f t="shared" si="9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04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0"/>
        <v>200</v>
      </c>
      <c r="AM52">
        <f t="shared" si="11"/>
        <v>40850</v>
      </c>
      <c r="AN52">
        <f>_xlfn.XLOOKUP(B52,'[4]june-2025'!$A:$A,'[4]june-2025'!$C:$C,0,0)</f>
        <v>33500</v>
      </c>
      <c r="AO52">
        <f t="shared" si="12"/>
        <v>6030</v>
      </c>
      <c r="AP52">
        <f t="shared" si="13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05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4"/>
        <v>200</v>
      </c>
      <c r="AW52">
        <f t="shared" si="15"/>
        <v>40850</v>
      </c>
      <c r="AX52">
        <f>_xlfn.XLOOKUP(B52,'[5]july-2025'!$A:$A,'[5]july-2025'!$C:$C,0,0)</f>
        <v>35500</v>
      </c>
      <c r="AY52">
        <f t="shared" si="16"/>
        <v>6390</v>
      </c>
      <c r="AZ52">
        <v>0</v>
      </c>
      <c r="BA52">
        <f t="shared" si="17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18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19"/>
        <v>200</v>
      </c>
      <c r="BH52">
        <f t="shared" si="20"/>
        <v>43450</v>
      </c>
      <c r="BI52">
        <f>_xlfn.XLOOKUP(B52,'[6]august-2025'!$A:$A,'[6]august-2025'!$C:$C,0,0)</f>
        <v>35500</v>
      </c>
      <c r="BJ52">
        <f t="shared" si="21"/>
        <v>6390</v>
      </c>
      <c r="BK52">
        <f t="shared" si="22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3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4"/>
        <v>200</v>
      </c>
      <c r="BR52">
        <f t="shared" si="25"/>
        <v>43450</v>
      </c>
      <c r="BS52">
        <f>_xlfn.XLOOKUP(B52,'[7]september-2025'!$A:$A,'[7]september-2025'!$C:$C,0,0)</f>
        <v>35500</v>
      </c>
      <c r="BT52">
        <f t="shared" si="26"/>
        <v>6390</v>
      </c>
      <c r="BU52">
        <f t="shared" si="27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28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29"/>
        <v>200</v>
      </c>
      <c r="CB52">
        <f t="shared" si="30"/>
        <v>43450</v>
      </c>
      <c r="CC52">
        <f>_xlfn.XLOOKUP(B52,'[8]october-2025'!$A:$A,'[8]october-2025'!$C:$C,0,0)</f>
        <v>35500</v>
      </c>
      <c r="CD52">
        <f t="shared" si="31"/>
        <v>6390</v>
      </c>
      <c r="CE52">
        <f t="shared" si="32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3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4"/>
        <v>200</v>
      </c>
      <c r="CL52">
        <f t="shared" si="35"/>
        <v>43450</v>
      </c>
      <c r="CM52">
        <f>_xlfn.XLOOKUP(B52,'[9]november-2025'!$A:$A,'[9]november-2025'!$C:$C,0,0)</f>
        <v>35500</v>
      </c>
      <c r="CN52">
        <f t="shared" si="36"/>
        <v>6390</v>
      </c>
      <c r="CO52">
        <f t="shared" si="37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38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39"/>
        <v>200</v>
      </c>
      <c r="CV52">
        <f t="shared" si="40"/>
        <v>43450</v>
      </c>
      <c r="CW52">
        <f>_xlfn.XLOOKUP(B52,'[10]december-2025'!$A:$A,'[10]december-2025'!$C:$C,0,0)</f>
        <v>35500</v>
      </c>
      <c r="CX52">
        <f t="shared" si="41"/>
        <v>6390</v>
      </c>
      <c r="CY52">
        <f t="shared" si="42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3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4"/>
        <v>200</v>
      </c>
      <c r="DF52">
        <f t="shared" si="45"/>
        <v>43450</v>
      </c>
      <c r="DG52">
        <f>_xlfn.XLOOKUP(B52,'[11]january-2026'!$A:$A,'[11]january-2026'!$C:$C,0,0)</f>
        <v>35500</v>
      </c>
      <c r="DH52">
        <f t="shared" si="46"/>
        <v>6390</v>
      </c>
      <c r="DI52">
        <f t="shared" si="47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48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49"/>
        <v>200</v>
      </c>
      <c r="DP52">
        <f t="shared" si="50"/>
        <v>43450</v>
      </c>
      <c r="DQ52">
        <f>_xlfn.XLOOKUP(B52,'[12]february-2026'!$A:$A,'[12]february-2026'!$C:$C,0,0)</f>
        <v>35500</v>
      </c>
      <c r="DR52">
        <f t="shared" si="51"/>
        <v>6390</v>
      </c>
      <c r="DS52">
        <f t="shared" si="52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3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4"/>
        <v>200</v>
      </c>
      <c r="DZ52">
        <f t="shared" si="55"/>
        <v>43450</v>
      </c>
      <c r="EA52">
        <f>_xlfn.XLOOKUP(B52,'[1]march-2025'!$A:$A,'[1]march-2025'!$J:$J,0,0)</f>
        <v>5072</v>
      </c>
      <c r="EB52">
        <f>_xlfn.XLOOKUP(B52,'[2]april-2025'!$A:$A,'[2]april-2025'!$J:$J,0,0)</f>
        <v>0</v>
      </c>
      <c r="EC52">
        <f>_xlfn.XLOOKUP(B52,'[3]may-2025'!$A:$A,'[3]may-2025'!$J:$J,0,0)</f>
        <v>0</v>
      </c>
      <c r="ED52">
        <f>_xlfn.XLOOKUP(B52,'[4]june-2025'!$A:$A,'[4]june-2025'!$J:$J,0,0)</f>
        <v>0</v>
      </c>
      <c r="EE52">
        <f>_xlfn.XLOOKUP(B52,'[5]july-2025'!$A:$A,'[5]july-2025'!$J:$J,0,0)</f>
        <v>0</v>
      </c>
      <c r="EF52">
        <f>_xlfn.XLOOKUP(B52,'[6]august-2025'!$A:$A,'[6]august-2025'!$J:$J,0,0)</f>
        <v>0</v>
      </c>
      <c r="EG52">
        <f>_xlfn.XLOOKUP(B52,'[7]september-2025'!$A:$A,'[7]september-2025'!$J:$J,0,0)</f>
        <v>0</v>
      </c>
      <c r="EH52">
        <f>_xlfn.XLOOKUP(B52,'[8]october-2025'!$A:$A,'[8]october-2025'!$J:$J,0,0)</f>
        <v>0</v>
      </c>
      <c r="EI52">
        <f>_xlfn.XLOOKUP(C52,'[9]november-2025'!$A:$A,'[9]november-2025'!$J:$J,0,0)</f>
        <v>0</v>
      </c>
      <c r="EJ52">
        <f>_xlfn.XLOOKUP(B52,'[10]december-2025'!$A:$A,'[10]december-2025'!$J:$J,0,0)</f>
        <v>0</v>
      </c>
      <c r="EK52">
        <f>_xlfn.XLOOKUP(B52,'[11]january-2026'!$A:$A,'[11]january-2026'!$J:$J,0,0)</f>
        <v>0</v>
      </c>
      <c r="EL52">
        <f>_xlfn.XLOOKUP(B52,'[12]february-2026'!$A:$A,'[12]february-2026'!$J:$J,0,0)</f>
        <v>0</v>
      </c>
      <c r="EM52">
        <f t="shared" si="106"/>
        <v>5072</v>
      </c>
      <c r="EN52">
        <f t="shared" si="56"/>
        <v>553932</v>
      </c>
      <c r="EO52">
        <f t="shared" si="57"/>
        <v>2400</v>
      </c>
      <c r="EP52">
        <f t="shared" si="58"/>
        <v>50000</v>
      </c>
      <c r="EQ52">
        <v>0</v>
      </c>
      <c r="ER52">
        <f t="shared" si="107"/>
        <v>506604</v>
      </c>
      <c r="ES52">
        <f t="shared" si="59"/>
        <v>30000</v>
      </c>
      <c r="ET52">
        <f t="shared" si="60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1"/>
        <v>30000</v>
      </c>
      <c r="FF52">
        <f t="shared" si="62"/>
        <v>30000</v>
      </c>
      <c r="FG52">
        <f t="shared" si="63"/>
        <v>476604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4"/>
        <v>0</v>
      </c>
      <c r="FP52">
        <f t="shared" si="65"/>
        <v>476604</v>
      </c>
      <c r="FQ52">
        <f t="shared" si="66"/>
        <v>11330</v>
      </c>
      <c r="FR52">
        <f t="shared" si="67"/>
        <v>0</v>
      </c>
      <c r="FS52">
        <f t="shared" si="68"/>
        <v>11330</v>
      </c>
      <c r="FT52">
        <f t="shared" si="69"/>
        <v>0</v>
      </c>
      <c r="FU52">
        <f t="shared" si="70"/>
        <v>0</v>
      </c>
      <c r="FV52">
        <f t="shared" si="71"/>
        <v>0</v>
      </c>
      <c r="FW52">
        <v>0</v>
      </c>
      <c r="FX52">
        <f t="shared" si="72"/>
        <v>0</v>
      </c>
      <c r="FY52" t="b">
        <f t="shared" si="73"/>
        <v>1</v>
      </c>
      <c r="FZ52">
        <f t="shared" ca="1" si="74"/>
        <v>686</v>
      </c>
      <c r="GA52">
        <f t="shared" ca="1" si="75"/>
        <v>554618</v>
      </c>
      <c r="GB52">
        <f t="shared" si="76"/>
        <v>75000</v>
      </c>
      <c r="GC52">
        <f t="shared" ca="1" si="77"/>
        <v>479618</v>
      </c>
      <c r="GD52">
        <f t="shared" ca="1" si="78"/>
        <v>0</v>
      </c>
      <c r="GE52">
        <f t="shared" ca="1" si="79"/>
        <v>0</v>
      </c>
      <c r="GF52">
        <f t="shared" ca="1" si="80"/>
        <v>0</v>
      </c>
      <c r="GG52">
        <f t="shared" ca="1" si="81"/>
        <v>0</v>
      </c>
      <c r="GH52">
        <f t="shared" ca="1" si="82"/>
        <v>0</v>
      </c>
      <c r="GI52">
        <f t="shared" ca="1" si="83"/>
        <v>0</v>
      </c>
      <c r="GJ52">
        <f t="shared" ca="1" si="84"/>
        <v>0</v>
      </c>
      <c r="GK52">
        <f t="shared" ca="1" si="85"/>
        <v>0</v>
      </c>
      <c r="GL52">
        <f t="shared" ca="1" si="86"/>
        <v>0</v>
      </c>
      <c r="GM52">
        <f t="shared" ca="1" si="87"/>
        <v>0</v>
      </c>
      <c r="GN52">
        <f t="shared" ca="1" si="88"/>
        <v>79618</v>
      </c>
      <c r="GO52">
        <f t="shared" ca="1" si="89"/>
        <v>3980.9</v>
      </c>
      <c r="GP52">
        <f t="shared" ca="1" si="90"/>
        <v>3981</v>
      </c>
      <c r="GQ52">
        <f t="shared" ca="1" si="91"/>
        <v>0</v>
      </c>
      <c r="GR52">
        <f t="shared" ca="1" si="92"/>
        <v>0</v>
      </c>
      <c r="GS52">
        <f t="shared" ca="1" si="93"/>
        <v>3981</v>
      </c>
      <c r="GT52">
        <f t="shared" ca="1" si="94"/>
        <v>0</v>
      </c>
      <c r="GU52" t="b">
        <f t="shared" ca="1" si="95"/>
        <v>0</v>
      </c>
      <c r="GV52">
        <f t="shared" ca="1" si="96"/>
        <v>0</v>
      </c>
      <c r="GW52">
        <f t="shared" ca="1" si="97"/>
        <v>3981</v>
      </c>
      <c r="GX52">
        <f t="shared" ca="1" si="98"/>
        <v>0</v>
      </c>
      <c r="GY52">
        <f t="shared" ca="1" si="99"/>
        <v>0</v>
      </c>
      <c r="GZ52">
        <f t="shared" ca="1" si="100"/>
        <v>0</v>
      </c>
    </row>
    <row r="53" spans="1:208" x14ac:dyDescent="0.3">
      <c r="A53">
        <f>_xlfn.AGGREGATE(3,5,$B$2:B53)</f>
        <v>52</v>
      </c>
      <c r="B53" t="s">
        <v>221</v>
      </c>
      <c r="C53" t="s">
        <v>222</v>
      </c>
      <c r="D53" t="s">
        <v>763</v>
      </c>
      <c r="E53" t="s">
        <v>830</v>
      </c>
      <c r="F53" t="s">
        <v>956</v>
      </c>
      <c r="G53" t="s">
        <v>877</v>
      </c>
      <c r="H53">
        <f t="shared" si="19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1"/>
        <v>200</v>
      </c>
      <c r="S53">
        <f t="shared" si="102"/>
        <v>39170</v>
      </c>
      <c r="T53">
        <f>_xlfn.XLOOKUP(B53,'[2]april-2025'!$A:$A,'[2]april-2025'!$C:$C,0,0)</f>
        <v>34500</v>
      </c>
      <c r="U53">
        <f t="shared" si="4"/>
        <v>6210</v>
      </c>
      <c r="V53">
        <f t="shared" si="5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103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6"/>
        <v>200</v>
      </c>
      <c r="AC53">
        <f t="shared" si="7"/>
        <v>40550</v>
      </c>
      <c r="AD53">
        <f>_xlfn.XLOOKUP(B53,'[3]may-2025'!$A:$A,'[3]may-2025'!$C:$C,0,0)</f>
        <v>34500</v>
      </c>
      <c r="AE53">
        <f t="shared" si="8"/>
        <v>6210</v>
      </c>
      <c r="AF53">
        <f t="shared" si="9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04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0"/>
        <v>200</v>
      </c>
      <c r="AM53">
        <f t="shared" si="11"/>
        <v>40550</v>
      </c>
      <c r="AN53">
        <f>_xlfn.XLOOKUP(B53,'[4]june-2025'!$A:$A,'[4]june-2025'!$C:$C,0,0)</f>
        <v>34500</v>
      </c>
      <c r="AO53">
        <f t="shared" si="12"/>
        <v>6210</v>
      </c>
      <c r="AP53">
        <f t="shared" si="13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05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4"/>
        <v>200</v>
      </c>
      <c r="AW53">
        <f t="shared" si="15"/>
        <v>40550</v>
      </c>
      <c r="AX53">
        <f>_xlfn.XLOOKUP(B53,'[5]july-2025'!$A:$A,'[5]july-2025'!$C:$C,0,0)</f>
        <v>35500</v>
      </c>
      <c r="AY53">
        <f t="shared" si="16"/>
        <v>6390</v>
      </c>
      <c r="AZ53">
        <v>0</v>
      </c>
      <c r="BA53">
        <f t="shared" si="17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18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19"/>
        <v>200</v>
      </c>
      <c r="BH53">
        <f t="shared" si="20"/>
        <v>41850</v>
      </c>
      <c r="BI53">
        <f>_xlfn.XLOOKUP(B53,'[6]august-2025'!$A:$A,'[6]august-2025'!$C:$C,0,0)</f>
        <v>35500</v>
      </c>
      <c r="BJ53">
        <f t="shared" si="21"/>
        <v>6390</v>
      </c>
      <c r="BK53">
        <f t="shared" si="22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3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4"/>
        <v>200</v>
      </c>
      <c r="BR53">
        <f t="shared" si="25"/>
        <v>41850</v>
      </c>
      <c r="BS53">
        <f>_xlfn.XLOOKUP(B53,'[7]september-2025'!$A:$A,'[7]september-2025'!$C:$C,0,0)</f>
        <v>35500</v>
      </c>
      <c r="BT53">
        <f t="shared" si="26"/>
        <v>6390</v>
      </c>
      <c r="BU53">
        <f t="shared" si="27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28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29"/>
        <v>200</v>
      </c>
      <c r="CB53">
        <f t="shared" si="30"/>
        <v>41850</v>
      </c>
      <c r="CC53">
        <f>_xlfn.XLOOKUP(B53,'[8]october-2025'!$A:$A,'[8]october-2025'!$C:$C,0,0)</f>
        <v>35500</v>
      </c>
      <c r="CD53">
        <f t="shared" si="31"/>
        <v>6390</v>
      </c>
      <c r="CE53">
        <f t="shared" si="32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3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4"/>
        <v>200</v>
      </c>
      <c r="CL53">
        <f t="shared" si="35"/>
        <v>41850</v>
      </c>
      <c r="CM53">
        <f>_xlfn.XLOOKUP(B53,'[9]november-2025'!$A:$A,'[9]november-2025'!$C:$C,0,0)</f>
        <v>35500</v>
      </c>
      <c r="CN53">
        <f t="shared" si="36"/>
        <v>6390</v>
      </c>
      <c r="CO53">
        <f t="shared" si="37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38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39"/>
        <v>200</v>
      </c>
      <c r="CV53">
        <f t="shared" si="40"/>
        <v>41850</v>
      </c>
      <c r="CW53">
        <f>_xlfn.XLOOKUP(B53,'[10]december-2025'!$A:$A,'[10]december-2025'!$C:$C,0,0)</f>
        <v>35500</v>
      </c>
      <c r="CX53">
        <f t="shared" si="41"/>
        <v>6390</v>
      </c>
      <c r="CY53">
        <f t="shared" si="42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3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4"/>
        <v>200</v>
      </c>
      <c r="DF53">
        <f t="shared" si="45"/>
        <v>41850</v>
      </c>
      <c r="DG53">
        <f>_xlfn.XLOOKUP(B53,'[11]january-2026'!$A:$A,'[11]january-2026'!$C:$C,0,0)</f>
        <v>35500</v>
      </c>
      <c r="DH53">
        <f t="shared" si="46"/>
        <v>6390</v>
      </c>
      <c r="DI53">
        <f t="shared" si="47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48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49"/>
        <v>200</v>
      </c>
      <c r="DP53">
        <f t="shared" si="50"/>
        <v>41850</v>
      </c>
      <c r="DQ53">
        <f>_xlfn.XLOOKUP(B53,'[12]february-2026'!$A:$A,'[12]february-2026'!$C:$C,0,0)</f>
        <v>35500</v>
      </c>
      <c r="DR53">
        <f t="shared" si="51"/>
        <v>6390</v>
      </c>
      <c r="DS53">
        <f t="shared" si="52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3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4"/>
        <v>200</v>
      </c>
      <c r="DZ53">
        <f t="shared" si="55"/>
        <v>41850</v>
      </c>
      <c r="EA53">
        <f>_xlfn.XLOOKUP(B53,'[1]march-2025'!$A:$A,'[1]march-2025'!$J:$J,0,0)</f>
        <v>0</v>
      </c>
      <c r="EB53">
        <f>_xlfn.XLOOKUP(B53,'[2]april-2025'!$A:$A,'[2]april-2025'!$J:$J,0,0)</f>
        <v>0</v>
      </c>
      <c r="EC53">
        <f>_xlfn.XLOOKUP(B53,'[3]may-2025'!$A:$A,'[3]may-2025'!$J:$J,0,0)</f>
        <v>0</v>
      </c>
      <c r="ED53">
        <f>_xlfn.XLOOKUP(B53,'[4]june-2025'!$A:$A,'[4]june-2025'!$J:$J,0,0)</f>
        <v>0</v>
      </c>
      <c r="EE53">
        <f>_xlfn.XLOOKUP(B53,'[5]july-2025'!$A:$A,'[5]july-2025'!$J:$J,0,0)</f>
        <v>0</v>
      </c>
      <c r="EF53">
        <f>_xlfn.XLOOKUP(B53,'[6]august-2025'!$A:$A,'[6]august-2025'!$J:$J,0,0)</f>
        <v>0</v>
      </c>
      <c r="EG53">
        <f>_xlfn.XLOOKUP(B53,'[7]september-2025'!$A:$A,'[7]september-2025'!$J:$J,0,0)</f>
        <v>0</v>
      </c>
      <c r="EH53">
        <f>_xlfn.XLOOKUP(B53,'[8]october-2025'!$A:$A,'[8]october-2025'!$J:$J,0,0)</f>
        <v>0</v>
      </c>
      <c r="EI53">
        <f>_xlfn.XLOOKUP(C53,'[9]november-2025'!$A:$A,'[9]november-2025'!$J:$J,0,0)</f>
        <v>0</v>
      </c>
      <c r="EJ53">
        <f>_xlfn.XLOOKUP(B53,'[10]december-2025'!$A:$A,'[10]december-2025'!$J:$J,0,0)</f>
        <v>0</v>
      </c>
      <c r="EK53">
        <f>_xlfn.XLOOKUP(B53,'[11]january-2026'!$A:$A,'[11]january-2026'!$J:$J,0,0)</f>
        <v>0</v>
      </c>
      <c r="EL53">
        <f>_xlfn.XLOOKUP(B53,'[12]february-2026'!$A:$A,'[12]february-2026'!$J:$J,0,0)</f>
        <v>0</v>
      </c>
      <c r="EM53">
        <f t="shared" si="106"/>
        <v>0</v>
      </c>
      <c r="EN53">
        <f t="shared" si="56"/>
        <v>564820</v>
      </c>
      <c r="EO53">
        <f t="shared" si="57"/>
        <v>2400</v>
      </c>
      <c r="EP53">
        <f t="shared" si="58"/>
        <v>50000</v>
      </c>
      <c r="EQ53">
        <v>0</v>
      </c>
      <c r="ER53">
        <f t="shared" si="107"/>
        <v>512420</v>
      </c>
      <c r="ES53">
        <f t="shared" si="59"/>
        <v>60000</v>
      </c>
      <c r="ET53">
        <f t="shared" si="60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1"/>
        <v>60000</v>
      </c>
      <c r="FF53">
        <f t="shared" si="62"/>
        <v>60000</v>
      </c>
      <c r="FG53">
        <f t="shared" si="63"/>
        <v>452420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4"/>
        <v>0</v>
      </c>
      <c r="FP53">
        <f t="shared" si="65"/>
        <v>452420</v>
      </c>
      <c r="FQ53">
        <f t="shared" si="66"/>
        <v>10121</v>
      </c>
      <c r="FR53">
        <f t="shared" si="67"/>
        <v>0</v>
      </c>
      <c r="FS53">
        <f t="shared" si="68"/>
        <v>10121</v>
      </c>
      <c r="FT53">
        <f t="shared" si="69"/>
        <v>0</v>
      </c>
      <c r="FU53">
        <f t="shared" si="70"/>
        <v>0</v>
      </c>
      <c r="FV53">
        <f t="shared" si="71"/>
        <v>0</v>
      </c>
      <c r="FW53">
        <v>0</v>
      </c>
      <c r="FX53">
        <f t="shared" si="72"/>
        <v>0</v>
      </c>
      <c r="FY53" t="b">
        <f t="shared" si="73"/>
        <v>1</v>
      </c>
      <c r="FZ53">
        <f t="shared" ca="1" si="74"/>
        <v>603</v>
      </c>
      <c r="GA53">
        <f t="shared" ca="1" si="75"/>
        <v>565423</v>
      </c>
      <c r="GB53">
        <f t="shared" si="76"/>
        <v>75000</v>
      </c>
      <c r="GC53">
        <f t="shared" ca="1" si="77"/>
        <v>490423</v>
      </c>
      <c r="GD53">
        <f t="shared" ca="1" si="78"/>
        <v>0</v>
      </c>
      <c r="GE53">
        <f t="shared" ca="1" si="79"/>
        <v>0</v>
      </c>
      <c r="GF53">
        <f t="shared" ca="1" si="80"/>
        <v>0</v>
      </c>
      <c r="GG53">
        <f t="shared" ca="1" si="81"/>
        <v>0</v>
      </c>
      <c r="GH53">
        <f t="shared" ca="1" si="82"/>
        <v>0</v>
      </c>
      <c r="GI53">
        <f t="shared" ca="1" si="83"/>
        <v>0</v>
      </c>
      <c r="GJ53">
        <f t="shared" ca="1" si="84"/>
        <v>0</v>
      </c>
      <c r="GK53">
        <f t="shared" ca="1" si="85"/>
        <v>0</v>
      </c>
      <c r="GL53">
        <f t="shared" ca="1" si="86"/>
        <v>0</v>
      </c>
      <c r="GM53">
        <f t="shared" ca="1" si="87"/>
        <v>0</v>
      </c>
      <c r="GN53">
        <f t="shared" ca="1" si="88"/>
        <v>90423</v>
      </c>
      <c r="GO53">
        <f t="shared" ca="1" si="89"/>
        <v>4521.1500000000005</v>
      </c>
      <c r="GP53">
        <f t="shared" ca="1" si="90"/>
        <v>4521</v>
      </c>
      <c r="GQ53">
        <f t="shared" ca="1" si="91"/>
        <v>0</v>
      </c>
      <c r="GR53">
        <f t="shared" ca="1" si="92"/>
        <v>0</v>
      </c>
      <c r="GS53">
        <f t="shared" ca="1" si="93"/>
        <v>4521</v>
      </c>
      <c r="GT53">
        <f t="shared" ca="1" si="94"/>
        <v>0</v>
      </c>
      <c r="GU53" t="b">
        <f t="shared" ca="1" si="95"/>
        <v>0</v>
      </c>
      <c r="GV53">
        <f t="shared" ca="1" si="96"/>
        <v>0</v>
      </c>
      <c r="GW53">
        <f t="shared" ca="1" si="97"/>
        <v>4521</v>
      </c>
      <c r="GX53">
        <f t="shared" ca="1" si="98"/>
        <v>0</v>
      </c>
      <c r="GY53">
        <f t="shared" ca="1" si="99"/>
        <v>0</v>
      </c>
      <c r="GZ53">
        <f t="shared" ca="1" si="100"/>
        <v>0</v>
      </c>
    </row>
    <row r="54" spans="1:208" x14ac:dyDescent="0.3">
      <c r="A54">
        <f>_xlfn.AGGREGATE(3,5,$B$2:B54)</f>
        <v>53</v>
      </c>
      <c r="B54" t="s">
        <v>223</v>
      </c>
      <c r="C54" t="s">
        <v>224</v>
      </c>
      <c r="D54" t="s">
        <v>763</v>
      </c>
      <c r="E54" t="s">
        <v>830</v>
      </c>
      <c r="F54" t="s">
        <v>956</v>
      </c>
      <c r="G54" t="s">
        <v>877</v>
      </c>
      <c r="H54">
        <f t="shared" si="19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1"/>
        <v>200</v>
      </c>
      <c r="S54">
        <f t="shared" si="102"/>
        <v>41270</v>
      </c>
      <c r="T54">
        <f>_xlfn.XLOOKUP(B54,'[2]april-2025'!$A:$A,'[2]april-2025'!$C:$C,0,0)</f>
        <v>34500</v>
      </c>
      <c r="U54">
        <f t="shared" si="4"/>
        <v>6210</v>
      </c>
      <c r="V54">
        <f t="shared" si="5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103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6"/>
        <v>200</v>
      </c>
      <c r="AC54">
        <f t="shared" si="7"/>
        <v>42650</v>
      </c>
      <c r="AD54">
        <f>_xlfn.XLOOKUP(B54,'[3]may-2025'!$A:$A,'[3]may-2025'!$C:$C,0,0)</f>
        <v>34500</v>
      </c>
      <c r="AE54">
        <f t="shared" si="8"/>
        <v>6210</v>
      </c>
      <c r="AF54">
        <f t="shared" si="9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04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0"/>
        <v>200</v>
      </c>
      <c r="AM54">
        <f t="shared" si="11"/>
        <v>42650</v>
      </c>
      <c r="AN54">
        <f>_xlfn.XLOOKUP(B54,'[4]june-2025'!$A:$A,'[4]june-2025'!$C:$C,0,0)</f>
        <v>34500</v>
      </c>
      <c r="AO54">
        <f t="shared" si="12"/>
        <v>6210</v>
      </c>
      <c r="AP54">
        <f t="shared" si="13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05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4"/>
        <v>200</v>
      </c>
      <c r="AW54">
        <f t="shared" si="15"/>
        <v>42650</v>
      </c>
      <c r="AX54">
        <f>_xlfn.XLOOKUP(B54,'[5]july-2025'!$A:$A,'[5]july-2025'!$C:$C,0,0)</f>
        <v>35500</v>
      </c>
      <c r="AY54">
        <f t="shared" si="16"/>
        <v>6390</v>
      </c>
      <c r="AZ54">
        <v>0</v>
      </c>
      <c r="BA54">
        <f t="shared" si="17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18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19"/>
        <v>200</v>
      </c>
      <c r="BH54">
        <f t="shared" si="20"/>
        <v>43950</v>
      </c>
      <c r="BI54">
        <f>_xlfn.XLOOKUP(B54,'[6]august-2025'!$A:$A,'[6]august-2025'!$C:$C,0,0)</f>
        <v>35500</v>
      </c>
      <c r="BJ54">
        <f t="shared" si="21"/>
        <v>6390</v>
      </c>
      <c r="BK54">
        <f t="shared" si="22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3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4"/>
        <v>200</v>
      </c>
      <c r="BR54">
        <f t="shared" si="25"/>
        <v>43950</v>
      </c>
      <c r="BS54">
        <f>_xlfn.XLOOKUP(B54,'[7]september-2025'!$A:$A,'[7]september-2025'!$C:$C,0,0)</f>
        <v>35500</v>
      </c>
      <c r="BT54">
        <f t="shared" si="26"/>
        <v>6390</v>
      </c>
      <c r="BU54">
        <f t="shared" si="27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28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29"/>
        <v>200</v>
      </c>
      <c r="CB54">
        <f t="shared" si="30"/>
        <v>43950</v>
      </c>
      <c r="CC54">
        <f>_xlfn.XLOOKUP(B54,'[8]october-2025'!$A:$A,'[8]october-2025'!$C:$C,0,0)</f>
        <v>35500</v>
      </c>
      <c r="CD54">
        <f t="shared" si="31"/>
        <v>6390</v>
      </c>
      <c r="CE54">
        <f t="shared" si="32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3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4"/>
        <v>200</v>
      </c>
      <c r="CL54">
        <f t="shared" si="35"/>
        <v>43950</v>
      </c>
      <c r="CM54">
        <f>_xlfn.XLOOKUP(B54,'[9]november-2025'!$A:$A,'[9]november-2025'!$C:$C,0,0)</f>
        <v>35500</v>
      </c>
      <c r="CN54">
        <f t="shared" si="36"/>
        <v>6390</v>
      </c>
      <c r="CO54">
        <f t="shared" si="37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38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39"/>
        <v>200</v>
      </c>
      <c r="CV54">
        <f t="shared" si="40"/>
        <v>43950</v>
      </c>
      <c r="CW54">
        <f>_xlfn.XLOOKUP(B54,'[10]december-2025'!$A:$A,'[10]december-2025'!$C:$C,0,0)</f>
        <v>35500</v>
      </c>
      <c r="CX54">
        <f t="shared" si="41"/>
        <v>6390</v>
      </c>
      <c r="CY54">
        <f t="shared" si="42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3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4"/>
        <v>200</v>
      </c>
      <c r="DF54">
        <f t="shared" si="45"/>
        <v>43950</v>
      </c>
      <c r="DG54">
        <f>_xlfn.XLOOKUP(B54,'[11]january-2026'!$A:$A,'[11]january-2026'!$C:$C,0,0)</f>
        <v>35500</v>
      </c>
      <c r="DH54">
        <f t="shared" si="46"/>
        <v>6390</v>
      </c>
      <c r="DI54">
        <f t="shared" si="47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48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49"/>
        <v>200</v>
      </c>
      <c r="DP54">
        <f t="shared" si="50"/>
        <v>43950</v>
      </c>
      <c r="DQ54">
        <f>_xlfn.XLOOKUP(B54,'[12]february-2026'!$A:$A,'[12]february-2026'!$C:$C,0,0)</f>
        <v>35500</v>
      </c>
      <c r="DR54">
        <f t="shared" si="51"/>
        <v>6390</v>
      </c>
      <c r="DS54">
        <f t="shared" si="52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3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4"/>
        <v>200</v>
      </c>
      <c r="DZ54">
        <f t="shared" si="55"/>
        <v>43950</v>
      </c>
      <c r="EA54">
        <f>_xlfn.XLOOKUP(B54,'[1]march-2025'!$A:$A,'[1]march-2025'!$J:$J,0,0)</f>
        <v>0</v>
      </c>
      <c r="EB54">
        <f>_xlfn.XLOOKUP(B54,'[2]april-2025'!$A:$A,'[2]april-2025'!$J:$J,0,0)</f>
        <v>0</v>
      </c>
      <c r="EC54">
        <f>_xlfn.XLOOKUP(B54,'[3]may-2025'!$A:$A,'[3]may-2025'!$J:$J,0,0)</f>
        <v>0</v>
      </c>
      <c r="ED54">
        <f>_xlfn.XLOOKUP(B54,'[4]june-2025'!$A:$A,'[4]june-2025'!$J:$J,0,0)</f>
        <v>0</v>
      </c>
      <c r="EE54">
        <f>_xlfn.XLOOKUP(B54,'[5]july-2025'!$A:$A,'[5]july-2025'!$J:$J,0,0)</f>
        <v>0</v>
      </c>
      <c r="EF54">
        <f>_xlfn.XLOOKUP(B54,'[6]august-2025'!$A:$A,'[6]august-2025'!$J:$J,0,0)</f>
        <v>0</v>
      </c>
      <c r="EG54">
        <f>_xlfn.XLOOKUP(B54,'[7]september-2025'!$A:$A,'[7]september-2025'!$J:$J,0,0)</f>
        <v>0</v>
      </c>
      <c r="EH54">
        <f>_xlfn.XLOOKUP(B54,'[8]october-2025'!$A:$A,'[8]october-2025'!$J:$J,0,0)</f>
        <v>0</v>
      </c>
      <c r="EI54">
        <f>_xlfn.XLOOKUP(C54,'[9]november-2025'!$A:$A,'[9]november-2025'!$J:$J,0,0)</f>
        <v>0</v>
      </c>
      <c r="EJ54">
        <f>_xlfn.XLOOKUP(B54,'[10]december-2025'!$A:$A,'[10]december-2025'!$J:$J,0,0)</f>
        <v>0</v>
      </c>
      <c r="EK54">
        <f>_xlfn.XLOOKUP(B54,'[11]january-2026'!$A:$A,'[11]january-2026'!$J:$J,0,0)</f>
        <v>0</v>
      </c>
      <c r="EL54">
        <f>_xlfn.XLOOKUP(B54,'[12]february-2026'!$A:$A,'[12]february-2026'!$J:$J,0,0)</f>
        <v>0</v>
      </c>
      <c r="EM54">
        <f t="shared" si="106"/>
        <v>0</v>
      </c>
      <c r="EN54">
        <f t="shared" si="56"/>
        <v>560020</v>
      </c>
      <c r="EO54">
        <f t="shared" si="57"/>
        <v>2400</v>
      </c>
      <c r="EP54">
        <f t="shared" si="58"/>
        <v>50000</v>
      </c>
      <c r="EQ54">
        <v>0</v>
      </c>
      <c r="ER54">
        <f t="shared" si="107"/>
        <v>507620</v>
      </c>
      <c r="ES54">
        <f t="shared" si="59"/>
        <v>30000</v>
      </c>
      <c r="ET54">
        <f t="shared" si="60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1"/>
        <v>30000</v>
      </c>
      <c r="FF54">
        <f t="shared" si="62"/>
        <v>30000</v>
      </c>
      <c r="FG54">
        <f t="shared" si="63"/>
        <v>477620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4"/>
        <v>0</v>
      </c>
      <c r="FP54">
        <f t="shared" si="65"/>
        <v>477620</v>
      </c>
      <c r="FQ54">
        <f t="shared" si="66"/>
        <v>11381</v>
      </c>
      <c r="FR54">
        <f t="shared" si="67"/>
        <v>0</v>
      </c>
      <c r="FS54">
        <f t="shared" si="68"/>
        <v>11381</v>
      </c>
      <c r="FT54">
        <f t="shared" si="69"/>
        <v>0</v>
      </c>
      <c r="FU54">
        <f t="shared" si="70"/>
        <v>0</v>
      </c>
      <c r="FV54">
        <f t="shared" si="71"/>
        <v>0</v>
      </c>
      <c r="FW54">
        <v>0</v>
      </c>
      <c r="FX54">
        <f t="shared" si="72"/>
        <v>0</v>
      </c>
      <c r="FY54" t="b">
        <f t="shared" si="73"/>
        <v>1</v>
      </c>
      <c r="FZ54">
        <f t="shared" ca="1" si="74"/>
        <v>675</v>
      </c>
      <c r="GA54">
        <f t="shared" ca="1" si="75"/>
        <v>560695</v>
      </c>
      <c r="GB54">
        <f t="shared" si="76"/>
        <v>75000</v>
      </c>
      <c r="GC54">
        <f t="shared" ca="1" si="77"/>
        <v>485695</v>
      </c>
      <c r="GD54">
        <f t="shared" ca="1" si="78"/>
        <v>0</v>
      </c>
      <c r="GE54">
        <f t="shared" ca="1" si="79"/>
        <v>0</v>
      </c>
      <c r="GF54">
        <f t="shared" ca="1" si="80"/>
        <v>0</v>
      </c>
      <c r="GG54">
        <f t="shared" ca="1" si="81"/>
        <v>0</v>
      </c>
      <c r="GH54">
        <f t="shared" ca="1" si="82"/>
        <v>0</v>
      </c>
      <c r="GI54">
        <f t="shared" ca="1" si="83"/>
        <v>0</v>
      </c>
      <c r="GJ54">
        <f t="shared" ca="1" si="84"/>
        <v>0</v>
      </c>
      <c r="GK54">
        <f t="shared" ca="1" si="85"/>
        <v>0</v>
      </c>
      <c r="GL54">
        <f t="shared" ca="1" si="86"/>
        <v>0</v>
      </c>
      <c r="GM54">
        <f t="shared" ca="1" si="87"/>
        <v>0</v>
      </c>
      <c r="GN54">
        <f t="shared" ca="1" si="88"/>
        <v>85695</v>
      </c>
      <c r="GO54">
        <f t="shared" ca="1" si="89"/>
        <v>4284.75</v>
      </c>
      <c r="GP54">
        <f t="shared" ca="1" si="90"/>
        <v>4285</v>
      </c>
      <c r="GQ54">
        <f t="shared" ca="1" si="91"/>
        <v>0</v>
      </c>
      <c r="GR54">
        <f t="shared" ca="1" si="92"/>
        <v>0</v>
      </c>
      <c r="GS54">
        <f t="shared" ca="1" si="93"/>
        <v>4285</v>
      </c>
      <c r="GT54">
        <f t="shared" ca="1" si="94"/>
        <v>0</v>
      </c>
      <c r="GU54" t="b">
        <f t="shared" ca="1" si="95"/>
        <v>0</v>
      </c>
      <c r="GV54">
        <f t="shared" ca="1" si="96"/>
        <v>0</v>
      </c>
      <c r="GW54">
        <f t="shared" ca="1" si="97"/>
        <v>4285</v>
      </c>
      <c r="GX54">
        <f t="shared" ca="1" si="98"/>
        <v>0</v>
      </c>
      <c r="GY54">
        <f t="shared" ca="1" si="99"/>
        <v>0</v>
      </c>
      <c r="GZ54">
        <f t="shared" ca="1" si="100"/>
        <v>0</v>
      </c>
    </row>
    <row r="55" spans="1:208" x14ac:dyDescent="0.3">
      <c r="A55">
        <f>_xlfn.AGGREGATE(3,5,$B$2:B55)</f>
        <v>54</v>
      </c>
      <c r="B55" t="s">
        <v>225</v>
      </c>
      <c r="C55" t="s">
        <v>226</v>
      </c>
      <c r="D55" t="s">
        <v>763</v>
      </c>
      <c r="E55" t="s">
        <v>831</v>
      </c>
      <c r="F55" t="s">
        <v>956</v>
      </c>
      <c r="G55" t="s">
        <v>896</v>
      </c>
      <c r="H55">
        <f t="shared" si="19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1"/>
        <v>200</v>
      </c>
      <c r="S55">
        <f t="shared" si="102"/>
        <v>39010</v>
      </c>
      <c r="T55">
        <f>_xlfn.XLOOKUP(B55,'[2]april-2025'!$A:$A,'[2]april-2025'!$C:$C,0,0)</f>
        <v>33500</v>
      </c>
      <c r="U55">
        <f t="shared" si="4"/>
        <v>6030</v>
      </c>
      <c r="V55">
        <f t="shared" si="5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103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6"/>
        <v>200</v>
      </c>
      <c r="AC55">
        <f t="shared" si="7"/>
        <v>40350</v>
      </c>
      <c r="AD55">
        <f>_xlfn.XLOOKUP(B55,'[3]may-2025'!$A:$A,'[3]may-2025'!$C:$C,0,0)</f>
        <v>33500</v>
      </c>
      <c r="AE55">
        <f t="shared" si="8"/>
        <v>6030</v>
      </c>
      <c r="AF55">
        <f t="shared" si="9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04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0"/>
        <v>200</v>
      </c>
      <c r="AM55">
        <f t="shared" si="11"/>
        <v>40350</v>
      </c>
      <c r="AN55">
        <f>_xlfn.XLOOKUP(B55,'[4]june-2025'!$A:$A,'[4]june-2025'!$C:$C,0,0)</f>
        <v>33500</v>
      </c>
      <c r="AO55">
        <f t="shared" si="12"/>
        <v>6030</v>
      </c>
      <c r="AP55">
        <f t="shared" si="13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05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4"/>
        <v>200</v>
      </c>
      <c r="AW55">
        <f t="shared" si="15"/>
        <v>40350</v>
      </c>
      <c r="AX55">
        <f>_xlfn.XLOOKUP(B55,'[5]july-2025'!$A:$A,'[5]july-2025'!$C:$C,0,0)</f>
        <v>34500</v>
      </c>
      <c r="AY55">
        <f t="shared" si="16"/>
        <v>6210</v>
      </c>
      <c r="AZ55">
        <v>0</v>
      </c>
      <c r="BA55">
        <f t="shared" si="17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18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19"/>
        <v>200</v>
      </c>
      <c r="BH55">
        <f t="shared" si="20"/>
        <v>41650</v>
      </c>
      <c r="BI55">
        <f>_xlfn.XLOOKUP(B55,'[6]august-2025'!$A:$A,'[6]august-2025'!$C:$C,0,0)</f>
        <v>34500</v>
      </c>
      <c r="BJ55">
        <f t="shared" si="21"/>
        <v>6210</v>
      </c>
      <c r="BK55">
        <f t="shared" si="22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3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4"/>
        <v>200</v>
      </c>
      <c r="BR55">
        <f t="shared" si="25"/>
        <v>41650</v>
      </c>
      <c r="BS55">
        <f>_xlfn.XLOOKUP(B55,'[7]september-2025'!$A:$A,'[7]september-2025'!$C:$C,0,0)</f>
        <v>34500</v>
      </c>
      <c r="BT55">
        <f t="shared" si="26"/>
        <v>6210</v>
      </c>
      <c r="BU55">
        <f t="shared" si="27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28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29"/>
        <v>200</v>
      </c>
      <c r="CB55">
        <f t="shared" si="30"/>
        <v>41650</v>
      </c>
      <c r="CC55">
        <f>_xlfn.XLOOKUP(B55,'[8]october-2025'!$A:$A,'[8]october-2025'!$C:$C,0,0)</f>
        <v>34500</v>
      </c>
      <c r="CD55">
        <f t="shared" si="31"/>
        <v>6210</v>
      </c>
      <c r="CE55">
        <f t="shared" si="32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3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4"/>
        <v>200</v>
      </c>
      <c r="CL55">
        <f t="shared" si="35"/>
        <v>41650</v>
      </c>
      <c r="CM55">
        <f>_xlfn.XLOOKUP(B55,'[9]november-2025'!$A:$A,'[9]november-2025'!$C:$C,0,0)</f>
        <v>34500</v>
      </c>
      <c r="CN55">
        <f t="shared" si="36"/>
        <v>6210</v>
      </c>
      <c r="CO55">
        <f t="shared" si="37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38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39"/>
        <v>200</v>
      </c>
      <c r="CV55">
        <f t="shared" si="40"/>
        <v>41650</v>
      </c>
      <c r="CW55">
        <f>_xlfn.XLOOKUP(B55,'[10]december-2025'!$A:$A,'[10]december-2025'!$C:$C,0,0)</f>
        <v>34500</v>
      </c>
      <c r="CX55">
        <f t="shared" si="41"/>
        <v>6210</v>
      </c>
      <c r="CY55">
        <f t="shared" si="42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3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4"/>
        <v>200</v>
      </c>
      <c r="DF55">
        <f t="shared" si="45"/>
        <v>41650</v>
      </c>
      <c r="DG55">
        <f>_xlfn.XLOOKUP(B55,'[11]january-2026'!$A:$A,'[11]january-2026'!$C:$C,0,0)</f>
        <v>34500</v>
      </c>
      <c r="DH55">
        <f t="shared" si="46"/>
        <v>6210</v>
      </c>
      <c r="DI55">
        <f t="shared" si="47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48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49"/>
        <v>200</v>
      </c>
      <c r="DP55">
        <f t="shared" si="50"/>
        <v>41650</v>
      </c>
      <c r="DQ55">
        <f>_xlfn.XLOOKUP(B55,'[12]february-2026'!$A:$A,'[12]february-2026'!$C:$C,0,0)</f>
        <v>34500</v>
      </c>
      <c r="DR55">
        <f t="shared" si="51"/>
        <v>6210</v>
      </c>
      <c r="DS55">
        <f t="shared" si="52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3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4"/>
        <v>200</v>
      </c>
      <c r="DZ55">
        <f t="shared" si="55"/>
        <v>41650</v>
      </c>
      <c r="EA55">
        <f>_xlfn.XLOOKUP(B55,'[1]march-2025'!$A:$A,'[1]march-2025'!$J:$J,0,0)</f>
        <v>0</v>
      </c>
      <c r="EB55">
        <f>_xlfn.XLOOKUP(B55,'[2]april-2025'!$A:$A,'[2]april-2025'!$J:$J,0,0)</f>
        <v>0</v>
      </c>
      <c r="EC55">
        <f>_xlfn.XLOOKUP(B55,'[3]may-2025'!$A:$A,'[3]may-2025'!$J:$J,0,0)</f>
        <v>0</v>
      </c>
      <c r="ED55">
        <f>_xlfn.XLOOKUP(B55,'[4]june-2025'!$A:$A,'[4]june-2025'!$J:$J,0,0)</f>
        <v>0</v>
      </c>
      <c r="EE55">
        <f>_xlfn.XLOOKUP(B55,'[5]july-2025'!$A:$A,'[5]july-2025'!$J:$J,0,0)</f>
        <v>0</v>
      </c>
      <c r="EF55">
        <f>_xlfn.XLOOKUP(B55,'[6]august-2025'!$A:$A,'[6]august-2025'!$J:$J,0,0)</f>
        <v>0</v>
      </c>
      <c r="EG55">
        <f>_xlfn.XLOOKUP(B55,'[7]september-2025'!$A:$A,'[7]september-2025'!$J:$J,0,0)</f>
        <v>0</v>
      </c>
      <c r="EH55">
        <f>_xlfn.XLOOKUP(B55,'[8]october-2025'!$A:$A,'[8]october-2025'!$J:$J,0,0)</f>
        <v>0</v>
      </c>
      <c r="EI55">
        <f>_xlfn.XLOOKUP(C55,'[9]november-2025'!$A:$A,'[9]november-2025'!$J:$J,0,0)</f>
        <v>0</v>
      </c>
      <c r="EJ55">
        <f>_xlfn.XLOOKUP(B55,'[10]december-2025'!$A:$A,'[10]december-2025'!$J:$J,0,0)</f>
        <v>0</v>
      </c>
      <c r="EK55">
        <f>_xlfn.XLOOKUP(B55,'[11]january-2026'!$A:$A,'[11]january-2026'!$J:$J,0,0)</f>
        <v>0</v>
      </c>
      <c r="EL55">
        <f>_xlfn.XLOOKUP(B55,'[12]february-2026'!$A:$A,'[12]february-2026'!$J:$J,0,0)</f>
        <v>0</v>
      </c>
      <c r="EM55">
        <f t="shared" si="106"/>
        <v>0</v>
      </c>
      <c r="EN55">
        <f t="shared" si="56"/>
        <v>544460</v>
      </c>
      <c r="EO55">
        <f t="shared" si="57"/>
        <v>2400</v>
      </c>
      <c r="EP55">
        <f t="shared" si="58"/>
        <v>50000</v>
      </c>
      <c r="EQ55">
        <v>0</v>
      </c>
      <c r="ER55">
        <f t="shared" si="107"/>
        <v>492060</v>
      </c>
      <c r="ES55">
        <f t="shared" si="59"/>
        <v>42000</v>
      </c>
      <c r="ET55">
        <f t="shared" si="60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1"/>
        <v>42000</v>
      </c>
      <c r="FF55">
        <f t="shared" si="62"/>
        <v>42000</v>
      </c>
      <c r="FG55">
        <f t="shared" si="63"/>
        <v>450060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4"/>
        <v>0</v>
      </c>
      <c r="FP55">
        <f t="shared" si="65"/>
        <v>450060</v>
      </c>
      <c r="FQ55">
        <f t="shared" si="66"/>
        <v>10003</v>
      </c>
      <c r="FR55">
        <f t="shared" si="67"/>
        <v>0</v>
      </c>
      <c r="FS55">
        <f t="shared" si="68"/>
        <v>10003</v>
      </c>
      <c r="FT55">
        <f t="shared" si="69"/>
        <v>0</v>
      </c>
      <c r="FU55">
        <f t="shared" si="70"/>
        <v>0</v>
      </c>
      <c r="FV55">
        <f t="shared" si="71"/>
        <v>0</v>
      </c>
      <c r="FW55">
        <v>0</v>
      </c>
      <c r="FX55">
        <f t="shared" si="72"/>
        <v>0</v>
      </c>
      <c r="FY55" t="b">
        <f t="shared" si="73"/>
        <v>1</v>
      </c>
      <c r="FZ55">
        <f t="shared" ca="1" si="74"/>
        <v>586</v>
      </c>
      <c r="GA55">
        <f t="shared" ca="1" si="75"/>
        <v>545046</v>
      </c>
      <c r="GB55">
        <f t="shared" si="76"/>
        <v>75000</v>
      </c>
      <c r="GC55">
        <f t="shared" ca="1" si="77"/>
        <v>470046</v>
      </c>
      <c r="GD55">
        <f t="shared" ca="1" si="78"/>
        <v>0</v>
      </c>
      <c r="GE55">
        <f t="shared" ca="1" si="79"/>
        <v>0</v>
      </c>
      <c r="GF55">
        <f t="shared" ca="1" si="80"/>
        <v>0</v>
      </c>
      <c r="GG55">
        <f t="shared" ca="1" si="81"/>
        <v>0</v>
      </c>
      <c r="GH55">
        <f t="shared" ca="1" si="82"/>
        <v>0</v>
      </c>
      <c r="GI55">
        <f t="shared" ca="1" si="83"/>
        <v>0</v>
      </c>
      <c r="GJ55">
        <f t="shared" ca="1" si="84"/>
        <v>0</v>
      </c>
      <c r="GK55">
        <f t="shared" ca="1" si="85"/>
        <v>0</v>
      </c>
      <c r="GL55">
        <f t="shared" ca="1" si="86"/>
        <v>0</v>
      </c>
      <c r="GM55">
        <f t="shared" ca="1" si="87"/>
        <v>0</v>
      </c>
      <c r="GN55">
        <f t="shared" ca="1" si="88"/>
        <v>70046</v>
      </c>
      <c r="GO55">
        <f t="shared" ca="1" si="89"/>
        <v>3502.3</v>
      </c>
      <c r="GP55">
        <f t="shared" ca="1" si="90"/>
        <v>3502</v>
      </c>
      <c r="GQ55">
        <f t="shared" ca="1" si="91"/>
        <v>0</v>
      </c>
      <c r="GR55">
        <f t="shared" ca="1" si="92"/>
        <v>0</v>
      </c>
      <c r="GS55">
        <f t="shared" ca="1" si="93"/>
        <v>3502</v>
      </c>
      <c r="GT55">
        <f t="shared" ca="1" si="94"/>
        <v>0</v>
      </c>
      <c r="GU55" t="b">
        <f t="shared" ca="1" si="95"/>
        <v>0</v>
      </c>
      <c r="GV55">
        <f t="shared" ca="1" si="96"/>
        <v>0</v>
      </c>
      <c r="GW55">
        <f t="shared" ca="1" si="97"/>
        <v>3502</v>
      </c>
      <c r="GX55">
        <f t="shared" ca="1" si="98"/>
        <v>0</v>
      </c>
      <c r="GY55">
        <f t="shared" ca="1" si="99"/>
        <v>0</v>
      </c>
      <c r="GZ55">
        <f t="shared" ca="1" si="100"/>
        <v>0</v>
      </c>
    </row>
    <row r="56" spans="1:208" x14ac:dyDescent="0.3">
      <c r="A56">
        <f>_xlfn.AGGREGATE(3,5,$B$2:B56)</f>
        <v>55</v>
      </c>
      <c r="B56" t="s">
        <v>227</v>
      </c>
      <c r="C56" t="s">
        <v>228</v>
      </c>
      <c r="D56" t="s">
        <v>763</v>
      </c>
      <c r="E56" t="s">
        <v>830</v>
      </c>
      <c r="F56" t="s">
        <v>956</v>
      </c>
      <c r="G56" t="s">
        <v>878</v>
      </c>
      <c r="H56">
        <f t="shared" si="19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1"/>
        <v>150</v>
      </c>
      <c r="S56">
        <f t="shared" si="102"/>
        <v>36666</v>
      </c>
      <c r="T56">
        <f>_xlfn.XLOOKUP(B56,'[2]april-2025'!$A:$A,'[2]april-2025'!$C:$C,0,0)</f>
        <v>31600</v>
      </c>
      <c r="U56">
        <f t="shared" si="4"/>
        <v>5688</v>
      </c>
      <c r="V56">
        <f t="shared" si="5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103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6"/>
        <v>200</v>
      </c>
      <c r="AC56">
        <f t="shared" si="7"/>
        <v>37880</v>
      </c>
      <c r="AD56">
        <f>_xlfn.XLOOKUP(B56,'[3]may-2025'!$A:$A,'[3]may-2025'!$C:$C,0,0)</f>
        <v>31600</v>
      </c>
      <c r="AE56">
        <f t="shared" si="8"/>
        <v>5688</v>
      </c>
      <c r="AF56">
        <f t="shared" si="9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04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0"/>
        <v>200</v>
      </c>
      <c r="AM56">
        <f t="shared" si="11"/>
        <v>37880</v>
      </c>
      <c r="AN56">
        <f>_xlfn.XLOOKUP(B56,'[4]june-2025'!$A:$A,'[4]june-2025'!$C:$C,0,0)</f>
        <v>31600</v>
      </c>
      <c r="AO56">
        <f t="shared" si="12"/>
        <v>5688</v>
      </c>
      <c r="AP56">
        <f t="shared" si="13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05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4"/>
        <v>200</v>
      </c>
      <c r="AW56">
        <f t="shared" si="15"/>
        <v>37880</v>
      </c>
      <c r="AX56">
        <f>_xlfn.XLOOKUP(B56,'[5]july-2025'!$A:$A,'[5]july-2025'!$C:$C,0,0)</f>
        <v>32500</v>
      </c>
      <c r="AY56">
        <f t="shared" si="16"/>
        <v>5850</v>
      </c>
      <c r="AZ56">
        <v>0</v>
      </c>
      <c r="BA56">
        <f t="shared" si="17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18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19"/>
        <v>200</v>
      </c>
      <c r="BH56">
        <f t="shared" si="20"/>
        <v>39050</v>
      </c>
      <c r="BI56">
        <f>_xlfn.XLOOKUP(B56,'[6]august-2025'!$A:$A,'[6]august-2025'!$C:$C,0,0)</f>
        <v>32500</v>
      </c>
      <c r="BJ56">
        <f t="shared" si="21"/>
        <v>5850</v>
      </c>
      <c r="BK56">
        <f t="shared" si="22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3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4"/>
        <v>200</v>
      </c>
      <c r="BR56">
        <f t="shared" si="25"/>
        <v>39050</v>
      </c>
      <c r="BS56">
        <f>_xlfn.XLOOKUP(B56,'[7]september-2025'!$A:$A,'[7]september-2025'!$C:$C,0,0)</f>
        <v>32500</v>
      </c>
      <c r="BT56">
        <f t="shared" si="26"/>
        <v>5850</v>
      </c>
      <c r="BU56">
        <f t="shared" si="27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28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29"/>
        <v>200</v>
      </c>
      <c r="CB56">
        <f t="shared" si="30"/>
        <v>39050</v>
      </c>
      <c r="CC56">
        <f>_xlfn.XLOOKUP(B56,'[8]october-2025'!$A:$A,'[8]october-2025'!$C:$C,0,0)</f>
        <v>32500</v>
      </c>
      <c r="CD56">
        <f t="shared" si="31"/>
        <v>5850</v>
      </c>
      <c r="CE56">
        <f t="shared" si="32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3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4"/>
        <v>200</v>
      </c>
      <c r="CL56">
        <f t="shared" si="35"/>
        <v>39050</v>
      </c>
      <c r="CM56">
        <f>_xlfn.XLOOKUP(B56,'[9]november-2025'!$A:$A,'[9]november-2025'!$C:$C,0,0)</f>
        <v>32500</v>
      </c>
      <c r="CN56">
        <f t="shared" si="36"/>
        <v>5850</v>
      </c>
      <c r="CO56">
        <f t="shared" si="37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38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39"/>
        <v>200</v>
      </c>
      <c r="CV56">
        <f t="shared" si="40"/>
        <v>39050</v>
      </c>
      <c r="CW56">
        <f>_xlfn.XLOOKUP(B56,'[10]december-2025'!$A:$A,'[10]december-2025'!$C:$C,0,0)</f>
        <v>32500</v>
      </c>
      <c r="CX56">
        <f t="shared" si="41"/>
        <v>5850</v>
      </c>
      <c r="CY56">
        <f t="shared" si="42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3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4"/>
        <v>200</v>
      </c>
      <c r="DF56">
        <f t="shared" si="45"/>
        <v>39050</v>
      </c>
      <c r="DG56">
        <f>_xlfn.XLOOKUP(B56,'[11]january-2026'!$A:$A,'[11]january-2026'!$C:$C,0,0)</f>
        <v>32500</v>
      </c>
      <c r="DH56">
        <f t="shared" si="46"/>
        <v>5850</v>
      </c>
      <c r="DI56">
        <f t="shared" si="47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48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49"/>
        <v>200</v>
      </c>
      <c r="DP56">
        <f t="shared" si="50"/>
        <v>39050</v>
      </c>
      <c r="DQ56">
        <f>_xlfn.XLOOKUP(B56,'[12]february-2026'!$A:$A,'[12]february-2026'!$C:$C,0,0)</f>
        <v>32500</v>
      </c>
      <c r="DR56">
        <f t="shared" si="51"/>
        <v>5850</v>
      </c>
      <c r="DS56">
        <f t="shared" si="52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3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4"/>
        <v>200</v>
      </c>
      <c r="DZ56">
        <f t="shared" si="55"/>
        <v>39050</v>
      </c>
      <c r="EA56">
        <f>_xlfn.XLOOKUP(B56,'[1]march-2025'!$A:$A,'[1]march-2025'!$J:$J,0,0)</f>
        <v>0</v>
      </c>
      <c r="EB56">
        <f>_xlfn.XLOOKUP(B56,'[2]april-2025'!$A:$A,'[2]april-2025'!$J:$J,0,0)</f>
        <v>0</v>
      </c>
      <c r="EC56">
        <f>_xlfn.XLOOKUP(B56,'[3]may-2025'!$A:$A,'[3]may-2025'!$J:$J,0,0)</f>
        <v>0</v>
      </c>
      <c r="ED56">
        <f>_xlfn.XLOOKUP(B56,'[4]june-2025'!$A:$A,'[4]june-2025'!$J:$J,0,0)</f>
        <v>0</v>
      </c>
      <c r="EE56">
        <f>_xlfn.XLOOKUP(B56,'[5]july-2025'!$A:$A,'[5]july-2025'!$J:$J,0,0)</f>
        <v>0</v>
      </c>
      <c r="EF56">
        <f>_xlfn.XLOOKUP(B56,'[6]august-2025'!$A:$A,'[6]august-2025'!$J:$J,0,0)</f>
        <v>0</v>
      </c>
      <c r="EG56">
        <f>_xlfn.XLOOKUP(B56,'[7]september-2025'!$A:$A,'[7]september-2025'!$J:$J,0,0)</f>
        <v>0</v>
      </c>
      <c r="EH56">
        <f>_xlfn.XLOOKUP(B56,'[8]october-2025'!$A:$A,'[8]october-2025'!$J:$J,0,0)</f>
        <v>0</v>
      </c>
      <c r="EI56">
        <f>_xlfn.XLOOKUP(C56,'[9]november-2025'!$A:$A,'[9]november-2025'!$J:$J,0,0)</f>
        <v>0</v>
      </c>
      <c r="EJ56">
        <f>_xlfn.XLOOKUP(B56,'[10]december-2025'!$A:$A,'[10]december-2025'!$J:$J,0,0)</f>
        <v>0</v>
      </c>
      <c r="EK56">
        <f>_xlfn.XLOOKUP(B56,'[11]january-2026'!$A:$A,'[11]january-2026'!$J:$J,0,0)</f>
        <v>0</v>
      </c>
      <c r="EL56">
        <f>_xlfn.XLOOKUP(B56,'[12]february-2026'!$A:$A,'[12]february-2026'!$J:$J,0,0)</f>
        <v>0</v>
      </c>
      <c r="EM56">
        <f t="shared" si="106"/>
        <v>0</v>
      </c>
      <c r="EN56">
        <f t="shared" si="56"/>
        <v>507856</v>
      </c>
      <c r="EO56">
        <f t="shared" si="57"/>
        <v>2350</v>
      </c>
      <c r="EP56">
        <f t="shared" si="58"/>
        <v>50000</v>
      </c>
      <c r="EQ56">
        <v>0</v>
      </c>
      <c r="ER56">
        <f t="shared" si="107"/>
        <v>455506</v>
      </c>
      <c r="ES56">
        <f t="shared" si="59"/>
        <v>36000</v>
      </c>
      <c r="ET56">
        <f t="shared" si="60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1"/>
        <v>36000</v>
      </c>
      <c r="FF56">
        <f t="shared" si="62"/>
        <v>36000</v>
      </c>
      <c r="FG56">
        <f t="shared" si="63"/>
        <v>419506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4"/>
        <v>0</v>
      </c>
      <c r="FP56">
        <f t="shared" si="65"/>
        <v>419506</v>
      </c>
      <c r="FQ56">
        <f t="shared" si="66"/>
        <v>8475</v>
      </c>
      <c r="FR56">
        <f t="shared" si="67"/>
        <v>0</v>
      </c>
      <c r="FS56">
        <f t="shared" si="68"/>
        <v>8475</v>
      </c>
      <c r="FT56">
        <f t="shared" si="69"/>
        <v>0</v>
      </c>
      <c r="FU56">
        <f t="shared" si="70"/>
        <v>0</v>
      </c>
      <c r="FV56">
        <f t="shared" si="71"/>
        <v>0</v>
      </c>
      <c r="FW56">
        <v>0</v>
      </c>
      <c r="FX56">
        <f t="shared" si="72"/>
        <v>0</v>
      </c>
      <c r="FY56" t="b">
        <f t="shared" si="73"/>
        <v>1</v>
      </c>
      <c r="FZ56">
        <f t="shared" ca="1" si="74"/>
        <v>913</v>
      </c>
      <c r="GA56">
        <f t="shared" ca="1" si="75"/>
        <v>508769</v>
      </c>
      <c r="GB56">
        <f t="shared" si="76"/>
        <v>75000</v>
      </c>
      <c r="GC56">
        <f t="shared" ca="1" si="77"/>
        <v>433769</v>
      </c>
      <c r="GD56">
        <f t="shared" ca="1" si="78"/>
        <v>0</v>
      </c>
      <c r="GE56">
        <f t="shared" ca="1" si="79"/>
        <v>0</v>
      </c>
      <c r="GF56">
        <f t="shared" ca="1" si="80"/>
        <v>0</v>
      </c>
      <c r="GG56">
        <f t="shared" ca="1" si="81"/>
        <v>0</v>
      </c>
      <c r="GH56">
        <f t="shared" ca="1" si="82"/>
        <v>0</v>
      </c>
      <c r="GI56">
        <f t="shared" ca="1" si="83"/>
        <v>0</v>
      </c>
      <c r="GJ56">
        <f t="shared" ca="1" si="84"/>
        <v>0</v>
      </c>
      <c r="GK56">
        <f t="shared" ca="1" si="85"/>
        <v>0</v>
      </c>
      <c r="GL56">
        <f t="shared" ca="1" si="86"/>
        <v>0</v>
      </c>
      <c r="GM56">
        <f t="shared" ca="1" si="87"/>
        <v>0</v>
      </c>
      <c r="GN56">
        <f t="shared" ca="1" si="88"/>
        <v>33769</v>
      </c>
      <c r="GO56">
        <f t="shared" ca="1" si="89"/>
        <v>1688.45</v>
      </c>
      <c r="GP56">
        <f t="shared" ca="1" si="90"/>
        <v>1688</v>
      </c>
      <c r="GQ56">
        <f t="shared" ca="1" si="91"/>
        <v>0</v>
      </c>
      <c r="GR56">
        <f t="shared" ca="1" si="92"/>
        <v>0</v>
      </c>
      <c r="GS56">
        <f t="shared" ca="1" si="93"/>
        <v>1688</v>
      </c>
      <c r="GT56">
        <f t="shared" ca="1" si="94"/>
        <v>0</v>
      </c>
      <c r="GU56" t="b">
        <f t="shared" ca="1" si="95"/>
        <v>0</v>
      </c>
      <c r="GV56">
        <f t="shared" ca="1" si="96"/>
        <v>0</v>
      </c>
      <c r="GW56">
        <f t="shared" ca="1" si="97"/>
        <v>1688</v>
      </c>
      <c r="GX56">
        <f t="shared" ca="1" si="98"/>
        <v>0</v>
      </c>
      <c r="GY56">
        <f t="shared" ca="1" si="99"/>
        <v>0</v>
      </c>
      <c r="GZ56">
        <f t="shared" ca="1" si="100"/>
        <v>0</v>
      </c>
    </row>
    <row r="57" spans="1:208" x14ac:dyDescent="0.3">
      <c r="A57">
        <f>_xlfn.AGGREGATE(3,5,$B$2:B57)</f>
        <v>56</v>
      </c>
      <c r="B57" t="s">
        <v>229</v>
      </c>
      <c r="C57" t="s">
        <v>230</v>
      </c>
      <c r="D57" t="s">
        <v>763</v>
      </c>
      <c r="E57" t="s">
        <v>830</v>
      </c>
      <c r="F57" t="s">
        <v>956</v>
      </c>
      <c r="G57" t="s">
        <v>896</v>
      </c>
      <c r="H57">
        <f t="shared" si="19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1"/>
        <v>200</v>
      </c>
      <c r="S57">
        <f t="shared" si="102"/>
        <v>40010</v>
      </c>
      <c r="T57">
        <f>_xlfn.XLOOKUP(B57,'[2]april-2025'!$A:$A,'[2]april-2025'!$C:$C,0,0)</f>
        <v>33500</v>
      </c>
      <c r="U57">
        <f t="shared" si="4"/>
        <v>6030</v>
      </c>
      <c r="V57">
        <f t="shared" si="5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103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6"/>
        <v>200</v>
      </c>
      <c r="AC57">
        <f t="shared" si="7"/>
        <v>41350</v>
      </c>
      <c r="AD57">
        <f>_xlfn.XLOOKUP(B57,'[3]may-2025'!$A:$A,'[3]may-2025'!$C:$C,0,0)</f>
        <v>33500</v>
      </c>
      <c r="AE57">
        <f t="shared" si="8"/>
        <v>6030</v>
      </c>
      <c r="AF57">
        <f t="shared" si="9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04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0"/>
        <v>200</v>
      </c>
      <c r="AM57">
        <f t="shared" si="11"/>
        <v>41350</v>
      </c>
      <c r="AN57">
        <f>_xlfn.XLOOKUP(B57,'[4]june-2025'!$A:$A,'[4]june-2025'!$C:$C,0,0)</f>
        <v>33500</v>
      </c>
      <c r="AO57">
        <f t="shared" si="12"/>
        <v>6030</v>
      </c>
      <c r="AP57">
        <f t="shared" si="13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05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4"/>
        <v>200</v>
      </c>
      <c r="AW57">
        <f t="shared" si="15"/>
        <v>41350</v>
      </c>
      <c r="AX57">
        <f>_xlfn.XLOOKUP(B57,'[5]july-2025'!$A:$A,'[5]july-2025'!$C:$C,0,0)</f>
        <v>34500</v>
      </c>
      <c r="AY57">
        <f t="shared" si="16"/>
        <v>6210</v>
      </c>
      <c r="AZ57">
        <v>0</v>
      </c>
      <c r="BA57">
        <f t="shared" si="17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18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19"/>
        <v>200</v>
      </c>
      <c r="BH57">
        <f t="shared" si="20"/>
        <v>42650</v>
      </c>
      <c r="BI57">
        <f>_xlfn.XLOOKUP(B57,'[6]august-2025'!$A:$A,'[6]august-2025'!$C:$C,0,0)</f>
        <v>34500</v>
      </c>
      <c r="BJ57">
        <f t="shared" si="21"/>
        <v>6210</v>
      </c>
      <c r="BK57">
        <f t="shared" si="22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3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4"/>
        <v>200</v>
      </c>
      <c r="BR57">
        <f t="shared" si="25"/>
        <v>42650</v>
      </c>
      <c r="BS57">
        <f>_xlfn.XLOOKUP(B57,'[7]september-2025'!$A:$A,'[7]september-2025'!$C:$C,0,0)</f>
        <v>34500</v>
      </c>
      <c r="BT57">
        <f t="shared" si="26"/>
        <v>6210</v>
      </c>
      <c r="BU57">
        <f t="shared" si="27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28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29"/>
        <v>200</v>
      </c>
      <c r="CB57">
        <f t="shared" si="30"/>
        <v>42650</v>
      </c>
      <c r="CC57">
        <f>_xlfn.XLOOKUP(B57,'[8]october-2025'!$A:$A,'[8]october-2025'!$C:$C,0,0)</f>
        <v>34500</v>
      </c>
      <c r="CD57">
        <f t="shared" si="31"/>
        <v>6210</v>
      </c>
      <c r="CE57">
        <f t="shared" si="32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3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4"/>
        <v>200</v>
      </c>
      <c r="CL57">
        <f t="shared" si="35"/>
        <v>42650</v>
      </c>
      <c r="CM57">
        <f>_xlfn.XLOOKUP(B57,'[9]november-2025'!$A:$A,'[9]november-2025'!$C:$C,0,0)</f>
        <v>34500</v>
      </c>
      <c r="CN57">
        <f t="shared" si="36"/>
        <v>6210</v>
      </c>
      <c r="CO57">
        <f t="shared" si="37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38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39"/>
        <v>200</v>
      </c>
      <c r="CV57">
        <f t="shared" si="40"/>
        <v>42650</v>
      </c>
      <c r="CW57">
        <f>_xlfn.XLOOKUP(B57,'[10]december-2025'!$A:$A,'[10]december-2025'!$C:$C,0,0)</f>
        <v>34500</v>
      </c>
      <c r="CX57">
        <f t="shared" si="41"/>
        <v>6210</v>
      </c>
      <c r="CY57">
        <f t="shared" si="42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3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4"/>
        <v>200</v>
      </c>
      <c r="DF57">
        <f t="shared" si="45"/>
        <v>42650</v>
      </c>
      <c r="DG57">
        <f>_xlfn.XLOOKUP(B57,'[11]january-2026'!$A:$A,'[11]january-2026'!$C:$C,0,0)</f>
        <v>34500</v>
      </c>
      <c r="DH57">
        <f t="shared" si="46"/>
        <v>6210</v>
      </c>
      <c r="DI57">
        <f t="shared" si="47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48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49"/>
        <v>200</v>
      </c>
      <c r="DP57">
        <f t="shared" si="50"/>
        <v>42650</v>
      </c>
      <c r="DQ57">
        <f>_xlfn.XLOOKUP(B57,'[12]february-2026'!$A:$A,'[12]february-2026'!$C:$C,0,0)</f>
        <v>34500</v>
      </c>
      <c r="DR57">
        <f t="shared" si="51"/>
        <v>6210</v>
      </c>
      <c r="DS57">
        <f t="shared" si="52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3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4"/>
        <v>200</v>
      </c>
      <c r="DZ57">
        <f t="shared" si="55"/>
        <v>42650</v>
      </c>
      <c r="EA57">
        <f>_xlfn.XLOOKUP(B57,'[1]march-2025'!$A:$A,'[1]march-2025'!$J:$J,0,0)</f>
        <v>0</v>
      </c>
      <c r="EB57">
        <f>_xlfn.XLOOKUP(B57,'[2]april-2025'!$A:$A,'[2]april-2025'!$J:$J,0,0)</f>
        <v>0</v>
      </c>
      <c r="EC57">
        <f>_xlfn.XLOOKUP(B57,'[3]may-2025'!$A:$A,'[3]may-2025'!$J:$J,0,0)</f>
        <v>0</v>
      </c>
      <c r="ED57">
        <f>_xlfn.XLOOKUP(B57,'[4]june-2025'!$A:$A,'[4]june-2025'!$J:$J,0,0)</f>
        <v>0</v>
      </c>
      <c r="EE57">
        <f>_xlfn.XLOOKUP(B57,'[5]july-2025'!$A:$A,'[5]july-2025'!$J:$J,0,0)</f>
        <v>0</v>
      </c>
      <c r="EF57">
        <f>_xlfn.XLOOKUP(B57,'[6]august-2025'!$A:$A,'[6]august-2025'!$J:$J,0,0)</f>
        <v>0</v>
      </c>
      <c r="EG57">
        <f>_xlfn.XLOOKUP(B57,'[7]september-2025'!$A:$A,'[7]september-2025'!$J:$J,0,0)</f>
        <v>0</v>
      </c>
      <c r="EH57">
        <f>_xlfn.XLOOKUP(B57,'[8]october-2025'!$A:$A,'[8]october-2025'!$J:$J,0,0)</f>
        <v>0</v>
      </c>
      <c r="EI57">
        <f>_xlfn.XLOOKUP(C57,'[9]november-2025'!$A:$A,'[9]november-2025'!$J:$J,0,0)</f>
        <v>0</v>
      </c>
      <c r="EJ57">
        <f>_xlfn.XLOOKUP(B57,'[10]december-2025'!$A:$A,'[10]december-2025'!$J:$J,0,0)</f>
        <v>0</v>
      </c>
      <c r="EK57">
        <f>_xlfn.XLOOKUP(B57,'[11]january-2026'!$A:$A,'[11]january-2026'!$J:$J,0,0)</f>
        <v>0</v>
      </c>
      <c r="EL57">
        <f>_xlfn.XLOOKUP(B57,'[12]february-2026'!$A:$A,'[12]february-2026'!$J:$J,0,0)</f>
        <v>0</v>
      </c>
      <c r="EM57">
        <f t="shared" si="106"/>
        <v>0</v>
      </c>
      <c r="EN57">
        <f t="shared" si="56"/>
        <v>544460</v>
      </c>
      <c r="EO57">
        <f t="shared" si="57"/>
        <v>2400</v>
      </c>
      <c r="EP57">
        <f t="shared" si="58"/>
        <v>50000</v>
      </c>
      <c r="EQ57">
        <v>0</v>
      </c>
      <c r="ER57">
        <f t="shared" si="107"/>
        <v>492060</v>
      </c>
      <c r="ES57">
        <f t="shared" si="59"/>
        <v>30000</v>
      </c>
      <c r="ET57">
        <f t="shared" si="60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1"/>
        <v>30000</v>
      </c>
      <c r="FF57">
        <f t="shared" si="62"/>
        <v>30000</v>
      </c>
      <c r="FG57">
        <f t="shared" si="63"/>
        <v>462060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4"/>
        <v>0</v>
      </c>
      <c r="FP57">
        <f t="shared" si="65"/>
        <v>462060</v>
      </c>
      <c r="FQ57">
        <f t="shared" si="66"/>
        <v>10603</v>
      </c>
      <c r="FR57">
        <f t="shared" si="67"/>
        <v>0</v>
      </c>
      <c r="FS57">
        <f t="shared" si="68"/>
        <v>10603</v>
      </c>
      <c r="FT57">
        <f t="shared" si="69"/>
        <v>0</v>
      </c>
      <c r="FU57">
        <f t="shared" si="70"/>
        <v>0</v>
      </c>
      <c r="FV57">
        <f t="shared" si="71"/>
        <v>0</v>
      </c>
      <c r="FW57">
        <v>0</v>
      </c>
      <c r="FX57">
        <f t="shared" si="72"/>
        <v>0</v>
      </c>
      <c r="FY57" t="b">
        <f t="shared" si="73"/>
        <v>1</v>
      </c>
      <c r="FZ57">
        <f t="shared" ca="1" si="74"/>
        <v>939</v>
      </c>
      <c r="GA57">
        <f t="shared" ca="1" si="75"/>
        <v>545399</v>
      </c>
      <c r="GB57">
        <f t="shared" si="76"/>
        <v>75000</v>
      </c>
      <c r="GC57">
        <f t="shared" ca="1" si="77"/>
        <v>470399</v>
      </c>
      <c r="GD57">
        <f t="shared" ca="1" si="78"/>
        <v>0</v>
      </c>
      <c r="GE57">
        <f t="shared" ca="1" si="79"/>
        <v>0</v>
      </c>
      <c r="GF57">
        <f t="shared" ca="1" si="80"/>
        <v>0</v>
      </c>
      <c r="GG57">
        <f t="shared" ca="1" si="81"/>
        <v>0</v>
      </c>
      <c r="GH57">
        <f t="shared" ca="1" si="82"/>
        <v>0</v>
      </c>
      <c r="GI57">
        <f t="shared" ca="1" si="83"/>
        <v>0</v>
      </c>
      <c r="GJ57">
        <f t="shared" ca="1" si="84"/>
        <v>0</v>
      </c>
      <c r="GK57">
        <f t="shared" ca="1" si="85"/>
        <v>0</v>
      </c>
      <c r="GL57">
        <f t="shared" ca="1" si="86"/>
        <v>0</v>
      </c>
      <c r="GM57">
        <f t="shared" ca="1" si="87"/>
        <v>0</v>
      </c>
      <c r="GN57">
        <f t="shared" ca="1" si="88"/>
        <v>70399</v>
      </c>
      <c r="GO57">
        <f t="shared" ca="1" si="89"/>
        <v>3519.9500000000003</v>
      </c>
      <c r="GP57">
        <f t="shared" ca="1" si="90"/>
        <v>3520</v>
      </c>
      <c r="GQ57">
        <f t="shared" ca="1" si="91"/>
        <v>0</v>
      </c>
      <c r="GR57">
        <f t="shared" ca="1" si="92"/>
        <v>0</v>
      </c>
      <c r="GS57">
        <f t="shared" ca="1" si="93"/>
        <v>3520</v>
      </c>
      <c r="GT57">
        <f t="shared" ca="1" si="94"/>
        <v>0</v>
      </c>
      <c r="GU57" t="b">
        <f t="shared" ca="1" si="95"/>
        <v>0</v>
      </c>
      <c r="GV57">
        <f t="shared" ca="1" si="96"/>
        <v>0</v>
      </c>
      <c r="GW57">
        <f t="shared" ca="1" si="97"/>
        <v>3520</v>
      </c>
      <c r="GX57">
        <f t="shared" ca="1" si="98"/>
        <v>0</v>
      </c>
      <c r="GY57">
        <f t="shared" ca="1" si="99"/>
        <v>0</v>
      </c>
      <c r="GZ57">
        <f t="shared" ca="1" si="100"/>
        <v>0</v>
      </c>
    </row>
    <row r="58" spans="1:208" x14ac:dyDescent="0.3">
      <c r="A58">
        <f>_xlfn.AGGREGATE(3,5,$B$2:B58)</f>
        <v>57</v>
      </c>
      <c r="B58" t="s">
        <v>231</v>
      </c>
      <c r="C58" t="s">
        <v>232</v>
      </c>
      <c r="D58" t="s">
        <v>764</v>
      </c>
      <c r="E58" t="s">
        <v>831</v>
      </c>
      <c r="F58" t="s">
        <v>956</v>
      </c>
      <c r="G58" t="s">
        <v>887</v>
      </c>
      <c r="H58">
        <f t="shared" si="19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1"/>
        <v>200</v>
      </c>
      <c r="S58">
        <f t="shared" si="102"/>
        <v>45202</v>
      </c>
      <c r="T58">
        <f>_xlfn.XLOOKUP(B58,'[2]april-2025'!$A:$A,'[2]april-2025'!$C:$C,0,0)</f>
        <v>37700</v>
      </c>
      <c r="U58">
        <f t="shared" si="4"/>
        <v>6786</v>
      </c>
      <c r="V58">
        <f t="shared" si="5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103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6"/>
        <v>200</v>
      </c>
      <c r="AC58">
        <f t="shared" si="7"/>
        <v>46710</v>
      </c>
      <c r="AD58">
        <f>_xlfn.XLOOKUP(B58,'[3]may-2025'!$A:$A,'[3]may-2025'!$C:$C,0,0)</f>
        <v>37700</v>
      </c>
      <c r="AE58">
        <f t="shared" si="8"/>
        <v>6786</v>
      </c>
      <c r="AF58">
        <f t="shared" si="9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04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0"/>
        <v>200</v>
      </c>
      <c r="AM58">
        <f t="shared" si="11"/>
        <v>46710</v>
      </c>
      <c r="AN58">
        <f>_xlfn.XLOOKUP(B58,'[4]june-2025'!$A:$A,'[4]june-2025'!$C:$C,0,0)</f>
        <v>37700</v>
      </c>
      <c r="AO58">
        <f t="shared" si="12"/>
        <v>6786</v>
      </c>
      <c r="AP58">
        <f t="shared" si="13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05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4"/>
        <v>200</v>
      </c>
      <c r="AW58">
        <f t="shared" si="15"/>
        <v>46710</v>
      </c>
      <c r="AX58">
        <f>_xlfn.XLOOKUP(B58,'[5]july-2025'!$A:$A,'[5]july-2025'!$C:$C,0,0)</f>
        <v>38800</v>
      </c>
      <c r="AY58">
        <f t="shared" si="16"/>
        <v>6984</v>
      </c>
      <c r="AZ58">
        <v>0</v>
      </c>
      <c r="BA58">
        <f t="shared" si="17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18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19"/>
        <v>200</v>
      </c>
      <c r="BH58">
        <f t="shared" si="20"/>
        <v>48140</v>
      </c>
      <c r="BI58">
        <f>_xlfn.XLOOKUP(B58,'[6]august-2025'!$A:$A,'[6]august-2025'!$C:$C,0,0)</f>
        <v>38800</v>
      </c>
      <c r="BJ58">
        <f t="shared" si="21"/>
        <v>6984</v>
      </c>
      <c r="BK58">
        <f t="shared" si="22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3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4"/>
        <v>200</v>
      </c>
      <c r="BR58">
        <f t="shared" si="25"/>
        <v>48140</v>
      </c>
      <c r="BS58">
        <f>_xlfn.XLOOKUP(B58,'[7]september-2025'!$A:$A,'[7]september-2025'!$C:$C,0,0)</f>
        <v>38800</v>
      </c>
      <c r="BT58">
        <f t="shared" si="26"/>
        <v>6984</v>
      </c>
      <c r="BU58">
        <f t="shared" si="27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28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29"/>
        <v>200</v>
      </c>
      <c r="CB58">
        <f t="shared" si="30"/>
        <v>48140</v>
      </c>
      <c r="CC58">
        <f>_xlfn.XLOOKUP(B58,'[8]october-2025'!$A:$A,'[8]october-2025'!$C:$C,0,0)</f>
        <v>38800</v>
      </c>
      <c r="CD58">
        <f t="shared" si="31"/>
        <v>6984</v>
      </c>
      <c r="CE58">
        <f t="shared" si="32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3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4"/>
        <v>200</v>
      </c>
      <c r="CL58">
        <f t="shared" si="35"/>
        <v>48140</v>
      </c>
      <c r="CM58">
        <f>_xlfn.XLOOKUP(B58,'[9]november-2025'!$A:$A,'[9]november-2025'!$C:$C,0,0)</f>
        <v>38800</v>
      </c>
      <c r="CN58">
        <f t="shared" si="36"/>
        <v>6984</v>
      </c>
      <c r="CO58">
        <f t="shared" si="37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38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39"/>
        <v>200</v>
      </c>
      <c r="CV58">
        <f t="shared" si="40"/>
        <v>48140</v>
      </c>
      <c r="CW58">
        <f>_xlfn.XLOOKUP(B58,'[10]december-2025'!$A:$A,'[10]december-2025'!$C:$C,0,0)</f>
        <v>38800</v>
      </c>
      <c r="CX58">
        <f t="shared" si="41"/>
        <v>6984</v>
      </c>
      <c r="CY58">
        <f t="shared" si="42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3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4"/>
        <v>200</v>
      </c>
      <c r="DF58">
        <f t="shared" si="45"/>
        <v>48140</v>
      </c>
      <c r="DG58">
        <f>_xlfn.XLOOKUP(B58,'[11]january-2026'!$A:$A,'[11]january-2026'!$C:$C,0,0)</f>
        <v>38800</v>
      </c>
      <c r="DH58">
        <f t="shared" si="46"/>
        <v>6984</v>
      </c>
      <c r="DI58">
        <f t="shared" si="47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48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49"/>
        <v>200</v>
      </c>
      <c r="DP58">
        <f t="shared" si="50"/>
        <v>48140</v>
      </c>
      <c r="DQ58">
        <f>_xlfn.XLOOKUP(B58,'[12]february-2026'!$A:$A,'[12]february-2026'!$C:$C,0,0)</f>
        <v>38800</v>
      </c>
      <c r="DR58">
        <f t="shared" si="51"/>
        <v>6984</v>
      </c>
      <c r="DS58">
        <f t="shared" si="52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3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4"/>
        <v>200</v>
      </c>
      <c r="DZ58">
        <f t="shared" si="55"/>
        <v>48140</v>
      </c>
      <c r="EA58">
        <f>_xlfn.XLOOKUP(B58,'[1]march-2025'!$A:$A,'[1]march-2025'!$J:$J,0,0)</f>
        <v>0</v>
      </c>
      <c r="EB58">
        <f>_xlfn.XLOOKUP(B58,'[2]april-2025'!$A:$A,'[2]april-2025'!$J:$J,0,0)</f>
        <v>0</v>
      </c>
      <c r="EC58">
        <f>_xlfn.XLOOKUP(B58,'[3]may-2025'!$A:$A,'[3]may-2025'!$J:$J,0,0)</f>
        <v>0</v>
      </c>
      <c r="ED58">
        <f>_xlfn.XLOOKUP(B58,'[4]june-2025'!$A:$A,'[4]june-2025'!$J:$J,0,0)</f>
        <v>0</v>
      </c>
      <c r="EE58">
        <f>_xlfn.XLOOKUP(B58,'[5]july-2025'!$A:$A,'[5]july-2025'!$J:$J,0,0)</f>
        <v>0</v>
      </c>
      <c r="EF58">
        <f>_xlfn.XLOOKUP(B58,'[6]august-2025'!$A:$A,'[6]august-2025'!$J:$J,0,0)</f>
        <v>0</v>
      </c>
      <c r="EG58">
        <f>_xlfn.XLOOKUP(B58,'[7]september-2025'!$A:$A,'[7]september-2025'!$J:$J,0,0)</f>
        <v>0</v>
      </c>
      <c r="EH58">
        <f>_xlfn.XLOOKUP(B58,'[8]october-2025'!$A:$A,'[8]october-2025'!$J:$J,0,0)</f>
        <v>0</v>
      </c>
      <c r="EI58">
        <f>_xlfn.XLOOKUP(C58,'[9]november-2025'!$A:$A,'[9]november-2025'!$J:$J,0,0)</f>
        <v>0</v>
      </c>
      <c r="EJ58">
        <f>_xlfn.XLOOKUP(B58,'[10]december-2025'!$A:$A,'[10]december-2025'!$J:$J,0,0)</f>
        <v>0</v>
      </c>
      <c r="EK58">
        <f>_xlfn.XLOOKUP(B58,'[11]january-2026'!$A:$A,'[11]january-2026'!$J:$J,0,0)</f>
        <v>0</v>
      </c>
      <c r="EL58">
        <f>_xlfn.XLOOKUP(B58,'[12]february-2026'!$A:$A,'[12]february-2026'!$J:$J,0,0)</f>
        <v>0</v>
      </c>
      <c r="EM58">
        <f t="shared" si="106"/>
        <v>0</v>
      </c>
      <c r="EN58">
        <f t="shared" si="56"/>
        <v>615652</v>
      </c>
      <c r="EO58">
        <f t="shared" si="57"/>
        <v>2400</v>
      </c>
      <c r="EP58">
        <f t="shared" si="58"/>
        <v>50000</v>
      </c>
      <c r="EQ58">
        <v>0</v>
      </c>
      <c r="ER58">
        <f t="shared" si="107"/>
        <v>563252</v>
      </c>
      <c r="ES58">
        <f t="shared" si="59"/>
        <v>36000</v>
      </c>
      <c r="ET58">
        <f t="shared" si="60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1"/>
        <v>36000</v>
      </c>
      <c r="FF58">
        <f t="shared" si="62"/>
        <v>36000</v>
      </c>
      <c r="FG58">
        <f t="shared" si="63"/>
        <v>527252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4"/>
        <v>0</v>
      </c>
      <c r="FP58">
        <f t="shared" si="65"/>
        <v>527252</v>
      </c>
      <c r="FQ58">
        <f t="shared" si="66"/>
        <v>12500</v>
      </c>
      <c r="FR58">
        <f t="shared" si="67"/>
        <v>5450</v>
      </c>
      <c r="FS58">
        <f t="shared" si="68"/>
        <v>17950</v>
      </c>
      <c r="FT58">
        <f t="shared" si="69"/>
        <v>17950</v>
      </c>
      <c r="FU58">
        <f t="shared" si="70"/>
        <v>718</v>
      </c>
      <c r="FV58">
        <f t="shared" si="71"/>
        <v>18668</v>
      </c>
      <c r="FW58">
        <v>0</v>
      </c>
      <c r="FX58">
        <f t="shared" si="72"/>
        <v>18668</v>
      </c>
      <c r="FY58" t="b">
        <f t="shared" si="73"/>
        <v>1</v>
      </c>
      <c r="FZ58">
        <f t="shared" ca="1" si="74"/>
        <v>832</v>
      </c>
      <c r="GA58">
        <f t="shared" ca="1" si="75"/>
        <v>616484</v>
      </c>
      <c r="GB58">
        <f t="shared" si="76"/>
        <v>75000</v>
      </c>
      <c r="GC58">
        <f t="shared" ca="1" si="77"/>
        <v>541484</v>
      </c>
      <c r="GD58">
        <f t="shared" ca="1" si="78"/>
        <v>0</v>
      </c>
      <c r="GE58">
        <f t="shared" ca="1" si="79"/>
        <v>0</v>
      </c>
      <c r="GF58">
        <f t="shared" ca="1" si="80"/>
        <v>0</v>
      </c>
      <c r="GG58">
        <f t="shared" ca="1" si="81"/>
        <v>0</v>
      </c>
      <c r="GH58">
        <f t="shared" ca="1" si="82"/>
        <v>0</v>
      </c>
      <c r="GI58">
        <f t="shared" ca="1" si="83"/>
        <v>0</v>
      </c>
      <c r="GJ58">
        <f t="shared" ca="1" si="84"/>
        <v>0</v>
      </c>
      <c r="GK58">
        <f t="shared" ca="1" si="85"/>
        <v>0</v>
      </c>
      <c r="GL58">
        <f t="shared" ca="1" si="86"/>
        <v>0</v>
      </c>
      <c r="GM58">
        <f t="shared" ca="1" si="87"/>
        <v>0</v>
      </c>
      <c r="GN58">
        <f t="shared" ca="1" si="88"/>
        <v>141484</v>
      </c>
      <c r="GO58">
        <f t="shared" ca="1" si="89"/>
        <v>7074.2000000000007</v>
      </c>
      <c r="GP58">
        <f t="shared" ca="1" si="90"/>
        <v>7074</v>
      </c>
      <c r="GQ58">
        <f t="shared" ca="1" si="91"/>
        <v>0</v>
      </c>
      <c r="GR58">
        <f t="shared" ca="1" si="92"/>
        <v>0</v>
      </c>
      <c r="GS58">
        <f t="shared" ca="1" si="93"/>
        <v>7074</v>
      </c>
      <c r="GT58">
        <f t="shared" ca="1" si="94"/>
        <v>0</v>
      </c>
      <c r="GU58" t="b">
        <f t="shared" ca="1" si="95"/>
        <v>0</v>
      </c>
      <c r="GV58">
        <f t="shared" ca="1" si="96"/>
        <v>0</v>
      </c>
      <c r="GW58">
        <f t="shared" ca="1" si="97"/>
        <v>7074</v>
      </c>
      <c r="GX58">
        <f t="shared" ca="1" si="98"/>
        <v>0</v>
      </c>
      <c r="GY58">
        <f t="shared" ca="1" si="99"/>
        <v>0</v>
      </c>
      <c r="GZ58">
        <f t="shared" ca="1" si="100"/>
        <v>0</v>
      </c>
    </row>
    <row r="59" spans="1:208" x14ac:dyDescent="0.3">
      <c r="A59">
        <f>_xlfn.AGGREGATE(3,5,$B$2:B59)</f>
        <v>58</v>
      </c>
      <c r="B59" t="s">
        <v>233</v>
      </c>
      <c r="C59" t="s">
        <v>234</v>
      </c>
      <c r="D59" t="s">
        <v>764</v>
      </c>
      <c r="E59" t="s">
        <v>830</v>
      </c>
      <c r="F59" t="s">
        <v>956</v>
      </c>
      <c r="G59" t="s">
        <v>896</v>
      </c>
      <c r="H59">
        <f t="shared" si="19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1"/>
        <v>200</v>
      </c>
      <c r="S59">
        <f t="shared" si="102"/>
        <v>40010</v>
      </c>
      <c r="T59">
        <f>_xlfn.XLOOKUP(B59,'[2]april-2025'!$A:$A,'[2]april-2025'!$C:$C,0,0)</f>
        <v>33500</v>
      </c>
      <c r="U59">
        <f t="shared" si="4"/>
        <v>6030</v>
      </c>
      <c r="V59">
        <f t="shared" si="5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103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6"/>
        <v>200</v>
      </c>
      <c r="AC59">
        <f t="shared" si="7"/>
        <v>41350</v>
      </c>
      <c r="AD59">
        <f>_xlfn.XLOOKUP(B59,'[3]may-2025'!$A:$A,'[3]may-2025'!$C:$C,0,0)</f>
        <v>33500</v>
      </c>
      <c r="AE59">
        <f t="shared" si="8"/>
        <v>6030</v>
      </c>
      <c r="AF59">
        <f t="shared" si="9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04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0"/>
        <v>200</v>
      </c>
      <c r="AM59">
        <f t="shared" si="11"/>
        <v>41350</v>
      </c>
      <c r="AN59">
        <f>_xlfn.XLOOKUP(B59,'[4]june-2025'!$A:$A,'[4]june-2025'!$C:$C,0,0)</f>
        <v>33500</v>
      </c>
      <c r="AO59">
        <f t="shared" si="12"/>
        <v>6030</v>
      </c>
      <c r="AP59">
        <f t="shared" si="13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05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4"/>
        <v>200</v>
      </c>
      <c r="AW59">
        <f t="shared" si="15"/>
        <v>41350</v>
      </c>
      <c r="AX59">
        <f>_xlfn.XLOOKUP(B59,'[5]july-2025'!$A:$A,'[5]july-2025'!$C:$C,0,0)</f>
        <v>34500</v>
      </c>
      <c r="AY59">
        <f t="shared" si="16"/>
        <v>6210</v>
      </c>
      <c r="AZ59">
        <v>0</v>
      </c>
      <c r="BA59">
        <f t="shared" si="17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18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19"/>
        <v>200</v>
      </c>
      <c r="BH59">
        <f t="shared" si="20"/>
        <v>42650</v>
      </c>
      <c r="BI59">
        <f>_xlfn.XLOOKUP(B59,'[6]august-2025'!$A:$A,'[6]august-2025'!$C:$C,0,0)</f>
        <v>34500</v>
      </c>
      <c r="BJ59">
        <f t="shared" si="21"/>
        <v>6210</v>
      </c>
      <c r="BK59">
        <f t="shared" si="22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3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4"/>
        <v>200</v>
      </c>
      <c r="BR59">
        <f t="shared" si="25"/>
        <v>42650</v>
      </c>
      <c r="BS59">
        <f>_xlfn.XLOOKUP(B59,'[7]september-2025'!$A:$A,'[7]september-2025'!$C:$C,0,0)</f>
        <v>34500</v>
      </c>
      <c r="BT59">
        <f t="shared" si="26"/>
        <v>6210</v>
      </c>
      <c r="BU59">
        <f t="shared" si="27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28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29"/>
        <v>200</v>
      </c>
      <c r="CB59">
        <f t="shared" si="30"/>
        <v>42650</v>
      </c>
      <c r="CC59">
        <f>_xlfn.XLOOKUP(B59,'[8]october-2025'!$A:$A,'[8]october-2025'!$C:$C,0,0)</f>
        <v>34500</v>
      </c>
      <c r="CD59">
        <f t="shared" si="31"/>
        <v>6210</v>
      </c>
      <c r="CE59">
        <f t="shared" si="32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3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4"/>
        <v>200</v>
      </c>
      <c r="CL59">
        <f t="shared" si="35"/>
        <v>42650</v>
      </c>
      <c r="CM59">
        <f>_xlfn.XLOOKUP(B59,'[9]november-2025'!$A:$A,'[9]november-2025'!$C:$C,0,0)</f>
        <v>34500</v>
      </c>
      <c r="CN59">
        <f t="shared" si="36"/>
        <v>6210</v>
      </c>
      <c r="CO59">
        <f t="shared" si="37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38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39"/>
        <v>200</v>
      </c>
      <c r="CV59">
        <f t="shared" si="40"/>
        <v>42650</v>
      </c>
      <c r="CW59">
        <f>_xlfn.XLOOKUP(B59,'[10]december-2025'!$A:$A,'[10]december-2025'!$C:$C,0,0)</f>
        <v>34500</v>
      </c>
      <c r="CX59">
        <f t="shared" si="41"/>
        <v>6210</v>
      </c>
      <c r="CY59">
        <f t="shared" si="42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3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4"/>
        <v>200</v>
      </c>
      <c r="DF59">
        <f t="shared" si="45"/>
        <v>42650</v>
      </c>
      <c r="DG59">
        <f>_xlfn.XLOOKUP(B59,'[11]january-2026'!$A:$A,'[11]january-2026'!$C:$C,0,0)</f>
        <v>34500</v>
      </c>
      <c r="DH59">
        <f t="shared" si="46"/>
        <v>6210</v>
      </c>
      <c r="DI59">
        <f t="shared" si="47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48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49"/>
        <v>200</v>
      </c>
      <c r="DP59">
        <f t="shared" si="50"/>
        <v>42650</v>
      </c>
      <c r="DQ59">
        <f>_xlfn.XLOOKUP(B59,'[12]february-2026'!$A:$A,'[12]february-2026'!$C:$C,0,0)</f>
        <v>34500</v>
      </c>
      <c r="DR59">
        <f t="shared" si="51"/>
        <v>6210</v>
      </c>
      <c r="DS59">
        <f t="shared" si="52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3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4"/>
        <v>200</v>
      </c>
      <c r="DZ59">
        <f t="shared" si="55"/>
        <v>42650</v>
      </c>
      <c r="EA59">
        <f>_xlfn.XLOOKUP(B59,'[1]march-2025'!$A:$A,'[1]march-2025'!$J:$J,0,0)</f>
        <v>0</v>
      </c>
      <c r="EB59">
        <f>_xlfn.XLOOKUP(B59,'[2]april-2025'!$A:$A,'[2]april-2025'!$J:$J,0,0)</f>
        <v>0</v>
      </c>
      <c r="EC59">
        <f>_xlfn.XLOOKUP(B59,'[3]may-2025'!$A:$A,'[3]may-2025'!$J:$J,0,0)</f>
        <v>0</v>
      </c>
      <c r="ED59">
        <f>_xlfn.XLOOKUP(B59,'[4]june-2025'!$A:$A,'[4]june-2025'!$J:$J,0,0)</f>
        <v>0</v>
      </c>
      <c r="EE59">
        <f>_xlfn.XLOOKUP(B59,'[5]july-2025'!$A:$A,'[5]july-2025'!$J:$J,0,0)</f>
        <v>0</v>
      </c>
      <c r="EF59">
        <f>_xlfn.XLOOKUP(B59,'[6]august-2025'!$A:$A,'[6]august-2025'!$J:$J,0,0)</f>
        <v>0</v>
      </c>
      <c r="EG59">
        <f>_xlfn.XLOOKUP(B59,'[7]september-2025'!$A:$A,'[7]september-2025'!$J:$J,0,0)</f>
        <v>0</v>
      </c>
      <c r="EH59">
        <f>_xlfn.XLOOKUP(B59,'[8]october-2025'!$A:$A,'[8]october-2025'!$J:$J,0,0)</f>
        <v>0</v>
      </c>
      <c r="EI59">
        <f>_xlfn.XLOOKUP(C59,'[9]november-2025'!$A:$A,'[9]november-2025'!$J:$J,0,0)</f>
        <v>0</v>
      </c>
      <c r="EJ59">
        <f>_xlfn.XLOOKUP(B59,'[10]december-2025'!$A:$A,'[10]december-2025'!$J:$J,0,0)</f>
        <v>0</v>
      </c>
      <c r="EK59">
        <f>_xlfn.XLOOKUP(B59,'[11]january-2026'!$A:$A,'[11]january-2026'!$J:$J,0,0)</f>
        <v>0</v>
      </c>
      <c r="EL59">
        <f>_xlfn.XLOOKUP(B59,'[12]february-2026'!$A:$A,'[12]february-2026'!$J:$J,0,0)</f>
        <v>0</v>
      </c>
      <c r="EM59">
        <f t="shared" si="106"/>
        <v>0</v>
      </c>
      <c r="EN59">
        <f t="shared" si="56"/>
        <v>544460</v>
      </c>
      <c r="EO59">
        <f t="shared" si="57"/>
        <v>2400</v>
      </c>
      <c r="EP59">
        <f t="shared" si="58"/>
        <v>50000</v>
      </c>
      <c r="EQ59">
        <v>0</v>
      </c>
      <c r="ER59">
        <f t="shared" si="107"/>
        <v>492060</v>
      </c>
      <c r="ES59">
        <f t="shared" si="59"/>
        <v>30000</v>
      </c>
      <c r="ET59">
        <f t="shared" si="60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1"/>
        <v>30000</v>
      </c>
      <c r="FF59">
        <f t="shared" si="62"/>
        <v>30000</v>
      </c>
      <c r="FG59">
        <f t="shared" si="63"/>
        <v>462060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4"/>
        <v>0</v>
      </c>
      <c r="FP59">
        <f t="shared" si="65"/>
        <v>462060</v>
      </c>
      <c r="FQ59">
        <f t="shared" si="66"/>
        <v>10603</v>
      </c>
      <c r="FR59">
        <f t="shared" si="67"/>
        <v>0</v>
      </c>
      <c r="FS59">
        <f t="shared" si="68"/>
        <v>10603</v>
      </c>
      <c r="FT59">
        <f t="shared" si="69"/>
        <v>0</v>
      </c>
      <c r="FU59">
        <f t="shared" si="70"/>
        <v>0</v>
      </c>
      <c r="FV59">
        <f t="shared" si="71"/>
        <v>0</v>
      </c>
      <c r="FW59">
        <v>0</v>
      </c>
      <c r="FX59">
        <f t="shared" si="72"/>
        <v>0</v>
      </c>
      <c r="FY59" t="b">
        <f t="shared" si="73"/>
        <v>1</v>
      </c>
      <c r="FZ59">
        <f t="shared" ca="1" si="74"/>
        <v>962</v>
      </c>
      <c r="GA59">
        <f t="shared" ca="1" si="75"/>
        <v>545422</v>
      </c>
      <c r="GB59">
        <f t="shared" si="76"/>
        <v>75000</v>
      </c>
      <c r="GC59">
        <f t="shared" ca="1" si="77"/>
        <v>470422</v>
      </c>
      <c r="GD59">
        <f t="shared" ca="1" si="78"/>
        <v>0</v>
      </c>
      <c r="GE59">
        <f t="shared" ca="1" si="79"/>
        <v>0</v>
      </c>
      <c r="GF59">
        <f t="shared" ca="1" si="80"/>
        <v>0</v>
      </c>
      <c r="GG59">
        <f t="shared" ca="1" si="81"/>
        <v>0</v>
      </c>
      <c r="GH59">
        <f t="shared" ca="1" si="82"/>
        <v>0</v>
      </c>
      <c r="GI59">
        <f t="shared" ca="1" si="83"/>
        <v>0</v>
      </c>
      <c r="GJ59">
        <f t="shared" ca="1" si="84"/>
        <v>0</v>
      </c>
      <c r="GK59">
        <f t="shared" ca="1" si="85"/>
        <v>0</v>
      </c>
      <c r="GL59">
        <f t="shared" ca="1" si="86"/>
        <v>0</v>
      </c>
      <c r="GM59">
        <f t="shared" ca="1" si="87"/>
        <v>0</v>
      </c>
      <c r="GN59">
        <f t="shared" ca="1" si="88"/>
        <v>70422</v>
      </c>
      <c r="GO59">
        <f t="shared" ca="1" si="89"/>
        <v>3521.1000000000004</v>
      </c>
      <c r="GP59">
        <f t="shared" ca="1" si="90"/>
        <v>3521</v>
      </c>
      <c r="GQ59">
        <f t="shared" ca="1" si="91"/>
        <v>0</v>
      </c>
      <c r="GR59">
        <f t="shared" ca="1" si="92"/>
        <v>0</v>
      </c>
      <c r="GS59">
        <f t="shared" ca="1" si="93"/>
        <v>3521</v>
      </c>
      <c r="GT59">
        <f t="shared" ca="1" si="94"/>
        <v>0</v>
      </c>
      <c r="GU59" t="b">
        <f t="shared" ca="1" si="95"/>
        <v>0</v>
      </c>
      <c r="GV59">
        <f t="shared" ca="1" si="96"/>
        <v>0</v>
      </c>
      <c r="GW59">
        <f t="shared" ca="1" si="97"/>
        <v>3521</v>
      </c>
      <c r="GX59">
        <f t="shared" ca="1" si="98"/>
        <v>0</v>
      </c>
      <c r="GY59">
        <f t="shared" ca="1" si="99"/>
        <v>0</v>
      </c>
      <c r="GZ59">
        <f t="shared" ca="1" si="100"/>
        <v>0</v>
      </c>
    </row>
    <row r="60" spans="1:208" x14ac:dyDescent="0.3">
      <c r="A60">
        <f>_xlfn.AGGREGATE(3,5,$B$2:B60)</f>
        <v>59</v>
      </c>
      <c r="B60" t="s">
        <v>235</v>
      </c>
      <c r="C60" t="s">
        <v>236</v>
      </c>
      <c r="D60" t="s">
        <v>764</v>
      </c>
      <c r="E60" t="s">
        <v>830</v>
      </c>
      <c r="F60" t="s">
        <v>956</v>
      </c>
      <c r="G60" t="s">
        <v>902</v>
      </c>
      <c r="H60">
        <f t="shared" si="19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1"/>
        <v>200</v>
      </c>
      <c r="S60">
        <f t="shared" si="102"/>
        <v>40010</v>
      </c>
      <c r="T60">
        <f>_xlfn.XLOOKUP(B60,'[2]april-2025'!$A:$A,'[2]april-2025'!$C:$C,0,0)</f>
        <v>33500</v>
      </c>
      <c r="U60">
        <f t="shared" si="4"/>
        <v>6030</v>
      </c>
      <c r="V60">
        <f t="shared" si="5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103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6"/>
        <v>200</v>
      </c>
      <c r="AC60">
        <f t="shared" si="7"/>
        <v>41350</v>
      </c>
      <c r="AD60">
        <f>_xlfn.XLOOKUP(B60,'[3]may-2025'!$A:$A,'[3]may-2025'!$C:$C,0,0)</f>
        <v>33500</v>
      </c>
      <c r="AE60">
        <f t="shared" si="8"/>
        <v>6030</v>
      </c>
      <c r="AF60">
        <f t="shared" si="9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04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0"/>
        <v>200</v>
      </c>
      <c r="AM60">
        <f t="shared" si="11"/>
        <v>41350</v>
      </c>
      <c r="AN60">
        <f>_xlfn.XLOOKUP(B60,'[4]june-2025'!$A:$A,'[4]june-2025'!$C:$C,0,0)</f>
        <v>33500</v>
      </c>
      <c r="AO60">
        <f t="shared" si="12"/>
        <v>6030</v>
      </c>
      <c r="AP60">
        <f t="shared" si="13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05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4"/>
        <v>200</v>
      </c>
      <c r="AW60">
        <f t="shared" si="15"/>
        <v>41350</v>
      </c>
      <c r="AX60">
        <f>_xlfn.XLOOKUP(B60,'[5]july-2025'!$A:$A,'[5]july-2025'!$C:$C,0,0)</f>
        <v>34500</v>
      </c>
      <c r="AY60">
        <f t="shared" si="16"/>
        <v>6210</v>
      </c>
      <c r="AZ60">
        <v>0</v>
      </c>
      <c r="BA60">
        <f t="shared" si="17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18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19"/>
        <v>200</v>
      </c>
      <c r="BH60">
        <f t="shared" si="20"/>
        <v>42650</v>
      </c>
      <c r="BI60">
        <f>_xlfn.XLOOKUP(B60,'[6]august-2025'!$A:$A,'[6]august-2025'!$C:$C,0,0)</f>
        <v>34500</v>
      </c>
      <c r="BJ60">
        <f t="shared" si="21"/>
        <v>6210</v>
      </c>
      <c r="BK60">
        <f t="shared" si="22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3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4"/>
        <v>200</v>
      </c>
      <c r="BR60">
        <f t="shared" si="25"/>
        <v>42650</v>
      </c>
      <c r="BS60">
        <f>_xlfn.XLOOKUP(B60,'[7]september-2025'!$A:$A,'[7]september-2025'!$C:$C,0,0)</f>
        <v>34500</v>
      </c>
      <c r="BT60">
        <f t="shared" si="26"/>
        <v>6210</v>
      </c>
      <c r="BU60">
        <f t="shared" si="27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28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29"/>
        <v>200</v>
      </c>
      <c r="CB60">
        <f t="shared" si="30"/>
        <v>42650</v>
      </c>
      <c r="CC60">
        <f>_xlfn.XLOOKUP(B60,'[8]october-2025'!$A:$A,'[8]october-2025'!$C:$C,0,0)</f>
        <v>34500</v>
      </c>
      <c r="CD60">
        <f t="shared" si="31"/>
        <v>6210</v>
      </c>
      <c r="CE60">
        <f t="shared" si="32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3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4"/>
        <v>200</v>
      </c>
      <c r="CL60">
        <f t="shared" si="35"/>
        <v>42650</v>
      </c>
      <c r="CM60">
        <f>_xlfn.XLOOKUP(B60,'[9]november-2025'!$A:$A,'[9]november-2025'!$C:$C,0,0)</f>
        <v>34500</v>
      </c>
      <c r="CN60">
        <f t="shared" si="36"/>
        <v>6210</v>
      </c>
      <c r="CO60">
        <f t="shared" si="37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38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39"/>
        <v>200</v>
      </c>
      <c r="CV60">
        <f t="shared" si="40"/>
        <v>42650</v>
      </c>
      <c r="CW60">
        <f>_xlfn.XLOOKUP(B60,'[10]december-2025'!$A:$A,'[10]december-2025'!$C:$C,0,0)</f>
        <v>34500</v>
      </c>
      <c r="CX60">
        <f t="shared" si="41"/>
        <v>6210</v>
      </c>
      <c r="CY60">
        <f t="shared" si="42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3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4"/>
        <v>200</v>
      </c>
      <c r="DF60">
        <f t="shared" si="45"/>
        <v>42650</v>
      </c>
      <c r="DG60">
        <f>_xlfn.XLOOKUP(B60,'[11]january-2026'!$A:$A,'[11]january-2026'!$C:$C,0,0)</f>
        <v>34500</v>
      </c>
      <c r="DH60">
        <f t="shared" si="46"/>
        <v>6210</v>
      </c>
      <c r="DI60">
        <f t="shared" si="47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48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49"/>
        <v>200</v>
      </c>
      <c r="DP60">
        <f t="shared" si="50"/>
        <v>42650</v>
      </c>
      <c r="DQ60">
        <f>_xlfn.XLOOKUP(B60,'[12]february-2026'!$A:$A,'[12]february-2026'!$C:$C,0,0)</f>
        <v>34500</v>
      </c>
      <c r="DR60">
        <f t="shared" si="51"/>
        <v>6210</v>
      </c>
      <c r="DS60">
        <f t="shared" si="52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3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4"/>
        <v>200</v>
      </c>
      <c r="DZ60">
        <f t="shared" si="55"/>
        <v>42650</v>
      </c>
      <c r="EA60">
        <f>_xlfn.XLOOKUP(B60,'[1]march-2025'!$A:$A,'[1]march-2025'!$J:$J,0,0)</f>
        <v>0</v>
      </c>
      <c r="EB60">
        <f>_xlfn.XLOOKUP(B60,'[2]april-2025'!$A:$A,'[2]april-2025'!$J:$J,0,0)</f>
        <v>0</v>
      </c>
      <c r="EC60">
        <f>_xlfn.XLOOKUP(B60,'[3]may-2025'!$A:$A,'[3]may-2025'!$J:$J,0,0)</f>
        <v>0</v>
      </c>
      <c r="ED60">
        <f>_xlfn.XLOOKUP(B60,'[4]june-2025'!$A:$A,'[4]june-2025'!$J:$J,0,0)</f>
        <v>0</v>
      </c>
      <c r="EE60">
        <f>_xlfn.XLOOKUP(B60,'[5]july-2025'!$A:$A,'[5]july-2025'!$J:$J,0,0)</f>
        <v>0</v>
      </c>
      <c r="EF60">
        <f>_xlfn.XLOOKUP(B60,'[6]august-2025'!$A:$A,'[6]august-2025'!$J:$J,0,0)</f>
        <v>0</v>
      </c>
      <c r="EG60">
        <f>_xlfn.XLOOKUP(B60,'[7]september-2025'!$A:$A,'[7]september-2025'!$J:$J,0,0)</f>
        <v>0</v>
      </c>
      <c r="EH60">
        <f>_xlfn.XLOOKUP(B60,'[8]october-2025'!$A:$A,'[8]october-2025'!$J:$J,0,0)</f>
        <v>0</v>
      </c>
      <c r="EI60">
        <f>_xlfn.XLOOKUP(C60,'[9]november-2025'!$A:$A,'[9]november-2025'!$J:$J,0,0)</f>
        <v>0</v>
      </c>
      <c r="EJ60">
        <f>_xlfn.XLOOKUP(B60,'[10]december-2025'!$A:$A,'[10]december-2025'!$J:$J,0,0)</f>
        <v>0</v>
      </c>
      <c r="EK60">
        <f>_xlfn.XLOOKUP(B60,'[11]january-2026'!$A:$A,'[11]january-2026'!$J:$J,0,0)</f>
        <v>0</v>
      </c>
      <c r="EL60">
        <f>_xlfn.XLOOKUP(B60,'[12]february-2026'!$A:$A,'[12]february-2026'!$J:$J,0,0)</f>
        <v>0</v>
      </c>
      <c r="EM60">
        <f t="shared" si="106"/>
        <v>0</v>
      </c>
      <c r="EN60">
        <f t="shared" si="56"/>
        <v>544460</v>
      </c>
      <c r="EO60">
        <f t="shared" si="57"/>
        <v>2400</v>
      </c>
      <c r="EP60">
        <f t="shared" si="58"/>
        <v>50000</v>
      </c>
      <c r="EQ60">
        <v>0</v>
      </c>
      <c r="ER60">
        <f t="shared" si="107"/>
        <v>492060</v>
      </c>
      <c r="ES60">
        <f t="shared" si="59"/>
        <v>30000</v>
      </c>
      <c r="ET60">
        <f t="shared" si="60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1"/>
        <v>30000</v>
      </c>
      <c r="FF60">
        <f t="shared" si="62"/>
        <v>30000</v>
      </c>
      <c r="FG60">
        <f t="shared" si="63"/>
        <v>462060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4"/>
        <v>0</v>
      </c>
      <c r="FP60">
        <f t="shared" si="65"/>
        <v>462060</v>
      </c>
      <c r="FQ60">
        <f t="shared" si="66"/>
        <v>10603</v>
      </c>
      <c r="FR60">
        <f t="shared" si="67"/>
        <v>0</v>
      </c>
      <c r="FS60">
        <f t="shared" si="68"/>
        <v>10603</v>
      </c>
      <c r="FT60">
        <f t="shared" si="69"/>
        <v>0</v>
      </c>
      <c r="FU60">
        <f t="shared" si="70"/>
        <v>0</v>
      </c>
      <c r="FV60">
        <f t="shared" si="71"/>
        <v>0</v>
      </c>
      <c r="FW60">
        <v>0</v>
      </c>
      <c r="FX60">
        <f t="shared" si="72"/>
        <v>0</v>
      </c>
      <c r="FY60" t="b">
        <f t="shared" si="73"/>
        <v>1</v>
      </c>
      <c r="FZ60">
        <f t="shared" ca="1" si="74"/>
        <v>774</v>
      </c>
      <c r="GA60">
        <f t="shared" ca="1" si="75"/>
        <v>545234</v>
      </c>
      <c r="GB60">
        <f t="shared" si="76"/>
        <v>75000</v>
      </c>
      <c r="GC60">
        <f t="shared" ca="1" si="77"/>
        <v>470234</v>
      </c>
      <c r="GD60">
        <f t="shared" ca="1" si="78"/>
        <v>0</v>
      </c>
      <c r="GE60">
        <f t="shared" ca="1" si="79"/>
        <v>0</v>
      </c>
      <c r="GF60">
        <f t="shared" ca="1" si="80"/>
        <v>0</v>
      </c>
      <c r="GG60">
        <f t="shared" ca="1" si="81"/>
        <v>0</v>
      </c>
      <c r="GH60">
        <f t="shared" ca="1" si="82"/>
        <v>0</v>
      </c>
      <c r="GI60">
        <f t="shared" ca="1" si="83"/>
        <v>0</v>
      </c>
      <c r="GJ60">
        <f t="shared" ca="1" si="84"/>
        <v>0</v>
      </c>
      <c r="GK60">
        <f t="shared" ca="1" si="85"/>
        <v>0</v>
      </c>
      <c r="GL60">
        <f t="shared" ca="1" si="86"/>
        <v>0</v>
      </c>
      <c r="GM60">
        <f t="shared" ca="1" si="87"/>
        <v>0</v>
      </c>
      <c r="GN60">
        <f t="shared" ca="1" si="88"/>
        <v>70234</v>
      </c>
      <c r="GO60">
        <f t="shared" ca="1" si="89"/>
        <v>3511.7000000000003</v>
      </c>
      <c r="GP60">
        <f t="shared" ca="1" si="90"/>
        <v>3512</v>
      </c>
      <c r="GQ60">
        <f t="shared" ca="1" si="91"/>
        <v>0</v>
      </c>
      <c r="GR60">
        <f t="shared" ca="1" si="92"/>
        <v>0</v>
      </c>
      <c r="GS60">
        <f t="shared" ca="1" si="93"/>
        <v>3512</v>
      </c>
      <c r="GT60">
        <f t="shared" ca="1" si="94"/>
        <v>0</v>
      </c>
      <c r="GU60" t="b">
        <f t="shared" ca="1" si="95"/>
        <v>0</v>
      </c>
      <c r="GV60">
        <f t="shared" ca="1" si="96"/>
        <v>0</v>
      </c>
      <c r="GW60">
        <f t="shared" ca="1" si="97"/>
        <v>3512</v>
      </c>
      <c r="GX60">
        <f t="shared" ca="1" si="98"/>
        <v>0</v>
      </c>
      <c r="GY60">
        <f t="shared" ca="1" si="99"/>
        <v>0</v>
      </c>
      <c r="GZ60">
        <f t="shared" ca="1" si="100"/>
        <v>0</v>
      </c>
    </row>
    <row r="61" spans="1:208" x14ac:dyDescent="0.3">
      <c r="A61">
        <f>_xlfn.AGGREGATE(3,5,$B$2:B61)</f>
        <v>60</v>
      </c>
      <c r="B61" t="s">
        <v>237</v>
      </c>
      <c r="C61" t="s">
        <v>238</v>
      </c>
      <c r="D61" t="s">
        <v>764</v>
      </c>
      <c r="E61" t="s">
        <v>830</v>
      </c>
      <c r="F61" t="s">
        <v>957</v>
      </c>
      <c r="G61" t="s">
        <v>891</v>
      </c>
      <c r="H61">
        <f t="shared" si="19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1"/>
        <v>0</v>
      </c>
      <c r="S61">
        <f t="shared" si="102"/>
        <v>32520</v>
      </c>
      <c r="T61">
        <f>_xlfn.XLOOKUP(B61,'[2]april-2025'!$A:$A,'[2]april-2025'!$C:$C,0,0)</f>
        <v>27000</v>
      </c>
      <c r="U61">
        <f t="shared" si="4"/>
        <v>4860</v>
      </c>
      <c r="V61">
        <f t="shared" si="5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103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6"/>
        <v>0</v>
      </c>
      <c r="AC61">
        <f t="shared" si="7"/>
        <v>33600</v>
      </c>
      <c r="AD61">
        <f>_xlfn.XLOOKUP(B61,'[3]may-2025'!$A:$A,'[3]may-2025'!$C:$C,0,0)</f>
        <v>31600</v>
      </c>
      <c r="AE61">
        <f t="shared" si="8"/>
        <v>5688</v>
      </c>
      <c r="AF61">
        <f t="shared" si="9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04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0"/>
        <v>0</v>
      </c>
      <c r="AM61">
        <f t="shared" si="11"/>
        <v>39580</v>
      </c>
      <c r="AN61">
        <f>_xlfn.XLOOKUP(B61,'[4]june-2025'!$A:$A,'[4]june-2025'!$C:$C,0,0)</f>
        <v>31600</v>
      </c>
      <c r="AO61">
        <f t="shared" si="12"/>
        <v>5688</v>
      </c>
      <c r="AP61">
        <f t="shared" si="13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05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4"/>
        <v>0</v>
      </c>
      <c r="AW61">
        <f t="shared" si="15"/>
        <v>39580</v>
      </c>
      <c r="AX61">
        <f>_xlfn.XLOOKUP(B61,'[5]july-2025'!$A:$A,'[5]july-2025'!$C:$C,0,0)</f>
        <v>32500</v>
      </c>
      <c r="AY61">
        <f t="shared" si="16"/>
        <v>5850</v>
      </c>
      <c r="AZ61">
        <v>0</v>
      </c>
      <c r="BA61">
        <f t="shared" si="17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18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19"/>
        <v>0</v>
      </c>
      <c r="BH61">
        <f t="shared" si="20"/>
        <v>40750</v>
      </c>
      <c r="BI61">
        <f>_xlfn.XLOOKUP(B61,'[6]august-2025'!$A:$A,'[6]august-2025'!$C:$C,0,0)</f>
        <v>32500</v>
      </c>
      <c r="BJ61">
        <f t="shared" si="21"/>
        <v>5850</v>
      </c>
      <c r="BK61">
        <f t="shared" si="22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3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4"/>
        <v>0</v>
      </c>
      <c r="BR61">
        <f t="shared" si="25"/>
        <v>40750</v>
      </c>
      <c r="BS61">
        <f>_xlfn.XLOOKUP(B61,'[7]september-2025'!$A:$A,'[7]september-2025'!$C:$C,0,0)</f>
        <v>32500</v>
      </c>
      <c r="BT61">
        <f t="shared" si="26"/>
        <v>5850</v>
      </c>
      <c r="BU61">
        <f t="shared" si="27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28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29"/>
        <v>0</v>
      </c>
      <c r="CB61">
        <f t="shared" si="30"/>
        <v>40750</v>
      </c>
      <c r="CC61">
        <f>_xlfn.XLOOKUP(B61,'[8]october-2025'!$A:$A,'[8]october-2025'!$C:$C,0,0)</f>
        <v>32500</v>
      </c>
      <c r="CD61">
        <f t="shared" si="31"/>
        <v>5850</v>
      </c>
      <c r="CE61">
        <f t="shared" si="32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3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4"/>
        <v>0</v>
      </c>
      <c r="CL61">
        <f t="shared" si="35"/>
        <v>40750</v>
      </c>
      <c r="CM61">
        <f>_xlfn.XLOOKUP(B61,'[9]november-2025'!$A:$A,'[9]november-2025'!$C:$C,0,0)</f>
        <v>32500</v>
      </c>
      <c r="CN61">
        <f t="shared" si="36"/>
        <v>5850</v>
      </c>
      <c r="CO61">
        <f t="shared" si="37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38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39"/>
        <v>0</v>
      </c>
      <c r="CV61">
        <f t="shared" si="40"/>
        <v>40750</v>
      </c>
      <c r="CW61">
        <f>_xlfn.XLOOKUP(B61,'[10]december-2025'!$A:$A,'[10]december-2025'!$C:$C,0,0)</f>
        <v>32500</v>
      </c>
      <c r="CX61">
        <f t="shared" si="41"/>
        <v>5850</v>
      </c>
      <c r="CY61">
        <f t="shared" si="42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3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4"/>
        <v>0</v>
      </c>
      <c r="DF61">
        <f t="shared" si="45"/>
        <v>40750</v>
      </c>
      <c r="DG61">
        <f>_xlfn.XLOOKUP(B61,'[11]january-2026'!$A:$A,'[11]january-2026'!$C:$C,0,0)</f>
        <v>32500</v>
      </c>
      <c r="DH61">
        <f t="shared" si="46"/>
        <v>5850</v>
      </c>
      <c r="DI61">
        <f t="shared" si="47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48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49"/>
        <v>0</v>
      </c>
      <c r="DP61">
        <f t="shared" si="50"/>
        <v>40750</v>
      </c>
      <c r="DQ61">
        <f>_xlfn.XLOOKUP(B61,'[12]february-2026'!$A:$A,'[12]february-2026'!$C:$C,0,0)</f>
        <v>32500</v>
      </c>
      <c r="DR61">
        <f t="shared" si="51"/>
        <v>5850</v>
      </c>
      <c r="DS61">
        <f t="shared" si="52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3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4"/>
        <v>0</v>
      </c>
      <c r="DZ61">
        <f t="shared" si="55"/>
        <v>40750</v>
      </c>
      <c r="EA61">
        <f>_xlfn.XLOOKUP(B61,'[1]march-2025'!$A:$A,'[1]march-2025'!$J:$J,0,0)</f>
        <v>0</v>
      </c>
      <c r="EB61">
        <f>_xlfn.XLOOKUP(B61,'[2]april-2025'!$A:$A,'[2]april-2025'!$J:$J,0,0)</f>
        <v>0</v>
      </c>
      <c r="EC61">
        <f>_xlfn.XLOOKUP(B61,'[3]may-2025'!$A:$A,'[3]may-2025'!$J:$J,0,0)</f>
        <v>0</v>
      </c>
      <c r="ED61">
        <f>_xlfn.XLOOKUP(B61,'[4]june-2025'!$A:$A,'[4]june-2025'!$J:$J,0,0)</f>
        <v>0</v>
      </c>
      <c r="EE61">
        <f>_xlfn.XLOOKUP(B61,'[5]july-2025'!$A:$A,'[5]july-2025'!$J:$J,0,0)</f>
        <v>0</v>
      </c>
      <c r="EF61">
        <f>_xlfn.XLOOKUP(B61,'[6]august-2025'!$A:$A,'[6]august-2025'!$J:$J,0,0)</f>
        <v>0</v>
      </c>
      <c r="EG61">
        <f>_xlfn.XLOOKUP(B61,'[7]september-2025'!$A:$A,'[7]september-2025'!$J:$J,0,0)</f>
        <v>0</v>
      </c>
      <c r="EH61">
        <f>_xlfn.XLOOKUP(B61,'[8]october-2025'!$A:$A,'[8]october-2025'!$J:$J,0,0)</f>
        <v>0</v>
      </c>
      <c r="EI61">
        <f>_xlfn.XLOOKUP(C61,'[9]november-2025'!$A:$A,'[9]november-2025'!$J:$J,0,0)</f>
        <v>0</v>
      </c>
      <c r="EJ61">
        <f>_xlfn.XLOOKUP(B61,'[10]december-2025'!$A:$A,'[10]december-2025'!$J:$J,0,0)</f>
        <v>0</v>
      </c>
      <c r="EK61">
        <f>_xlfn.XLOOKUP(B61,'[11]january-2026'!$A:$A,'[11]january-2026'!$J:$J,0,0)</f>
        <v>0</v>
      </c>
      <c r="EL61">
        <f>_xlfn.XLOOKUP(B61,'[12]february-2026'!$A:$A,'[12]february-2026'!$J:$J,0,0)</f>
        <v>0</v>
      </c>
      <c r="EM61">
        <f t="shared" si="106"/>
        <v>0</v>
      </c>
      <c r="EN61">
        <f t="shared" si="56"/>
        <v>502080</v>
      </c>
      <c r="EO61">
        <f t="shared" si="57"/>
        <v>0</v>
      </c>
      <c r="EP61">
        <f t="shared" si="58"/>
        <v>50000</v>
      </c>
      <c r="EQ61">
        <v>0</v>
      </c>
      <c r="ER61">
        <f t="shared" si="107"/>
        <v>452080</v>
      </c>
      <c r="ES61">
        <f t="shared" si="59"/>
        <v>24000</v>
      </c>
      <c r="ET61">
        <f t="shared" si="60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1"/>
        <v>24000</v>
      </c>
      <c r="FF61">
        <f t="shared" si="62"/>
        <v>24000</v>
      </c>
      <c r="FG61">
        <f t="shared" si="63"/>
        <v>428080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4"/>
        <v>50000</v>
      </c>
      <c r="FP61">
        <f t="shared" si="65"/>
        <v>378080</v>
      </c>
      <c r="FQ61">
        <f t="shared" si="66"/>
        <v>6404</v>
      </c>
      <c r="FR61">
        <f t="shared" si="67"/>
        <v>0</v>
      </c>
      <c r="FS61">
        <f t="shared" si="68"/>
        <v>6404</v>
      </c>
      <c r="FT61">
        <f t="shared" si="69"/>
        <v>0</v>
      </c>
      <c r="FU61">
        <f t="shared" si="70"/>
        <v>0</v>
      </c>
      <c r="FV61">
        <f t="shared" si="71"/>
        <v>0</v>
      </c>
      <c r="FW61">
        <v>0</v>
      </c>
      <c r="FX61">
        <f t="shared" si="72"/>
        <v>0</v>
      </c>
      <c r="FY61" t="b">
        <f t="shared" si="73"/>
        <v>1</v>
      </c>
      <c r="FZ61">
        <f t="shared" ca="1" si="74"/>
        <v>965</v>
      </c>
      <c r="GA61">
        <f t="shared" ca="1" si="75"/>
        <v>503045</v>
      </c>
      <c r="GB61">
        <f t="shared" si="76"/>
        <v>75000</v>
      </c>
      <c r="GC61">
        <f t="shared" ca="1" si="77"/>
        <v>428045</v>
      </c>
      <c r="GD61">
        <f t="shared" ca="1" si="78"/>
        <v>0</v>
      </c>
      <c r="GE61">
        <f t="shared" ca="1" si="79"/>
        <v>0</v>
      </c>
      <c r="GF61">
        <f t="shared" ca="1" si="80"/>
        <v>0</v>
      </c>
      <c r="GG61">
        <f t="shared" ca="1" si="81"/>
        <v>0</v>
      </c>
      <c r="GH61">
        <f t="shared" ca="1" si="82"/>
        <v>0</v>
      </c>
      <c r="GI61">
        <f t="shared" ca="1" si="83"/>
        <v>0</v>
      </c>
      <c r="GJ61">
        <f t="shared" ca="1" si="84"/>
        <v>0</v>
      </c>
      <c r="GK61">
        <f t="shared" ca="1" si="85"/>
        <v>0</v>
      </c>
      <c r="GL61">
        <f t="shared" ca="1" si="86"/>
        <v>0</v>
      </c>
      <c r="GM61">
        <f t="shared" ca="1" si="87"/>
        <v>0</v>
      </c>
      <c r="GN61">
        <f t="shared" ca="1" si="88"/>
        <v>28045</v>
      </c>
      <c r="GO61">
        <f t="shared" ca="1" si="89"/>
        <v>1402.25</v>
      </c>
      <c r="GP61">
        <f t="shared" ca="1" si="90"/>
        <v>1402</v>
      </c>
      <c r="GQ61">
        <f t="shared" ca="1" si="91"/>
        <v>0</v>
      </c>
      <c r="GR61">
        <f t="shared" ca="1" si="92"/>
        <v>0</v>
      </c>
      <c r="GS61">
        <f t="shared" ca="1" si="93"/>
        <v>1402</v>
      </c>
      <c r="GT61">
        <f t="shared" ca="1" si="94"/>
        <v>0</v>
      </c>
      <c r="GU61" t="b">
        <f t="shared" ca="1" si="95"/>
        <v>0</v>
      </c>
      <c r="GV61">
        <f t="shared" ca="1" si="96"/>
        <v>0</v>
      </c>
      <c r="GW61">
        <f t="shared" ca="1" si="97"/>
        <v>1402</v>
      </c>
      <c r="GX61">
        <f t="shared" ca="1" si="98"/>
        <v>0</v>
      </c>
      <c r="GY61">
        <f t="shared" ca="1" si="99"/>
        <v>0</v>
      </c>
      <c r="GZ61">
        <f t="shared" ca="1" si="100"/>
        <v>0</v>
      </c>
    </row>
    <row r="62" spans="1:208" x14ac:dyDescent="0.3">
      <c r="A62">
        <f>_xlfn.AGGREGATE(3,5,$B$2:B62)</f>
        <v>61</v>
      </c>
      <c r="B62" t="s">
        <v>239</v>
      </c>
      <c r="C62" t="s">
        <v>240</v>
      </c>
      <c r="D62" t="s">
        <v>765</v>
      </c>
      <c r="E62" t="s">
        <v>830</v>
      </c>
      <c r="F62" t="s">
        <v>956</v>
      </c>
      <c r="G62" t="s">
        <v>899</v>
      </c>
      <c r="H62">
        <f t="shared" si="19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1"/>
        <v>200</v>
      </c>
      <c r="S62">
        <f t="shared" si="102"/>
        <v>39170</v>
      </c>
      <c r="T62">
        <f>_xlfn.XLOOKUP(B62,'[2]april-2025'!$A:$A,'[2]april-2025'!$C:$C,0,0)</f>
        <v>34500</v>
      </c>
      <c r="U62">
        <f t="shared" si="4"/>
        <v>6210</v>
      </c>
      <c r="V62">
        <f t="shared" si="5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103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6"/>
        <v>200</v>
      </c>
      <c r="AC62">
        <f t="shared" si="7"/>
        <v>40550</v>
      </c>
      <c r="AD62">
        <f>_xlfn.XLOOKUP(B62,'[3]may-2025'!$A:$A,'[3]may-2025'!$C:$C,0,0)</f>
        <v>34500</v>
      </c>
      <c r="AE62">
        <f t="shared" si="8"/>
        <v>6210</v>
      </c>
      <c r="AF62">
        <f t="shared" si="9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04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0"/>
        <v>200</v>
      </c>
      <c r="AM62">
        <f t="shared" si="11"/>
        <v>40550</v>
      </c>
      <c r="AN62">
        <f>_xlfn.XLOOKUP(B62,'[4]june-2025'!$A:$A,'[4]june-2025'!$C:$C,0,0)</f>
        <v>34500</v>
      </c>
      <c r="AO62">
        <f t="shared" si="12"/>
        <v>6210</v>
      </c>
      <c r="AP62">
        <f t="shared" si="13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05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4"/>
        <v>200</v>
      </c>
      <c r="AW62">
        <f t="shared" si="15"/>
        <v>40550</v>
      </c>
      <c r="AX62">
        <f>_xlfn.XLOOKUP(B62,'[5]july-2025'!$A:$A,'[5]july-2025'!$C:$C,0,0)</f>
        <v>35500</v>
      </c>
      <c r="AY62">
        <f t="shared" si="16"/>
        <v>6390</v>
      </c>
      <c r="AZ62">
        <v>0</v>
      </c>
      <c r="BA62">
        <f t="shared" si="17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18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19"/>
        <v>200</v>
      </c>
      <c r="BH62">
        <f t="shared" si="20"/>
        <v>41850</v>
      </c>
      <c r="BI62">
        <f>_xlfn.XLOOKUP(B62,'[6]august-2025'!$A:$A,'[6]august-2025'!$C:$C,0,0)</f>
        <v>35500</v>
      </c>
      <c r="BJ62">
        <f t="shared" si="21"/>
        <v>6390</v>
      </c>
      <c r="BK62">
        <f t="shared" si="22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3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4"/>
        <v>200</v>
      </c>
      <c r="BR62">
        <f t="shared" si="25"/>
        <v>41850</v>
      </c>
      <c r="BS62">
        <f>_xlfn.XLOOKUP(B62,'[7]september-2025'!$A:$A,'[7]september-2025'!$C:$C,0,0)</f>
        <v>35500</v>
      </c>
      <c r="BT62">
        <f t="shared" si="26"/>
        <v>6390</v>
      </c>
      <c r="BU62">
        <f t="shared" si="27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28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29"/>
        <v>200</v>
      </c>
      <c r="CB62">
        <f t="shared" si="30"/>
        <v>41850</v>
      </c>
      <c r="CC62">
        <f>_xlfn.XLOOKUP(B62,'[8]october-2025'!$A:$A,'[8]october-2025'!$C:$C,0,0)</f>
        <v>35500</v>
      </c>
      <c r="CD62">
        <f t="shared" si="31"/>
        <v>6390</v>
      </c>
      <c r="CE62">
        <f t="shared" si="32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3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4"/>
        <v>200</v>
      </c>
      <c r="CL62">
        <f t="shared" si="35"/>
        <v>41850</v>
      </c>
      <c r="CM62">
        <f>_xlfn.XLOOKUP(B62,'[9]november-2025'!$A:$A,'[9]november-2025'!$C:$C,0,0)</f>
        <v>35500</v>
      </c>
      <c r="CN62">
        <f t="shared" si="36"/>
        <v>6390</v>
      </c>
      <c r="CO62">
        <f t="shared" si="37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38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39"/>
        <v>200</v>
      </c>
      <c r="CV62">
        <f t="shared" si="40"/>
        <v>41850</v>
      </c>
      <c r="CW62">
        <f>_xlfn.XLOOKUP(B62,'[10]december-2025'!$A:$A,'[10]december-2025'!$C:$C,0,0)</f>
        <v>35500</v>
      </c>
      <c r="CX62">
        <f t="shared" si="41"/>
        <v>6390</v>
      </c>
      <c r="CY62">
        <f t="shared" si="42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3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4"/>
        <v>200</v>
      </c>
      <c r="DF62">
        <f t="shared" si="45"/>
        <v>41850</v>
      </c>
      <c r="DG62">
        <f>_xlfn.XLOOKUP(B62,'[11]january-2026'!$A:$A,'[11]january-2026'!$C:$C,0,0)</f>
        <v>35500</v>
      </c>
      <c r="DH62">
        <f t="shared" si="46"/>
        <v>6390</v>
      </c>
      <c r="DI62">
        <f t="shared" si="47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48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49"/>
        <v>200</v>
      </c>
      <c r="DP62">
        <f t="shared" si="50"/>
        <v>41850</v>
      </c>
      <c r="DQ62">
        <f>_xlfn.XLOOKUP(B62,'[12]february-2026'!$A:$A,'[12]february-2026'!$C:$C,0,0)</f>
        <v>35500</v>
      </c>
      <c r="DR62">
        <f t="shared" si="51"/>
        <v>6390</v>
      </c>
      <c r="DS62">
        <f t="shared" si="52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3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4"/>
        <v>200</v>
      </c>
      <c r="DZ62">
        <f t="shared" si="55"/>
        <v>41850</v>
      </c>
      <c r="EA62">
        <f>_xlfn.XLOOKUP(B62,'[1]march-2025'!$A:$A,'[1]march-2025'!$J:$J,0,0)</f>
        <v>0</v>
      </c>
      <c r="EB62">
        <f>_xlfn.XLOOKUP(B62,'[2]april-2025'!$A:$A,'[2]april-2025'!$J:$J,0,0)</f>
        <v>0</v>
      </c>
      <c r="EC62">
        <f>_xlfn.XLOOKUP(B62,'[3]may-2025'!$A:$A,'[3]may-2025'!$J:$J,0,0)</f>
        <v>0</v>
      </c>
      <c r="ED62">
        <f>_xlfn.XLOOKUP(B62,'[4]june-2025'!$A:$A,'[4]june-2025'!$J:$J,0,0)</f>
        <v>0</v>
      </c>
      <c r="EE62">
        <f>_xlfn.XLOOKUP(B62,'[5]july-2025'!$A:$A,'[5]july-2025'!$J:$J,0,0)</f>
        <v>0</v>
      </c>
      <c r="EF62">
        <f>_xlfn.XLOOKUP(B62,'[6]august-2025'!$A:$A,'[6]august-2025'!$J:$J,0,0)</f>
        <v>0</v>
      </c>
      <c r="EG62">
        <f>_xlfn.XLOOKUP(B62,'[7]september-2025'!$A:$A,'[7]september-2025'!$J:$J,0,0)</f>
        <v>0</v>
      </c>
      <c r="EH62">
        <f>_xlfn.XLOOKUP(B62,'[8]october-2025'!$A:$A,'[8]october-2025'!$J:$J,0,0)</f>
        <v>0</v>
      </c>
      <c r="EI62">
        <f>_xlfn.XLOOKUP(C62,'[9]november-2025'!$A:$A,'[9]november-2025'!$J:$J,0,0)</f>
        <v>0</v>
      </c>
      <c r="EJ62">
        <f>_xlfn.XLOOKUP(B62,'[10]december-2025'!$A:$A,'[10]december-2025'!$J:$J,0,0)</f>
        <v>0</v>
      </c>
      <c r="EK62">
        <f>_xlfn.XLOOKUP(B62,'[11]january-2026'!$A:$A,'[11]january-2026'!$J:$J,0,0)</f>
        <v>0</v>
      </c>
      <c r="EL62">
        <f>_xlfn.XLOOKUP(B62,'[12]february-2026'!$A:$A,'[12]february-2026'!$J:$J,0,0)</f>
        <v>0</v>
      </c>
      <c r="EM62">
        <f t="shared" si="106"/>
        <v>0</v>
      </c>
      <c r="EN62">
        <f t="shared" si="56"/>
        <v>564820</v>
      </c>
      <c r="EO62">
        <f t="shared" si="57"/>
        <v>2400</v>
      </c>
      <c r="EP62">
        <f t="shared" si="58"/>
        <v>50000</v>
      </c>
      <c r="EQ62">
        <v>0</v>
      </c>
      <c r="ER62">
        <f t="shared" si="107"/>
        <v>512420</v>
      </c>
      <c r="ES62">
        <f t="shared" si="59"/>
        <v>60000</v>
      </c>
      <c r="ET62">
        <f t="shared" si="60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1"/>
        <v>60000</v>
      </c>
      <c r="FF62">
        <f t="shared" si="62"/>
        <v>60000</v>
      </c>
      <c r="FG62">
        <f t="shared" si="63"/>
        <v>452420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4"/>
        <v>0</v>
      </c>
      <c r="FP62">
        <f t="shared" si="65"/>
        <v>452420</v>
      </c>
      <c r="FQ62">
        <f t="shared" si="66"/>
        <v>10121</v>
      </c>
      <c r="FR62">
        <f t="shared" si="67"/>
        <v>0</v>
      </c>
      <c r="FS62">
        <f t="shared" si="68"/>
        <v>10121</v>
      </c>
      <c r="FT62">
        <f t="shared" si="69"/>
        <v>0</v>
      </c>
      <c r="FU62">
        <f t="shared" si="70"/>
        <v>0</v>
      </c>
      <c r="FV62">
        <f t="shared" si="71"/>
        <v>0</v>
      </c>
      <c r="FW62">
        <v>0</v>
      </c>
      <c r="FX62">
        <f t="shared" si="72"/>
        <v>0</v>
      </c>
      <c r="FY62" t="b">
        <f t="shared" si="73"/>
        <v>1</v>
      </c>
      <c r="FZ62">
        <f t="shared" ca="1" si="74"/>
        <v>795</v>
      </c>
      <c r="GA62">
        <f t="shared" ca="1" si="75"/>
        <v>565615</v>
      </c>
      <c r="GB62">
        <f t="shared" si="76"/>
        <v>75000</v>
      </c>
      <c r="GC62">
        <f t="shared" ca="1" si="77"/>
        <v>490615</v>
      </c>
      <c r="GD62">
        <f t="shared" ca="1" si="78"/>
        <v>0</v>
      </c>
      <c r="GE62">
        <f t="shared" ca="1" si="79"/>
        <v>0</v>
      </c>
      <c r="GF62">
        <f t="shared" ca="1" si="80"/>
        <v>0</v>
      </c>
      <c r="GG62">
        <f t="shared" ca="1" si="81"/>
        <v>0</v>
      </c>
      <c r="GH62">
        <f t="shared" ca="1" si="82"/>
        <v>0</v>
      </c>
      <c r="GI62">
        <f t="shared" ca="1" si="83"/>
        <v>0</v>
      </c>
      <c r="GJ62">
        <f t="shared" ca="1" si="84"/>
        <v>0</v>
      </c>
      <c r="GK62">
        <f t="shared" ca="1" si="85"/>
        <v>0</v>
      </c>
      <c r="GL62">
        <f t="shared" ca="1" si="86"/>
        <v>0</v>
      </c>
      <c r="GM62">
        <f t="shared" ca="1" si="87"/>
        <v>0</v>
      </c>
      <c r="GN62">
        <f t="shared" ca="1" si="88"/>
        <v>90615</v>
      </c>
      <c r="GO62">
        <f t="shared" ca="1" si="89"/>
        <v>4530.75</v>
      </c>
      <c r="GP62">
        <f t="shared" ca="1" si="90"/>
        <v>4531</v>
      </c>
      <c r="GQ62">
        <f t="shared" ca="1" si="91"/>
        <v>0</v>
      </c>
      <c r="GR62">
        <f t="shared" ca="1" si="92"/>
        <v>0</v>
      </c>
      <c r="GS62">
        <f t="shared" ca="1" si="93"/>
        <v>4531</v>
      </c>
      <c r="GT62">
        <f t="shared" ca="1" si="94"/>
        <v>0</v>
      </c>
      <c r="GU62" t="b">
        <f t="shared" ca="1" si="95"/>
        <v>0</v>
      </c>
      <c r="GV62">
        <f t="shared" ca="1" si="96"/>
        <v>0</v>
      </c>
      <c r="GW62">
        <f t="shared" ca="1" si="97"/>
        <v>4531</v>
      </c>
      <c r="GX62">
        <f t="shared" ca="1" si="98"/>
        <v>0</v>
      </c>
      <c r="GY62">
        <f t="shared" ca="1" si="99"/>
        <v>0</v>
      </c>
      <c r="GZ62">
        <f t="shared" ca="1" si="100"/>
        <v>0</v>
      </c>
    </row>
    <row r="63" spans="1:208" x14ac:dyDescent="0.3">
      <c r="A63">
        <f>_xlfn.AGGREGATE(3,5,$B$2:B63)</f>
        <v>62</v>
      </c>
      <c r="B63" t="s">
        <v>241</v>
      </c>
      <c r="C63" t="s">
        <v>242</v>
      </c>
      <c r="D63" t="s">
        <v>765</v>
      </c>
      <c r="E63" t="s">
        <v>831</v>
      </c>
      <c r="F63" t="s">
        <v>956</v>
      </c>
      <c r="G63" t="s">
        <v>890</v>
      </c>
      <c r="H63">
        <f t="shared" si="19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1"/>
        <v>200</v>
      </c>
      <c r="S63">
        <f t="shared" si="102"/>
        <v>41270</v>
      </c>
      <c r="T63">
        <f>_xlfn.XLOOKUP(B63,'[2]april-2025'!$A:$A,'[2]april-2025'!$C:$C,0,0)</f>
        <v>34500</v>
      </c>
      <c r="U63">
        <f t="shared" si="4"/>
        <v>6210</v>
      </c>
      <c r="V63">
        <f t="shared" si="5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103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6"/>
        <v>200</v>
      </c>
      <c r="AC63">
        <f t="shared" si="7"/>
        <v>42650</v>
      </c>
      <c r="AD63">
        <f>_xlfn.XLOOKUP(B63,'[3]may-2025'!$A:$A,'[3]may-2025'!$C:$C,0,0)</f>
        <v>34500</v>
      </c>
      <c r="AE63">
        <f t="shared" si="8"/>
        <v>6210</v>
      </c>
      <c r="AF63">
        <f t="shared" si="9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04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0"/>
        <v>200</v>
      </c>
      <c r="AM63">
        <f t="shared" si="11"/>
        <v>42650</v>
      </c>
      <c r="AN63">
        <f>_xlfn.XLOOKUP(B63,'[4]june-2025'!$A:$A,'[4]june-2025'!$C:$C,0,0)</f>
        <v>34500</v>
      </c>
      <c r="AO63">
        <f t="shared" si="12"/>
        <v>6210</v>
      </c>
      <c r="AP63">
        <f t="shared" si="13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05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4"/>
        <v>200</v>
      </c>
      <c r="AW63">
        <f t="shared" si="15"/>
        <v>42650</v>
      </c>
      <c r="AX63">
        <f>_xlfn.XLOOKUP(B63,'[5]july-2025'!$A:$A,'[5]july-2025'!$C:$C,0,0)</f>
        <v>35500</v>
      </c>
      <c r="AY63">
        <f t="shared" si="16"/>
        <v>6390</v>
      </c>
      <c r="AZ63">
        <v>0</v>
      </c>
      <c r="BA63">
        <f t="shared" si="17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18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19"/>
        <v>200</v>
      </c>
      <c r="BH63">
        <f t="shared" si="20"/>
        <v>43950</v>
      </c>
      <c r="BI63">
        <f>_xlfn.XLOOKUP(B63,'[6]august-2025'!$A:$A,'[6]august-2025'!$C:$C,0,0)</f>
        <v>35500</v>
      </c>
      <c r="BJ63">
        <f t="shared" si="21"/>
        <v>6390</v>
      </c>
      <c r="BK63">
        <f t="shared" si="22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3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4"/>
        <v>200</v>
      </c>
      <c r="BR63">
        <f t="shared" si="25"/>
        <v>43950</v>
      </c>
      <c r="BS63">
        <f>_xlfn.XLOOKUP(B63,'[7]september-2025'!$A:$A,'[7]september-2025'!$C:$C,0,0)</f>
        <v>35500</v>
      </c>
      <c r="BT63">
        <f t="shared" si="26"/>
        <v>6390</v>
      </c>
      <c r="BU63">
        <f t="shared" si="27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28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29"/>
        <v>200</v>
      </c>
      <c r="CB63">
        <f t="shared" si="30"/>
        <v>43950</v>
      </c>
      <c r="CC63">
        <f>_xlfn.XLOOKUP(B63,'[8]october-2025'!$A:$A,'[8]october-2025'!$C:$C,0,0)</f>
        <v>35500</v>
      </c>
      <c r="CD63">
        <f t="shared" si="31"/>
        <v>6390</v>
      </c>
      <c r="CE63">
        <f t="shared" si="32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3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4"/>
        <v>200</v>
      </c>
      <c r="CL63">
        <f t="shared" si="35"/>
        <v>43950</v>
      </c>
      <c r="CM63">
        <f>_xlfn.XLOOKUP(B63,'[9]november-2025'!$A:$A,'[9]november-2025'!$C:$C,0,0)</f>
        <v>35500</v>
      </c>
      <c r="CN63">
        <f t="shared" si="36"/>
        <v>6390</v>
      </c>
      <c r="CO63">
        <f t="shared" si="37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38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39"/>
        <v>200</v>
      </c>
      <c r="CV63">
        <f t="shared" si="40"/>
        <v>43950</v>
      </c>
      <c r="CW63">
        <f>_xlfn.XLOOKUP(B63,'[10]december-2025'!$A:$A,'[10]december-2025'!$C:$C,0,0)</f>
        <v>35500</v>
      </c>
      <c r="CX63">
        <f t="shared" si="41"/>
        <v>6390</v>
      </c>
      <c r="CY63">
        <f t="shared" si="42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3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4"/>
        <v>200</v>
      </c>
      <c r="DF63">
        <f t="shared" si="45"/>
        <v>43950</v>
      </c>
      <c r="DG63">
        <f>_xlfn.XLOOKUP(B63,'[11]january-2026'!$A:$A,'[11]january-2026'!$C:$C,0,0)</f>
        <v>35500</v>
      </c>
      <c r="DH63">
        <f t="shared" si="46"/>
        <v>6390</v>
      </c>
      <c r="DI63">
        <f t="shared" si="47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48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49"/>
        <v>200</v>
      </c>
      <c r="DP63">
        <f t="shared" si="50"/>
        <v>43950</v>
      </c>
      <c r="DQ63">
        <f>_xlfn.XLOOKUP(B63,'[12]february-2026'!$A:$A,'[12]february-2026'!$C:$C,0,0)</f>
        <v>35500</v>
      </c>
      <c r="DR63">
        <f t="shared" si="51"/>
        <v>6390</v>
      </c>
      <c r="DS63">
        <f t="shared" si="52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3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4"/>
        <v>200</v>
      </c>
      <c r="DZ63">
        <f t="shared" si="55"/>
        <v>43950</v>
      </c>
      <c r="EA63">
        <f>_xlfn.XLOOKUP(B63,'[1]march-2025'!$A:$A,'[1]march-2025'!$J:$J,0,0)</f>
        <v>0</v>
      </c>
      <c r="EB63">
        <f>_xlfn.XLOOKUP(B63,'[2]april-2025'!$A:$A,'[2]april-2025'!$J:$J,0,0)</f>
        <v>0</v>
      </c>
      <c r="EC63">
        <f>_xlfn.XLOOKUP(B63,'[3]may-2025'!$A:$A,'[3]may-2025'!$J:$J,0,0)</f>
        <v>0</v>
      </c>
      <c r="ED63">
        <f>_xlfn.XLOOKUP(B63,'[4]june-2025'!$A:$A,'[4]june-2025'!$J:$J,0,0)</f>
        <v>0</v>
      </c>
      <c r="EE63">
        <f>_xlfn.XLOOKUP(B63,'[5]july-2025'!$A:$A,'[5]july-2025'!$J:$J,0,0)</f>
        <v>0</v>
      </c>
      <c r="EF63">
        <f>_xlfn.XLOOKUP(B63,'[6]august-2025'!$A:$A,'[6]august-2025'!$J:$J,0,0)</f>
        <v>0</v>
      </c>
      <c r="EG63">
        <f>_xlfn.XLOOKUP(B63,'[7]september-2025'!$A:$A,'[7]september-2025'!$J:$J,0,0)</f>
        <v>0</v>
      </c>
      <c r="EH63">
        <f>_xlfn.XLOOKUP(B63,'[8]october-2025'!$A:$A,'[8]october-2025'!$J:$J,0,0)</f>
        <v>0</v>
      </c>
      <c r="EI63">
        <f>_xlfn.XLOOKUP(C63,'[9]november-2025'!$A:$A,'[9]november-2025'!$J:$J,0,0)</f>
        <v>0</v>
      </c>
      <c r="EJ63">
        <f>_xlfn.XLOOKUP(B63,'[10]december-2025'!$A:$A,'[10]december-2025'!$J:$J,0,0)</f>
        <v>0</v>
      </c>
      <c r="EK63">
        <f>_xlfn.XLOOKUP(B63,'[11]january-2026'!$A:$A,'[11]january-2026'!$J:$J,0,0)</f>
        <v>0</v>
      </c>
      <c r="EL63">
        <f>_xlfn.XLOOKUP(B63,'[12]february-2026'!$A:$A,'[12]february-2026'!$J:$J,0,0)</f>
        <v>0</v>
      </c>
      <c r="EM63">
        <f t="shared" si="106"/>
        <v>0</v>
      </c>
      <c r="EN63">
        <f t="shared" si="56"/>
        <v>560020</v>
      </c>
      <c r="EO63">
        <f t="shared" si="57"/>
        <v>2400</v>
      </c>
      <c r="EP63">
        <f t="shared" si="58"/>
        <v>50000</v>
      </c>
      <c r="EQ63">
        <v>0</v>
      </c>
      <c r="ER63">
        <f t="shared" si="107"/>
        <v>507620</v>
      </c>
      <c r="ES63">
        <f t="shared" si="59"/>
        <v>30000</v>
      </c>
      <c r="ET63">
        <f t="shared" si="60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1"/>
        <v>30000</v>
      </c>
      <c r="FF63">
        <f t="shared" si="62"/>
        <v>30000</v>
      </c>
      <c r="FG63">
        <f t="shared" si="63"/>
        <v>477620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4"/>
        <v>0</v>
      </c>
      <c r="FP63">
        <f t="shared" si="65"/>
        <v>477620</v>
      </c>
      <c r="FQ63">
        <f t="shared" si="66"/>
        <v>11381</v>
      </c>
      <c r="FR63">
        <f t="shared" si="67"/>
        <v>0</v>
      </c>
      <c r="FS63">
        <f t="shared" si="68"/>
        <v>11381</v>
      </c>
      <c r="FT63">
        <f t="shared" si="69"/>
        <v>0</v>
      </c>
      <c r="FU63">
        <f t="shared" si="70"/>
        <v>0</v>
      </c>
      <c r="FV63">
        <f t="shared" si="71"/>
        <v>0</v>
      </c>
      <c r="FW63">
        <v>0</v>
      </c>
      <c r="FX63">
        <f t="shared" si="72"/>
        <v>0</v>
      </c>
      <c r="FY63" t="b">
        <f t="shared" si="73"/>
        <v>1</v>
      </c>
      <c r="FZ63">
        <f t="shared" ca="1" si="74"/>
        <v>677</v>
      </c>
      <c r="GA63">
        <f t="shared" ca="1" si="75"/>
        <v>560697</v>
      </c>
      <c r="GB63">
        <f t="shared" si="76"/>
        <v>75000</v>
      </c>
      <c r="GC63">
        <f t="shared" ca="1" si="77"/>
        <v>485697</v>
      </c>
      <c r="GD63">
        <f t="shared" ca="1" si="78"/>
        <v>0</v>
      </c>
      <c r="GE63">
        <f t="shared" ca="1" si="79"/>
        <v>0</v>
      </c>
      <c r="GF63">
        <f t="shared" ca="1" si="80"/>
        <v>0</v>
      </c>
      <c r="GG63">
        <f t="shared" ca="1" si="81"/>
        <v>0</v>
      </c>
      <c r="GH63">
        <f t="shared" ca="1" si="82"/>
        <v>0</v>
      </c>
      <c r="GI63">
        <f t="shared" ca="1" si="83"/>
        <v>0</v>
      </c>
      <c r="GJ63">
        <f t="shared" ca="1" si="84"/>
        <v>0</v>
      </c>
      <c r="GK63">
        <f t="shared" ca="1" si="85"/>
        <v>0</v>
      </c>
      <c r="GL63">
        <f t="shared" ca="1" si="86"/>
        <v>0</v>
      </c>
      <c r="GM63">
        <f t="shared" ca="1" si="87"/>
        <v>0</v>
      </c>
      <c r="GN63">
        <f t="shared" ca="1" si="88"/>
        <v>85697</v>
      </c>
      <c r="GO63">
        <f t="shared" ca="1" si="89"/>
        <v>4284.8500000000004</v>
      </c>
      <c r="GP63">
        <f t="shared" ca="1" si="90"/>
        <v>4285</v>
      </c>
      <c r="GQ63">
        <f t="shared" ca="1" si="91"/>
        <v>0</v>
      </c>
      <c r="GR63">
        <f t="shared" ca="1" si="92"/>
        <v>0</v>
      </c>
      <c r="GS63">
        <f t="shared" ca="1" si="93"/>
        <v>4285</v>
      </c>
      <c r="GT63">
        <f t="shared" ca="1" si="94"/>
        <v>0</v>
      </c>
      <c r="GU63" t="b">
        <f t="shared" ca="1" si="95"/>
        <v>0</v>
      </c>
      <c r="GV63">
        <f t="shared" ca="1" si="96"/>
        <v>0</v>
      </c>
      <c r="GW63">
        <f t="shared" ca="1" si="97"/>
        <v>4285</v>
      </c>
      <c r="GX63">
        <f t="shared" ca="1" si="98"/>
        <v>0</v>
      </c>
      <c r="GY63">
        <f t="shared" ca="1" si="99"/>
        <v>0</v>
      </c>
      <c r="GZ63">
        <f t="shared" ca="1" si="100"/>
        <v>0</v>
      </c>
    </row>
    <row r="64" spans="1:208" x14ac:dyDescent="0.3">
      <c r="A64">
        <f>_xlfn.AGGREGATE(3,5,$B$2:B64)</f>
        <v>63</v>
      </c>
      <c r="B64" t="s">
        <v>243</v>
      </c>
      <c r="C64" t="s">
        <v>244</v>
      </c>
      <c r="D64" t="s">
        <v>765</v>
      </c>
      <c r="E64" t="s">
        <v>830</v>
      </c>
      <c r="F64" t="s">
        <v>956</v>
      </c>
      <c r="G64" t="s">
        <v>896</v>
      </c>
      <c r="H64">
        <f t="shared" si="19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1"/>
        <v>200</v>
      </c>
      <c r="S64">
        <f t="shared" si="102"/>
        <v>39510</v>
      </c>
      <c r="T64">
        <f>_xlfn.XLOOKUP(B64,'[2]april-2025'!$A:$A,'[2]april-2025'!$C:$C,0,0)</f>
        <v>33500</v>
      </c>
      <c r="U64">
        <f t="shared" si="4"/>
        <v>6030</v>
      </c>
      <c r="V64">
        <f t="shared" si="5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103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6"/>
        <v>200</v>
      </c>
      <c r="AC64">
        <f t="shared" si="7"/>
        <v>40850</v>
      </c>
      <c r="AD64">
        <f>_xlfn.XLOOKUP(B64,'[3]may-2025'!$A:$A,'[3]may-2025'!$C:$C,0,0)</f>
        <v>33500</v>
      </c>
      <c r="AE64">
        <f t="shared" si="8"/>
        <v>6030</v>
      </c>
      <c r="AF64">
        <f t="shared" si="9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04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0"/>
        <v>200</v>
      </c>
      <c r="AM64">
        <f t="shared" si="11"/>
        <v>40850</v>
      </c>
      <c r="AN64">
        <f>_xlfn.XLOOKUP(B64,'[4]june-2025'!$A:$A,'[4]june-2025'!$C:$C,0,0)</f>
        <v>33500</v>
      </c>
      <c r="AO64">
        <f t="shared" si="12"/>
        <v>6030</v>
      </c>
      <c r="AP64">
        <f t="shared" si="13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05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4"/>
        <v>200</v>
      </c>
      <c r="AW64">
        <f t="shared" si="15"/>
        <v>40850</v>
      </c>
      <c r="AX64">
        <f>_xlfn.XLOOKUP(B64,'[5]july-2025'!$A:$A,'[5]july-2025'!$C:$C,0,0)</f>
        <v>34500</v>
      </c>
      <c r="AY64">
        <f t="shared" si="16"/>
        <v>6210</v>
      </c>
      <c r="AZ64">
        <v>0</v>
      </c>
      <c r="BA64">
        <f t="shared" si="17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18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19"/>
        <v>200</v>
      </c>
      <c r="BH64">
        <f t="shared" si="20"/>
        <v>42150</v>
      </c>
      <c r="BI64">
        <f>_xlfn.XLOOKUP(B64,'[6]august-2025'!$A:$A,'[6]august-2025'!$C:$C,0,0)</f>
        <v>34500</v>
      </c>
      <c r="BJ64">
        <f t="shared" si="21"/>
        <v>6210</v>
      </c>
      <c r="BK64">
        <f t="shared" si="22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3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4"/>
        <v>200</v>
      </c>
      <c r="BR64">
        <f t="shared" si="25"/>
        <v>42150</v>
      </c>
      <c r="BS64">
        <f>_xlfn.XLOOKUP(B64,'[7]september-2025'!$A:$A,'[7]september-2025'!$C:$C,0,0)</f>
        <v>34500</v>
      </c>
      <c r="BT64">
        <f t="shared" si="26"/>
        <v>6210</v>
      </c>
      <c r="BU64">
        <f t="shared" si="27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28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29"/>
        <v>200</v>
      </c>
      <c r="CB64">
        <f t="shared" si="30"/>
        <v>42150</v>
      </c>
      <c r="CC64">
        <f>_xlfn.XLOOKUP(B64,'[8]october-2025'!$A:$A,'[8]october-2025'!$C:$C,0,0)</f>
        <v>34500</v>
      </c>
      <c r="CD64">
        <f t="shared" si="31"/>
        <v>6210</v>
      </c>
      <c r="CE64">
        <f t="shared" si="32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3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4"/>
        <v>200</v>
      </c>
      <c r="CL64">
        <f t="shared" si="35"/>
        <v>42150</v>
      </c>
      <c r="CM64">
        <f>_xlfn.XLOOKUP(B64,'[9]november-2025'!$A:$A,'[9]november-2025'!$C:$C,0,0)</f>
        <v>34500</v>
      </c>
      <c r="CN64">
        <f t="shared" si="36"/>
        <v>6210</v>
      </c>
      <c r="CO64">
        <f t="shared" si="37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38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39"/>
        <v>200</v>
      </c>
      <c r="CV64">
        <f t="shared" si="40"/>
        <v>42150</v>
      </c>
      <c r="CW64">
        <f>_xlfn.XLOOKUP(B64,'[10]december-2025'!$A:$A,'[10]december-2025'!$C:$C,0,0)</f>
        <v>34500</v>
      </c>
      <c r="CX64">
        <f t="shared" si="41"/>
        <v>6210</v>
      </c>
      <c r="CY64">
        <f t="shared" si="42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3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4"/>
        <v>200</v>
      </c>
      <c r="DF64">
        <f t="shared" si="45"/>
        <v>42150</v>
      </c>
      <c r="DG64">
        <f>_xlfn.XLOOKUP(B64,'[11]january-2026'!$A:$A,'[11]january-2026'!$C:$C,0,0)</f>
        <v>34500</v>
      </c>
      <c r="DH64">
        <f t="shared" si="46"/>
        <v>6210</v>
      </c>
      <c r="DI64">
        <f t="shared" si="47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48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49"/>
        <v>200</v>
      </c>
      <c r="DP64">
        <f t="shared" si="50"/>
        <v>42150</v>
      </c>
      <c r="DQ64">
        <f>_xlfn.XLOOKUP(B64,'[12]february-2026'!$A:$A,'[12]february-2026'!$C:$C,0,0)</f>
        <v>34500</v>
      </c>
      <c r="DR64">
        <f t="shared" si="51"/>
        <v>6210</v>
      </c>
      <c r="DS64">
        <f t="shared" si="52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3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4"/>
        <v>200</v>
      </c>
      <c r="DZ64">
        <f t="shared" si="55"/>
        <v>42150</v>
      </c>
      <c r="EA64">
        <f>_xlfn.XLOOKUP(B64,'[1]march-2025'!$A:$A,'[1]march-2025'!$J:$J,0,0)</f>
        <v>0</v>
      </c>
      <c r="EB64">
        <f>_xlfn.XLOOKUP(B64,'[2]april-2025'!$A:$A,'[2]april-2025'!$J:$J,0,0)</f>
        <v>0</v>
      </c>
      <c r="EC64">
        <f>_xlfn.XLOOKUP(B64,'[3]may-2025'!$A:$A,'[3]may-2025'!$J:$J,0,0)</f>
        <v>0</v>
      </c>
      <c r="ED64">
        <f>_xlfn.XLOOKUP(B64,'[4]june-2025'!$A:$A,'[4]june-2025'!$J:$J,0,0)</f>
        <v>0</v>
      </c>
      <c r="EE64">
        <f>_xlfn.XLOOKUP(B64,'[5]july-2025'!$A:$A,'[5]july-2025'!$J:$J,0,0)</f>
        <v>0</v>
      </c>
      <c r="EF64">
        <f>_xlfn.XLOOKUP(B64,'[6]august-2025'!$A:$A,'[6]august-2025'!$J:$J,0,0)</f>
        <v>0</v>
      </c>
      <c r="EG64">
        <f>_xlfn.XLOOKUP(B64,'[7]september-2025'!$A:$A,'[7]september-2025'!$J:$J,0,0)</f>
        <v>0</v>
      </c>
      <c r="EH64">
        <f>_xlfn.XLOOKUP(B64,'[8]october-2025'!$A:$A,'[8]october-2025'!$J:$J,0,0)</f>
        <v>0</v>
      </c>
      <c r="EI64">
        <f>_xlfn.XLOOKUP(C64,'[9]november-2025'!$A:$A,'[9]november-2025'!$J:$J,0,0)</f>
        <v>0</v>
      </c>
      <c r="EJ64">
        <f>_xlfn.XLOOKUP(B64,'[10]december-2025'!$A:$A,'[10]december-2025'!$J:$J,0,0)</f>
        <v>0</v>
      </c>
      <c r="EK64">
        <f>_xlfn.XLOOKUP(B64,'[11]january-2026'!$A:$A,'[11]january-2026'!$J:$J,0,0)</f>
        <v>0</v>
      </c>
      <c r="EL64">
        <f>_xlfn.XLOOKUP(B64,'[12]february-2026'!$A:$A,'[12]february-2026'!$J:$J,0,0)</f>
        <v>0</v>
      </c>
      <c r="EM64">
        <f t="shared" si="106"/>
        <v>0</v>
      </c>
      <c r="EN64">
        <f t="shared" si="56"/>
        <v>538460</v>
      </c>
      <c r="EO64">
        <f t="shared" si="57"/>
        <v>2400</v>
      </c>
      <c r="EP64">
        <f t="shared" si="58"/>
        <v>50000</v>
      </c>
      <c r="EQ64">
        <v>0</v>
      </c>
      <c r="ER64">
        <f t="shared" si="107"/>
        <v>486060</v>
      </c>
      <c r="ES64">
        <f t="shared" si="59"/>
        <v>30000</v>
      </c>
      <c r="ET64">
        <f t="shared" si="60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1"/>
        <v>30000</v>
      </c>
      <c r="FF64">
        <f t="shared" si="62"/>
        <v>30000</v>
      </c>
      <c r="FG64">
        <f t="shared" si="63"/>
        <v>456060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4"/>
        <v>0</v>
      </c>
      <c r="FP64">
        <f t="shared" si="65"/>
        <v>456060</v>
      </c>
      <c r="FQ64">
        <f t="shared" si="66"/>
        <v>10303</v>
      </c>
      <c r="FR64">
        <f t="shared" si="67"/>
        <v>0</v>
      </c>
      <c r="FS64">
        <f t="shared" si="68"/>
        <v>10303</v>
      </c>
      <c r="FT64">
        <f t="shared" si="69"/>
        <v>0</v>
      </c>
      <c r="FU64">
        <f t="shared" si="70"/>
        <v>0</v>
      </c>
      <c r="FV64">
        <f t="shared" si="71"/>
        <v>0</v>
      </c>
      <c r="FW64">
        <v>0</v>
      </c>
      <c r="FX64">
        <f t="shared" si="72"/>
        <v>0</v>
      </c>
      <c r="FY64" t="b">
        <f t="shared" si="73"/>
        <v>1</v>
      </c>
      <c r="FZ64">
        <f t="shared" ca="1" si="74"/>
        <v>974</v>
      </c>
      <c r="GA64">
        <f t="shared" ca="1" si="75"/>
        <v>539434</v>
      </c>
      <c r="GB64">
        <f t="shared" si="76"/>
        <v>75000</v>
      </c>
      <c r="GC64">
        <f t="shared" ca="1" si="77"/>
        <v>464434</v>
      </c>
      <c r="GD64">
        <f t="shared" ca="1" si="78"/>
        <v>0</v>
      </c>
      <c r="GE64">
        <f t="shared" ca="1" si="79"/>
        <v>0</v>
      </c>
      <c r="GF64">
        <f t="shared" ca="1" si="80"/>
        <v>0</v>
      </c>
      <c r="GG64">
        <f t="shared" ca="1" si="81"/>
        <v>0</v>
      </c>
      <c r="GH64">
        <f t="shared" ca="1" si="82"/>
        <v>0</v>
      </c>
      <c r="GI64">
        <f t="shared" ca="1" si="83"/>
        <v>0</v>
      </c>
      <c r="GJ64">
        <f t="shared" ca="1" si="84"/>
        <v>0</v>
      </c>
      <c r="GK64">
        <f t="shared" ca="1" si="85"/>
        <v>0</v>
      </c>
      <c r="GL64">
        <f t="shared" ca="1" si="86"/>
        <v>0</v>
      </c>
      <c r="GM64">
        <f t="shared" ca="1" si="87"/>
        <v>0</v>
      </c>
      <c r="GN64">
        <f t="shared" ca="1" si="88"/>
        <v>64434</v>
      </c>
      <c r="GO64">
        <f t="shared" ca="1" si="89"/>
        <v>3221.7000000000003</v>
      </c>
      <c r="GP64">
        <f t="shared" ca="1" si="90"/>
        <v>3222</v>
      </c>
      <c r="GQ64">
        <f t="shared" ca="1" si="91"/>
        <v>0</v>
      </c>
      <c r="GR64">
        <f t="shared" ca="1" si="92"/>
        <v>0</v>
      </c>
      <c r="GS64">
        <f t="shared" ca="1" si="93"/>
        <v>3222</v>
      </c>
      <c r="GT64">
        <f t="shared" ca="1" si="94"/>
        <v>0</v>
      </c>
      <c r="GU64" t="b">
        <f t="shared" ca="1" si="95"/>
        <v>0</v>
      </c>
      <c r="GV64">
        <f t="shared" ca="1" si="96"/>
        <v>0</v>
      </c>
      <c r="GW64">
        <f t="shared" ca="1" si="97"/>
        <v>3222</v>
      </c>
      <c r="GX64">
        <f t="shared" ca="1" si="98"/>
        <v>0</v>
      </c>
      <c r="GY64">
        <f t="shared" ca="1" si="99"/>
        <v>0</v>
      </c>
      <c r="GZ64">
        <f t="shared" ca="1" si="100"/>
        <v>0</v>
      </c>
    </row>
    <row r="65" spans="1:208" x14ac:dyDescent="0.3">
      <c r="A65">
        <f>_xlfn.AGGREGATE(3,5,$B$2:B65)</f>
        <v>64</v>
      </c>
      <c r="B65" t="s">
        <v>245</v>
      </c>
      <c r="C65" t="s">
        <v>246</v>
      </c>
      <c r="D65" t="s">
        <v>765</v>
      </c>
      <c r="E65" t="s">
        <v>831</v>
      </c>
      <c r="F65" t="s">
        <v>956</v>
      </c>
      <c r="G65" t="s">
        <v>890</v>
      </c>
      <c r="H65">
        <f t="shared" si="19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1"/>
        <v>200</v>
      </c>
      <c r="S65">
        <f t="shared" si="102"/>
        <v>39510</v>
      </c>
      <c r="T65">
        <f>_xlfn.XLOOKUP(B65,'[2]april-2025'!$A:$A,'[2]april-2025'!$C:$C,0,0)</f>
        <v>33500</v>
      </c>
      <c r="U65">
        <f t="shared" si="4"/>
        <v>6030</v>
      </c>
      <c r="V65">
        <f t="shared" si="5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103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6"/>
        <v>200</v>
      </c>
      <c r="AC65">
        <f t="shared" si="7"/>
        <v>40850</v>
      </c>
      <c r="AD65">
        <f>_xlfn.XLOOKUP(B65,'[3]may-2025'!$A:$A,'[3]may-2025'!$C:$C,0,0)</f>
        <v>33500</v>
      </c>
      <c r="AE65">
        <f t="shared" si="8"/>
        <v>6030</v>
      </c>
      <c r="AF65">
        <f t="shared" si="9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04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0"/>
        <v>200</v>
      </c>
      <c r="AM65">
        <f t="shared" si="11"/>
        <v>40850</v>
      </c>
      <c r="AN65">
        <f>_xlfn.XLOOKUP(B65,'[4]june-2025'!$A:$A,'[4]june-2025'!$C:$C,0,0)</f>
        <v>33500</v>
      </c>
      <c r="AO65">
        <f t="shared" si="12"/>
        <v>6030</v>
      </c>
      <c r="AP65">
        <f t="shared" si="13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05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4"/>
        <v>200</v>
      </c>
      <c r="AW65">
        <f t="shared" si="15"/>
        <v>40850</v>
      </c>
      <c r="AX65">
        <f>_xlfn.XLOOKUP(B65,'[5]july-2025'!$A:$A,'[5]july-2025'!$C:$C,0,0)</f>
        <v>35500</v>
      </c>
      <c r="AY65">
        <f t="shared" si="16"/>
        <v>6390</v>
      </c>
      <c r="AZ65">
        <v>0</v>
      </c>
      <c r="BA65">
        <f t="shared" si="17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18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19"/>
        <v>200</v>
      </c>
      <c r="BH65">
        <f t="shared" si="20"/>
        <v>43450</v>
      </c>
      <c r="BI65">
        <f>_xlfn.XLOOKUP(B65,'[6]august-2025'!$A:$A,'[6]august-2025'!$C:$C,0,0)</f>
        <v>35500</v>
      </c>
      <c r="BJ65">
        <f t="shared" si="21"/>
        <v>6390</v>
      </c>
      <c r="BK65">
        <f t="shared" si="22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3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4"/>
        <v>200</v>
      </c>
      <c r="BR65">
        <f t="shared" si="25"/>
        <v>43450</v>
      </c>
      <c r="BS65">
        <f>_xlfn.XLOOKUP(B65,'[7]september-2025'!$A:$A,'[7]september-2025'!$C:$C,0,0)</f>
        <v>35500</v>
      </c>
      <c r="BT65">
        <f t="shared" si="26"/>
        <v>6390</v>
      </c>
      <c r="BU65">
        <f t="shared" si="27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28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29"/>
        <v>200</v>
      </c>
      <c r="CB65">
        <f t="shared" si="30"/>
        <v>43450</v>
      </c>
      <c r="CC65">
        <f>_xlfn.XLOOKUP(B65,'[8]october-2025'!$A:$A,'[8]october-2025'!$C:$C,0,0)</f>
        <v>35500</v>
      </c>
      <c r="CD65">
        <f t="shared" si="31"/>
        <v>6390</v>
      </c>
      <c r="CE65">
        <f t="shared" si="32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3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4"/>
        <v>200</v>
      </c>
      <c r="CL65">
        <f t="shared" si="35"/>
        <v>43450</v>
      </c>
      <c r="CM65">
        <f>_xlfn.XLOOKUP(B65,'[9]november-2025'!$A:$A,'[9]november-2025'!$C:$C,0,0)</f>
        <v>35500</v>
      </c>
      <c r="CN65">
        <f t="shared" si="36"/>
        <v>6390</v>
      </c>
      <c r="CO65">
        <f t="shared" si="37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38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39"/>
        <v>200</v>
      </c>
      <c r="CV65">
        <f t="shared" si="40"/>
        <v>43450</v>
      </c>
      <c r="CW65">
        <f>_xlfn.XLOOKUP(B65,'[10]december-2025'!$A:$A,'[10]december-2025'!$C:$C,0,0)</f>
        <v>35500</v>
      </c>
      <c r="CX65">
        <f t="shared" si="41"/>
        <v>6390</v>
      </c>
      <c r="CY65">
        <f t="shared" si="42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3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4"/>
        <v>200</v>
      </c>
      <c r="DF65">
        <f t="shared" si="45"/>
        <v>43450</v>
      </c>
      <c r="DG65">
        <f>_xlfn.XLOOKUP(B65,'[11]january-2026'!$A:$A,'[11]january-2026'!$C:$C,0,0)</f>
        <v>35500</v>
      </c>
      <c r="DH65">
        <f t="shared" si="46"/>
        <v>6390</v>
      </c>
      <c r="DI65">
        <f t="shared" si="47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48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49"/>
        <v>200</v>
      </c>
      <c r="DP65">
        <f t="shared" si="50"/>
        <v>43450</v>
      </c>
      <c r="DQ65">
        <f>_xlfn.XLOOKUP(B65,'[12]february-2026'!$A:$A,'[12]february-2026'!$C:$C,0,0)</f>
        <v>35500</v>
      </c>
      <c r="DR65">
        <f t="shared" si="51"/>
        <v>6390</v>
      </c>
      <c r="DS65">
        <f t="shared" si="52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3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4"/>
        <v>200</v>
      </c>
      <c r="DZ65">
        <f t="shared" si="55"/>
        <v>43450</v>
      </c>
      <c r="EA65">
        <f>_xlfn.XLOOKUP(B65,'[1]march-2025'!$A:$A,'[1]march-2025'!$J:$J,0,0)</f>
        <v>0</v>
      </c>
      <c r="EB65">
        <f>_xlfn.XLOOKUP(B65,'[2]april-2025'!$A:$A,'[2]april-2025'!$J:$J,0,0)</f>
        <v>0</v>
      </c>
      <c r="EC65">
        <f>_xlfn.XLOOKUP(B65,'[3]may-2025'!$A:$A,'[3]may-2025'!$J:$J,0,0)</f>
        <v>0</v>
      </c>
      <c r="ED65">
        <f>_xlfn.XLOOKUP(B65,'[4]june-2025'!$A:$A,'[4]june-2025'!$J:$J,0,0)</f>
        <v>0</v>
      </c>
      <c r="EE65">
        <f>_xlfn.XLOOKUP(B65,'[5]july-2025'!$A:$A,'[5]july-2025'!$J:$J,0,0)</f>
        <v>0</v>
      </c>
      <c r="EF65">
        <f>_xlfn.XLOOKUP(B65,'[6]august-2025'!$A:$A,'[6]august-2025'!$J:$J,0,0)</f>
        <v>0</v>
      </c>
      <c r="EG65">
        <f>_xlfn.XLOOKUP(B65,'[7]september-2025'!$A:$A,'[7]september-2025'!$J:$J,0,0)</f>
        <v>0</v>
      </c>
      <c r="EH65">
        <f>_xlfn.XLOOKUP(B65,'[8]october-2025'!$A:$A,'[8]october-2025'!$J:$J,0,0)</f>
        <v>0</v>
      </c>
      <c r="EI65">
        <f>_xlfn.XLOOKUP(C65,'[9]november-2025'!$A:$A,'[9]november-2025'!$J:$J,0,0)</f>
        <v>0</v>
      </c>
      <c r="EJ65">
        <f>_xlfn.XLOOKUP(B65,'[10]december-2025'!$A:$A,'[10]december-2025'!$J:$J,0,0)</f>
        <v>0</v>
      </c>
      <c r="EK65">
        <f>_xlfn.XLOOKUP(B65,'[11]january-2026'!$A:$A,'[11]january-2026'!$J:$J,0,0)</f>
        <v>0</v>
      </c>
      <c r="EL65">
        <f>_xlfn.XLOOKUP(B65,'[12]february-2026'!$A:$A,'[12]february-2026'!$J:$J,0,0)</f>
        <v>0</v>
      </c>
      <c r="EM65">
        <f t="shared" si="106"/>
        <v>0</v>
      </c>
      <c r="EN65">
        <f t="shared" si="56"/>
        <v>548860</v>
      </c>
      <c r="EO65">
        <f t="shared" si="57"/>
        <v>2400</v>
      </c>
      <c r="EP65">
        <f t="shared" si="58"/>
        <v>50000</v>
      </c>
      <c r="EQ65">
        <v>0</v>
      </c>
      <c r="ER65">
        <f t="shared" si="107"/>
        <v>496460</v>
      </c>
      <c r="ES65">
        <f t="shared" si="59"/>
        <v>30000</v>
      </c>
      <c r="ET65">
        <f t="shared" si="60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1"/>
        <v>30000</v>
      </c>
      <c r="FF65">
        <f t="shared" si="62"/>
        <v>30000</v>
      </c>
      <c r="FG65">
        <f t="shared" si="63"/>
        <v>466460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4"/>
        <v>0</v>
      </c>
      <c r="FP65">
        <f t="shared" si="65"/>
        <v>466460</v>
      </c>
      <c r="FQ65">
        <f t="shared" si="66"/>
        <v>10823</v>
      </c>
      <c r="FR65">
        <f t="shared" si="67"/>
        <v>0</v>
      </c>
      <c r="FS65">
        <f t="shared" si="68"/>
        <v>10823</v>
      </c>
      <c r="FT65">
        <f t="shared" si="69"/>
        <v>0</v>
      </c>
      <c r="FU65">
        <f t="shared" si="70"/>
        <v>0</v>
      </c>
      <c r="FV65">
        <f t="shared" si="71"/>
        <v>0</v>
      </c>
      <c r="FW65">
        <v>0</v>
      </c>
      <c r="FX65">
        <f t="shared" si="72"/>
        <v>0</v>
      </c>
      <c r="FY65" t="b">
        <f t="shared" si="73"/>
        <v>1</v>
      </c>
      <c r="FZ65">
        <f t="shared" ca="1" si="74"/>
        <v>911</v>
      </c>
      <c r="GA65">
        <f t="shared" ca="1" si="75"/>
        <v>549771</v>
      </c>
      <c r="GB65">
        <f t="shared" si="76"/>
        <v>75000</v>
      </c>
      <c r="GC65">
        <f t="shared" ca="1" si="77"/>
        <v>474771</v>
      </c>
      <c r="GD65">
        <f t="shared" ca="1" si="78"/>
        <v>0</v>
      </c>
      <c r="GE65">
        <f t="shared" ca="1" si="79"/>
        <v>0</v>
      </c>
      <c r="GF65">
        <f t="shared" ca="1" si="80"/>
        <v>0</v>
      </c>
      <c r="GG65">
        <f t="shared" ca="1" si="81"/>
        <v>0</v>
      </c>
      <c r="GH65">
        <f t="shared" ca="1" si="82"/>
        <v>0</v>
      </c>
      <c r="GI65">
        <f t="shared" ca="1" si="83"/>
        <v>0</v>
      </c>
      <c r="GJ65">
        <f t="shared" ca="1" si="84"/>
        <v>0</v>
      </c>
      <c r="GK65">
        <f t="shared" ca="1" si="85"/>
        <v>0</v>
      </c>
      <c r="GL65">
        <f t="shared" ca="1" si="86"/>
        <v>0</v>
      </c>
      <c r="GM65">
        <f t="shared" ca="1" si="87"/>
        <v>0</v>
      </c>
      <c r="GN65">
        <f t="shared" ca="1" si="88"/>
        <v>74771</v>
      </c>
      <c r="GO65">
        <f t="shared" ca="1" si="89"/>
        <v>3738.55</v>
      </c>
      <c r="GP65">
        <f t="shared" ca="1" si="90"/>
        <v>3739</v>
      </c>
      <c r="GQ65">
        <f t="shared" ca="1" si="91"/>
        <v>0</v>
      </c>
      <c r="GR65">
        <f t="shared" ca="1" si="92"/>
        <v>0</v>
      </c>
      <c r="GS65">
        <f t="shared" ca="1" si="93"/>
        <v>3739</v>
      </c>
      <c r="GT65">
        <f t="shared" ca="1" si="94"/>
        <v>0</v>
      </c>
      <c r="GU65" t="b">
        <f t="shared" ca="1" si="95"/>
        <v>0</v>
      </c>
      <c r="GV65">
        <f t="shared" ca="1" si="96"/>
        <v>0</v>
      </c>
      <c r="GW65">
        <f t="shared" ca="1" si="97"/>
        <v>3739</v>
      </c>
      <c r="GX65">
        <f t="shared" ca="1" si="98"/>
        <v>0</v>
      </c>
      <c r="GY65">
        <f t="shared" ca="1" si="99"/>
        <v>0</v>
      </c>
      <c r="GZ65">
        <f t="shared" ca="1" si="100"/>
        <v>0</v>
      </c>
    </row>
    <row r="66" spans="1:208" x14ac:dyDescent="0.3">
      <c r="A66">
        <f>_xlfn.AGGREGATE(3,5,$B$2:B66)</f>
        <v>65</v>
      </c>
      <c r="B66" t="s">
        <v>247</v>
      </c>
      <c r="C66" t="s">
        <v>248</v>
      </c>
      <c r="D66" t="s">
        <v>765</v>
      </c>
      <c r="E66" t="s">
        <v>830</v>
      </c>
      <c r="F66" t="s">
        <v>956</v>
      </c>
      <c r="G66" t="s">
        <v>878</v>
      </c>
      <c r="H66">
        <f t="shared" si="19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ref="O66:O129" si="194">IF(J66&gt;0,SUM(J66:N66),0)</f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1"/>
        <v>200</v>
      </c>
      <c r="S66">
        <f t="shared" si="102"/>
        <v>38116</v>
      </c>
      <c r="T66">
        <f>_xlfn.XLOOKUP(B66,'[2]april-2025'!$A:$A,'[2]april-2025'!$C:$C,0,0)</f>
        <v>31600</v>
      </c>
      <c r="U66">
        <f t="shared" si="4"/>
        <v>5688</v>
      </c>
      <c r="V66">
        <f t="shared" si="5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103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6"/>
        <v>200</v>
      </c>
      <c r="AC66">
        <f t="shared" si="7"/>
        <v>39380</v>
      </c>
      <c r="AD66">
        <f>_xlfn.XLOOKUP(B66,'[3]may-2025'!$A:$A,'[3]may-2025'!$C:$C,0,0)</f>
        <v>31600</v>
      </c>
      <c r="AE66">
        <f t="shared" si="8"/>
        <v>5688</v>
      </c>
      <c r="AF66">
        <f t="shared" si="9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04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0"/>
        <v>200</v>
      </c>
      <c r="AM66">
        <f t="shared" si="11"/>
        <v>39380</v>
      </c>
      <c r="AN66">
        <f>_xlfn.XLOOKUP(B66,'[4]june-2025'!$A:$A,'[4]june-2025'!$C:$C,0,0)</f>
        <v>31600</v>
      </c>
      <c r="AO66">
        <f t="shared" si="12"/>
        <v>5688</v>
      </c>
      <c r="AP66">
        <f t="shared" si="13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05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4"/>
        <v>200</v>
      </c>
      <c r="AW66">
        <f t="shared" si="15"/>
        <v>39380</v>
      </c>
      <c r="AX66">
        <f>_xlfn.XLOOKUP(B66,'[5]july-2025'!$A:$A,'[5]july-2025'!$C:$C,0,0)</f>
        <v>32500</v>
      </c>
      <c r="AY66">
        <f t="shared" si="16"/>
        <v>5850</v>
      </c>
      <c r="AZ66">
        <v>0</v>
      </c>
      <c r="BA66">
        <f t="shared" si="17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ref="BD66:BD129" si="195">IF(AX66&gt;0,SUM(AX66:BC66),0)</f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19"/>
        <v>200</v>
      </c>
      <c r="BH66">
        <f t="shared" si="20"/>
        <v>40550</v>
      </c>
      <c r="BI66">
        <f>_xlfn.XLOOKUP(B66,'[6]august-2025'!$A:$A,'[6]august-2025'!$C:$C,0,0)</f>
        <v>32500</v>
      </c>
      <c r="BJ66">
        <f t="shared" si="21"/>
        <v>5850</v>
      </c>
      <c r="BK66">
        <f t="shared" si="22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3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ref="BQ66:BQ129" si="196">IF($F66="YES",0,IF(BN66&gt;40000,200,IF(BN66&gt;25000,150,IF(BN66&gt;15000,130,IF(BN66&gt;10000,110,0)))))</f>
        <v>200</v>
      </c>
      <c r="BR66">
        <f t="shared" ref="BR66:BR129" si="197">BN66-BO66-BP66-BQ66</f>
        <v>40550</v>
      </c>
      <c r="BS66">
        <f>_xlfn.XLOOKUP(B66,'[7]september-2025'!$A:$A,'[7]september-2025'!$C:$C,0,0)</f>
        <v>32500</v>
      </c>
      <c r="BT66">
        <f t="shared" si="26"/>
        <v>5850</v>
      </c>
      <c r="BU66">
        <f t="shared" si="27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ref="BX66:BX129" si="198">IF(BS66&gt;0,SUM(BS66:BW66),0)</f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29"/>
        <v>200</v>
      </c>
      <c r="CB66">
        <f t="shared" si="30"/>
        <v>40550</v>
      </c>
      <c r="CC66">
        <f>_xlfn.XLOOKUP(B66,'[8]october-2025'!$A:$A,'[8]october-2025'!$C:$C,0,0)</f>
        <v>32500</v>
      </c>
      <c r="CD66">
        <f t="shared" si="31"/>
        <v>5850</v>
      </c>
      <c r="CE66">
        <f t="shared" si="32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ref="CH66:CH129" si="199">IF(CC66&gt;0,SUM(CC66:CG66),0)</f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4"/>
        <v>200</v>
      </c>
      <c r="CL66">
        <f t="shared" si="35"/>
        <v>40550</v>
      </c>
      <c r="CM66">
        <f>_xlfn.XLOOKUP(B66,'[9]november-2025'!$A:$A,'[9]november-2025'!$C:$C,0,0)</f>
        <v>32500</v>
      </c>
      <c r="CN66">
        <f t="shared" si="36"/>
        <v>5850</v>
      </c>
      <c r="CO66">
        <f t="shared" si="37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ref="CR66:CR129" si="200">IF(CM66&gt;0,SUM(CM66:CQ66),0)</f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39"/>
        <v>200</v>
      </c>
      <c r="CV66">
        <f t="shared" si="40"/>
        <v>40550</v>
      </c>
      <c r="CW66">
        <f>_xlfn.XLOOKUP(B66,'[10]december-2025'!$A:$A,'[10]december-2025'!$C:$C,0,0)</f>
        <v>32500</v>
      </c>
      <c r="CX66">
        <f t="shared" si="41"/>
        <v>5850</v>
      </c>
      <c r="CY66">
        <f t="shared" si="42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ref="DB66:DB129" si="201">IF(CW66&gt;0,SUM(CW66:DA66),0)</f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4"/>
        <v>200</v>
      </c>
      <c r="DF66">
        <f t="shared" si="45"/>
        <v>40550</v>
      </c>
      <c r="DG66">
        <f>_xlfn.XLOOKUP(B66,'[11]january-2026'!$A:$A,'[11]january-2026'!$C:$C,0,0)</f>
        <v>32500</v>
      </c>
      <c r="DH66">
        <f t="shared" si="46"/>
        <v>5850</v>
      </c>
      <c r="DI66">
        <f t="shared" si="47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ref="DL66:DL129" si="202">IF(DG66&gt;0,SUM(DG66:DK66),0)</f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49"/>
        <v>200</v>
      </c>
      <c r="DP66">
        <f t="shared" si="50"/>
        <v>40550</v>
      </c>
      <c r="DQ66">
        <f>_xlfn.XLOOKUP(B66,'[12]february-2026'!$A:$A,'[12]february-2026'!$C:$C,0,0)</f>
        <v>32500</v>
      </c>
      <c r="DR66">
        <f t="shared" si="51"/>
        <v>5850</v>
      </c>
      <c r="DS66">
        <f t="shared" si="52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ref="DV66:DV129" si="203">IF(DQ66&gt;0,SUM(DQ66:DU66),0)</f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4"/>
        <v>200</v>
      </c>
      <c r="DZ66">
        <f t="shared" si="55"/>
        <v>40550</v>
      </c>
      <c r="EA66">
        <f>_xlfn.XLOOKUP(B66,'[1]march-2025'!$A:$A,'[1]march-2025'!$J:$J,0,0)</f>
        <v>0</v>
      </c>
      <c r="EB66">
        <f>_xlfn.XLOOKUP(B66,'[2]april-2025'!$A:$A,'[2]april-2025'!$J:$J,0,0)</f>
        <v>0</v>
      </c>
      <c r="EC66">
        <f>_xlfn.XLOOKUP(B66,'[3]may-2025'!$A:$A,'[3]may-2025'!$J:$J,0,0)</f>
        <v>0</v>
      </c>
      <c r="ED66">
        <f>_xlfn.XLOOKUP(B66,'[4]june-2025'!$A:$A,'[4]june-2025'!$J:$J,0,0)</f>
        <v>0</v>
      </c>
      <c r="EE66">
        <f>_xlfn.XLOOKUP(B66,'[5]july-2025'!$A:$A,'[5]july-2025'!$J:$J,0,0)</f>
        <v>0</v>
      </c>
      <c r="EF66">
        <f>_xlfn.XLOOKUP(B66,'[6]august-2025'!$A:$A,'[6]august-2025'!$J:$J,0,0)</f>
        <v>0</v>
      </c>
      <c r="EG66">
        <f>_xlfn.XLOOKUP(B66,'[7]september-2025'!$A:$A,'[7]september-2025'!$J:$J,0,0)</f>
        <v>0</v>
      </c>
      <c r="EH66">
        <f>_xlfn.XLOOKUP(B66,'[8]october-2025'!$A:$A,'[8]october-2025'!$J:$J,0,0)</f>
        <v>0</v>
      </c>
      <c r="EI66">
        <f>_xlfn.XLOOKUP(C66,'[9]november-2025'!$A:$A,'[9]november-2025'!$J:$J,0,0)</f>
        <v>0</v>
      </c>
      <c r="EJ66">
        <f>_xlfn.XLOOKUP(B66,'[10]december-2025'!$A:$A,'[10]december-2025'!$J:$J,0,0)</f>
        <v>0</v>
      </c>
      <c r="EK66">
        <f>_xlfn.XLOOKUP(B66,'[11]january-2026'!$A:$A,'[11]january-2026'!$J:$J,0,0)</f>
        <v>0</v>
      </c>
      <c r="EL66">
        <f>_xlfn.XLOOKUP(B66,'[12]february-2026'!$A:$A,'[12]february-2026'!$J:$J,0,0)</f>
        <v>0</v>
      </c>
      <c r="EM66">
        <f t="shared" si="106"/>
        <v>0</v>
      </c>
      <c r="EN66">
        <f t="shared" ref="EN66:EN129" si="204">DV66+DL66+DB66+CR66+CH66+BX66+BN66+BD66+AS66+AI66+Y66+O66+H66+I66</f>
        <v>513856</v>
      </c>
      <c r="EO66">
        <f t="shared" ref="EO66:EO129" si="205">DY66+DO66+DE66+CU66+CK66+CA66+BQ66+BG66+AV66+AL66+AB66+R66</f>
        <v>2400</v>
      </c>
      <c r="EP66">
        <f t="shared" si="58"/>
        <v>50000</v>
      </c>
      <c r="EQ66">
        <v>0</v>
      </c>
      <c r="ER66">
        <f t="shared" si="107"/>
        <v>461456</v>
      </c>
      <c r="ES66">
        <f t="shared" ref="ES66:ES129" si="206">DW66+DM66+DC66+CS66+CI66+BY66+BO66+BE66+AT66+AJ66+Z66+P66</f>
        <v>24000</v>
      </c>
      <c r="ET66">
        <f t="shared" ref="ET66:ET129" si="207">DX66+DN66+DD66+CT66+CJ66+BZ66+BP66+BF66+AU66+AK66+AA66+Q66</f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1"/>
        <v>24000</v>
      </c>
      <c r="FF66">
        <f t="shared" si="62"/>
        <v>24000</v>
      </c>
      <c r="FG66">
        <f t="shared" si="63"/>
        <v>437456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ref="FO66:FO129" si="208">SUM(FH66:FN66)+(IF(F66="YES",50000,0))</f>
        <v>0</v>
      </c>
      <c r="FP66">
        <f t="shared" si="65"/>
        <v>437456</v>
      </c>
      <c r="FQ66">
        <f t="shared" si="66"/>
        <v>9373</v>
      </c>
      <c r="FR66">
        <f t="shared" si="67"/>
        <v>0</v>
      </c>
      <c r="FS66">
        <f t="shared" si="68"/>
        <v>9373</v>
      </c>
      <c r="FT66">
        <f t="shared" si="69"/>
        <v>0</v>
      </c>
      <c r="FU66">
        <f t="shared" si="70"/>
        <v>0</v>
      </c>
      <c r="FV66">
        <f t="shared" si="71"/>
        <v>0</v>
      </c>
      <c r="FW66">
        <v>0</v>
      </c>
      <c r="FX66">
        <f t="shared" si="72"/>
        <v>0</v>
      </c>
      <c r="FY66" t="b">
        <f t="shared" si="73"/>
        <v>1</v>
      </c>
      <c r="FZ66">
        <f t="shared" ca="1" si="74"/>
        <v>617</v>
      </c>
      <c r="GA66">
        <f t="shared" ca="1" si="75"/>
        <v>514473</v>
      </c>
      <c r="GB66">
        <f t="shared" si="76"/>
        <v>75000</v>
      </c>
      <c r="GC66">
        <f t="shared" ca="1" si="77"/>
        <v>439473</v>
      </c>
      <c r="GD66">
        <f t="shared" ca="1" si="78"/>
        <v>0</v>
      </c>
      <c r="GE66">
        <f t="shared" ca="1" si="79"/>
        <v>0</v>
      </c>
      <c r="GF66">
        <f t="shared" ca="1" si="80"/>
        <v>0</v>
      </c>
      <c r="GG66">
        <f t="shared" ca="1" si="81"/>
        <v>0</v>
      </c>
      <c r="GH66">
        <f t="shared" ca="1" si="82"/>
        <v>0</v>
      </c>
      <c r="GI66">
        <f t="shared" ca="1" si="83"/>
        <v>0</v>
      </c>
      <c r="GJ66">
        <f t="shared" ref="GJ66:GJ129" ca="1" si="209">IF(GC66&gt;1200000,GC66-1200000-IF(F66="YES",50000,0)-GH66,0)</f>
        <v>0</v>
      </c>
      <c r="GK66">
        <f t="shared" ca="1" si="85"/>
        <v>0</v>
      </c>
      <c r="GL66">
        <f t="shared" ca="1" si="86"/>
        <v>0</v>
      </c>
      <c r="GM66">
        <f t="shared" ca="1" si="87"/>
        <v>0</v>
      </c>
      <c r="GN66">
        <f t="shared" ca="1" si="88"/>
        <v>39473</v>
      </c>
      <c r="GO66">
        <f t="shared" ca="1" si="89"/>
        <v>1973.65</v>
      </c>
      <c r="GP66">
        <f t="shared" ca="1" si="90"/>
        <v>1974</v>
      </c>
      <c r="GQ66">
        <f t="shared" ca="1" si="91"/>
        <v>0</v>
      </c>
      <c r="GR66">
        <f t="shared" ca="1" si="92"/>
        <v>0</v>
      </c>
      <c r="GS66">
        <f t="shared" ca="1" si="93"/>
        <v>1974</v>
      </c>
      <c r="GT66">
        <f t="shared" ca="1" si="94"/>
        <v>0</v>
      </c>
      <c r="GU66" t="b">
        <f t="shared" ca="1" si="95"/>
        <v>0</v>
      </c>
      <c r="GV66">
        <f t="shared" ca="1" si="96"/>
        <v>0</v>
      </c>
      <c r="GW66">
        <f t="shared" ca="1" si="97"/>
        <v>1974</v>
      </c>
      <c r="GX66">
        <f t="shared" ca="1" si="98"/>
        <v>0</v>
      </c>
      <c r="GY66">
        <f t="shared" ca="1" si="99"/>
        <v>0</v>
      </c>
      <c r="GZ66">
        <f t="shared" ca="1" si="100"/>
        <v>0</v>
      </c>
    </row>
    <row r="67" spans="1:208" x14ac:dyDescent="0.3">
      <c r="A67">
        <f>_xlfn.AGGREGATE(3,5,$B$2:B67)</f>
        <v>66</v>
      </c>
      <c r="B67" t="s">
        <v>249</v>
      </c>
      <c r="C67" t="s">
        <v>250</v>
      </c>
      <c r="D67" t="s">
        <v>765</v>
      </c>
      <c r="E67" t="s">
        <v>833</v>
      </c>
      <c r="F67" t="s">
        <v>958</v>
      </c>
      <c r="G67" t="s">
        <v>878</v>
      </c>
      <c r="H67">
        <f t="shared" ref="H67:H98" si="210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211">J67*0.14</f>
        <v>4298</v>
      </c>
      <c r="L67">
        <f t="shared" ref="L67:L131" si="212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si="194"/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1"/>
        <v>150</v>
      </c>
      <c r="S67">
        <f t="shared" ref="S67:S130" si="213">O67-P67-Q67-R67</f>
        <v>37032</v>
      </c>
      <c r="T67">
        <f>_xlfn.XLOOKUP(B67,'[2]april-2025'!$A:$A,'[2]april-2025'!$C:$C,0,0)</f>
        <v>30700</v>
      </c>
      <c r="U67">
        <f t="shared" ref="U67:U131" si="214">T67*0.18</f>
        <v>5526</v>
      </c>
      <c r="V67">
        <f t="shared" ref="V67:V131" si="215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0" si="216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217">IF($F67="YES",0,IF(Y67&gt;40000,200,IF(Y67&gt;25000,150,IF(Y67&gt;15000,130,IF(Y67&gt;10000,110,0)))))</f>
        <v>200</v>
      </c>
      <c r="AC67">
        <f t="shared" ref="AC67:AC131" si="218">Y67-Z67-AA67-AB67</f>
        <v>38210</v>
      </c>
      <c r="AD67">
        <f>_xlfn.XLOOKUP(B67,'[3]may-2025'!$A:$A,'[3]may-2025'!$C:$C,0,0)</f>
        <v>30700</v>
      </c>
      <c r="AE67">
        <f t="shared" ref="AE67:AE131" si="219">AD67*0.18</f>
        <v>5526</v>
      </c>
      <c r="AF67">
        <f t="shared" ref="AF67:AF131" si="220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0" si="221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222">IF($F67="YES",0,IF(AI67&gt;40000,200,IF(AI67&gt;25000,150,IF(AI67&gt;15000,130,IF(AI67&gt;10000,110,0)))))</f>
        <v>200</v>
      </c>
      <c r="AM67">
        <f t="shared" ref="AM67:AM131" si="223">AI67-AJ67-AK67-AL67</f>
        <v>38210</v>
      </c>
      <c r="AN67">
        <f>_xlfn.XLOOKUP(B67,'[4]june-2025'!$A:$A,'[4]june-2025'!$C:$C,0,0)</f>
        <v>30700</v>
      </c>
      <c r="AO67">
        <f t="shared" ref="AO67:AO131" si="224">AN67*0.18</f>
        <v>5526</v>
      </c>
      <c r="AP67">
        <f t="shared" ref="AP67:AP131" si="225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0" si="226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227">IF($F67="YES",0,IF(AS67&gt;40000,200,IF(AS67&gt;25000,150,IF(AS67&gt;15000,130,IF(AS67&gt;10000,110,0)))))</f>
        <v>200</v>
      </c>
      <c r="AW67">
        <f t="shared" ref="AW67:AW131" si="228">AS67-AT67-AU67-AV67</f>
        <v>38210</v>
      </c>
      <c r="AX67">
        <f>_xlfn.XLOOKUP(B67,'[5]july-2025'!$A:$A,'[5]july-2025'!$C:$C,0,0)</f>
        <v>31600</v>
      </c>
      <c r="AY67">
        <f t="shared" ref="AY67:AY131" si="229">AX67*0.18</f>
        <v>5688</v>
      </c>
      <c r="AZ67">
        <v>0</v>
      </c>
      <c r="BA67">
        <f t="shared" ref="BA67:BA131" si="230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si="195"/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231">IF($F67="YES",0,IF(BD67&gt;40000,200,IF(BD67&gt;25000,150,IF(BD67&gt;15000,130,IF(BD67&gt;10000,110,0)))))</f>
        <v>200</v>
      </c>
      <c r="BH67">
        <f t="shared" ref="BH67:BH131" si="232">BD67-BE67-BF67-BG67</f>
        <v>39380</v>
      </c>
      <c r="BI67">
        <f>_xlfn.XLOOKUP(B67,'[6]august-2025'!$A:$A,'[6]august-2025'!$C:$C,0,0)</f>
        <v>31600</v>
      </c>
      <c r="BJ67">
        <f t="shared" ref="BJ67:BJ131" si="233">BI67*0.18</f>
        <v>5688</v>
      </c>
      <c r="BK67">
        <f t="shared" ref="BK67:BK131" si="234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35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si="196"/>
        <v>200</v>
      </c>
      <c r="BR67">
        <f t="shared" si="197"/>
        <v>39380</v>
      </c>
      <c r="BS67">
        <f>_xlfn.XLOOKUP(B67,'[7]september-2025'!$A:$A,'[7]september-2025'!$C:$C,0,0)</f>
        <v>31600</v>
      </c>
      <c r="BT67">
        <f t="shared" ref="BT67:BT131" si="236">BS67*0.18</f>
        <v>5688</v>
      </c>
      <c r="BU67">
        <f t="shared" ref="BU67:BU131" si="237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si="198"/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38">IF($F67="YES",0,IF(BX67&gt;40000,200,IF(BX67&gt;25000,150,IF(BX67&gt;15000,130,IF(BX67&gt;10000,110,0)))))</f>
        <v>200</v>
      </c>
      <c r="CB67">
        <f t="shared" ref="CB67:CB131" si="239">BX67-BY67-BZ67-CA67</f>
        <v>39380</v>
      </c>
      <c r="CC67">
        <f>_xlfn.XLOOKUP(B67,'[8]october-2025'!$A:$A,'[8]october-2025'!$C:$C,0,0)</f>
        <v>31600</v>
      </c>
      <c r="CD67">
        <f t="shared" ref="CD67:CD131" si="240">CC67*0.18</f>
        <v>5688</v>
      </c>
      <c r="CE67">
        <f t="shared" ref="CE67:CE131" si="241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si="199"/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42">IF($F67="YES",0,IF(CH67&gt;40000,200,IF(CH67&gt;25000,150,IF(CH67&gt;15000,130,IF(CH67&gt;10000,110,0)))))</f>
        <v>200</v>
      </c>
      <c r="CL67">
        <f t="shared" ref="CL67:CL131" si="243">CH67-CI67-CJ67-CK67</f>
        <v>39380</v>
      </c>
      <c r="CM67">
        <f>_xlfn.XLOOKUP(B67,'[9]november-2025'!$A:$A,'[9]november-2025'!$C:$C,0,0)</f>
        <v>31600</v>
      </c>
      <c r="CN67">
        <f t="shared" ref="CN67:CN131" si="244">CM67*0.18</f>
        <v>5688</v>
      </c>
      <c r="CO67">
        <f t="shared" ref="CO67:CO131" si="24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si="200"/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46">IF($F67="YES",0,IF(CR67&gt;40000,200,IF(CR67&gt;25000,150,IF(CR67&gt;15000,130,IF(CR67&gt;10000,110,0)))))</f>
        <v>200</v>
      </c>
      <c r="CV67">
        <f t="shared" ref="CV67:CV131" si="247">CR67-CS67-CT67-CU67</f>
        <v>39380</v>
      </c>
      <c r="CW67">
        <f>_xlfn.XLOOKUP(B67,'[10]december-2025'!$A:$A,'[10]december-2025'!$C:$C,0,0)</f>
        <v>31600</v>
      </c>
      <c r="CX67">
        <f t="shared" ref="CX67:CX131" si="248">ROUND(CW67*0.18,0)</f>
        <v>5688</v>
      </c>
      <c r="CY67">
        <f t="shared" ref="CY67:CY131" si="249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si="201"/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50">IF($F67="YES",0,IF(DB67&gt;40000,200,IF(DB67&gt;25000,150,IF(DB67&gt;15000,130,IF(DB67&gt;10000,110,0)))))</f>
        <v>200</v>
      </c>
      <c r="DF67">
        <f t="shared" ref="DF67:DF131" si="251">DB67-DC67-DD67-DE67</f>
        <v>39380</v>
      </c>
      <c r="DG67">
        <f>_xlfn.XLOOKUP(B67,'[11]january-2026'!$A:$A,'[11]january-2026'!$C:$C,0,0)</f>
        <v>31600</v>
      </c>
      <c r="DH67">
        <f t="shared" ref="DH67:DH131" si="252">DG67*0.18</f>
        <v>5688</v>
      </c>
      <c r="DI67">
        <f t="shared" ref="DI67:DI131" si="253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si="202"/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54">IF($F67="YES",0,IF(DL67&gt;40000,200,IF(DL67&gt;25000,150,IF(DL67&gt;15000,130,IF(DL67&gt;10000,110,0)))))</f>
        <v>200</v>
      </c>
      <c r="DP67">
        <f t="shared" ref="DP67:DP131" si="255">DL67-DM67-DN67-DO67</f>
        <v>39380</v>
      </c>
      <c r="DQ67">
        <f>_xlfn.XLOOKUP(B67,'[12]february-2026'!$A:$A,'[12]february-2026'!$C:$C,0,0)</f>
        <v>31600</v>
      </c>
      <c r="DR67">
        <f t="shared" ref="DR67:DR131" si="256">DQ67*0.18</f>
        <v>5688</v>
      </c>
      <c r="DS67">
        <f t="shared" ref="DS67:DS131" si="257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si="203"/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58">IF($F67="YES",0,IF(DV67&gt;40000,200,IF(DV67&gt;25000,150,IF(DV67&gt;15000,130,IF(DV67&gt;10000,110,0)))))</f>
        <v>200</v>
      </c>
      <c r="DZ67">
        <f t="shared" ref="DZ67:DZ131" si="259">DV67-DW67-DX67-DY67</f>
        <v>39380</v>
      </c>
      <c r="EA67">
        <f>_xlfn.XLOOKUP(B67,'[1]march-2025'!$A:$A,'[1]march-2025'!$J:$J,0,0)</f>
        <v>0</v>
      </c>
      <c r="EB67">
        <f>_xlfn.XLOOKUP(B67,'[2]april-2025'!$A:$A,'[2]april-2025'!$J:$J,0,0)</f>
        <v>0</v>
      </c>
      <c r="EC67">
        <f>_xlfn.XLOOKUP(B67,'[3]may-2025'!$A:$A,'[3]may-2025'!$J:$J,0,0)</f>
        <v>0</v>
      </c>
      <c r="ED67">
        <f>_xlfn.XLOOKUP(B67,'[4]june-2025'!$A:$A,'[4]june-2025'!$J:$J,0,0)</f>
        <v>0</v>
      </c>
      <c r="EE67">
        <f>_xlfn.XLOOKUP(B67,'[5]july-2025'!$A:$A,'[5]july-2025'!$J:$J,0,0)</f>
        <v>0</v>
      </c>
      <c r="EF67">
        <f>_xlfn.XLOOKUP(B67,'[6]august-2025'!$A:$A,'[6]august-2025'!$J:$J,0,0)</f>
        <v>0</v>
      </c>
      <c r="EG67">
        <f>_xlfn.XLOOKUP(B67,'[7]september-2025'!$A:$A,'[7]september-2025'!$J:$J,0,0)</f>
        <v>0</v>
      </c>
      <c r="EH67">
        <f>_xlfn.XLOOKUP(B67,'[8]october-2025'!$A:$A,'[8]october-2025'!$J:$J,0,0)</f>
        <v>0</v>
      </c>
      <c r="EI67">
        <f>_xlfn.XLOOKUP(C67,'[9]november-2025'!$A:$A,'[9]november-2025'!$J:$J,0,0)</f>
        <v>0</v>
      </c>
      <c r="EJ67">
        <f>_xlfn.XLOOKUP(B67,'[10]december-2025'!$A:$A,'[10]december-2025'!$J:$J,0,0)</f>
        <v>0</v>
      </c>
      <c r="EK67">
        <f>_xlfn.XLOOKUP(B67,'[11]january-2026'!$A:$A,'[11]january-2026'!$J:$J,0,0)</f>
        <v>0</v>
      </c>
      <c r="EL67">
        <f>_xlfn.XLOOKUP(B67,'[12]february-2026'!$A:$A,'[12]february-2026'!$J:$J,0,0)</f>
        <v>0</v>
      </c>
      <c r="EM67">
        <f t="shared" ref="EM67:EM130" si="260">SUM(EA67:EL67)</f>
        <v>0</v>
      </c>
      <c r="EN67">
        <f t="shared" si="204"/>
        <v>499852</v>
      </c>
      <c r="EO67">
        <f t="shared" si="205"/>
        <v>2350</v>
      </c>
      <c r="EP67">
        <f t="shared" ref="EP67:EP131" si="261">IF(EN67&gt;0,50000,0)</f>
        <v>50000</v>
      </c>
      <c r="EQ67">
        <v>0</v>
      </c>
      <c r="ER67">
        <f t="shared" ref="ER67:ER130" si="262">EN67-EO67-EP67+EM67</f>
        <v>447502</v>
      </c>
      <c r="ES67">
        <f t="shared" si="206"/>
        <v>24000</v>
      </c>
      <c r="ET67">
        <f t="shared" si="207"/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ref="FE67:FE131" si="263">SUM(ES67:FD67)</f>
        <v>24000</v>
      </c>
      <c r="FF67">
        <f t="shared" ref="FF67:FF131" si="264">IF(FE67&gt;=150000,150000,FE67)</f>
        <v>24000</v>
      </c>
      <c r="FG67">
        <f t="shared" ref="FG67:FG131" si="265">ER67-FF67</f>
        <v>423502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si="208"/>
        <v>0</v>
      </c>
      <c r="FP67">
        <f t="shared" ref="FP67:FP131" si="266">FG67-FO67</f>
        <v>423502</v>
      </c>
      <c r="FQ67">
        <f t="shared" ref="FQ67:FQ131" si="267">ROUND(IF(FP67&gt;0,IF(FP67&gt;500000,12500,(FP67-250000)*0.05),0),0)</f>
        <v>8675</v>
      </c>
      <c r="FR67">
        <f t="shared" ref="FR67:FR131" si="268">IF(ROUND(IF(FP67&gt;0,IF(FP67&gt;1000000,25000,(FP67-500000)*0.2),0),0)&lt;0,0,ROUND(IF(FP67&gt;0,IF(FP67&gt;1000000,25000,(FP67-500000)*0.2),0),0))</f>
        <v>0</v>
      </c>
      <c r="FS67">
        <f t="shared" ref="FS67:FS131" si="269">FQ67+FR67</f>
        <v>8675</v>
      </c>
      <c r="FT67">
        <f t="shared" ref="FT67:FT131" si="270">IF(FS67&lt;12500,0,FS67)</f>
        <v>0</v>
      </c>
      <c r="FU67">
        <f t="shared" ref="FU67:FU131" si="271">FT67*0.04</f>
        <v>0</v>
      </c>
      <c r="FV67">
        <f t="shared" ref="FV67:FV131" si="272">ROUND(FU67+FT67,0)</f>
        <v>0</v>
      </c>
      <c r="FW67">
        <v>0</v>
      </c>
      <c r="FX67">
        <f t="shared" ref="FX67:FX131" si="273">FV67-FW67</f>
        <v>0</v>
      </c>
      <c r="FY67" t="b">
        <f t="shared" ref="FY67:FY131" si="274">IF(EN67&gt;500000,TRUE,FALSE)</f>
        <v>0</v>
      </c>
      <c r="FZ67">
        <f t="shared" ref="FZ67:FZ131" ca="1" si="275">IF(FY67,RANDBETWEEN(500,1000),RANDBETWEEN(1000,3000))</f>
        <v>1255</v>
      </c>
      <c r="GA67">
        <f t="shared" ref="GA67:GA131" ca="1" si="276">EN67+FZ67</f>
        <v>501107</v>
      </c>
      <c r="GB67">
        <f t="shared" ref="GB67:GB131" si="277">IF(EN67&gt;0,75000,0)</f>
        <v>75000</v>
      </c>
      <c r="GC67">
        <f t="shared" ref="GC67:GC131" ca="1" si="278">GA67-GB67</f>
        <v>426107</v>
      </c>
      <c r="GD67">
        <f t="shared" ref="GD67:GD131" ca="1" si="279">IF(GC67&gt;2400000,GC67-2400000,0)</f>
        <v>0</v>
      </c>
      <c r="GE67">
        <f t="shared" ref="GE67:GE131" ca="1" si="280">GD67*0.3</f>
        <v>0</v>
      </c>
      <c r="GF67">
        <f t="shared" ref="GF67:GF131" ca="1" si="281">IF(GC67&gt;2000000,GC67-2000000,0)</f>
        <v>0</v>
      </c>
      <c r="GG67">
        <f t="shared" ref="GG67:GG131" ca="1" si="282">GF67*0.25</f>
        <v>0</v>
      </c>
      <c r="GH67">
        <f t="shared" ref="GH67:GH131" ca="1" si="283">IF(GC67&gt;1600000,GC67-1600000-GD67,0)</f>
        <v>0</v>
      </c>
      <c r="GI67">
        <f t="shared" ref="GI67:GI131" ca="1" si="284">GH67*0.2</f>
        <v>0</v>
      </c>
      <c r="GJ67">
        <f t="shared" ca="1" si="209"/>
        <v>0</v>
      </c>
      <c r="GK67">
        <f t="shared" ref="GK67:GK131" ca="1" si="285">GJ67*0.15</f>
        <v>0</v>
      </c>
      <c r="GL67">
        <f t="shared" ref="GL67:GL131" ca="1" si="286">IF(GC67&gt;800000,GC67-800000-GD67-GH67-GJ67,0)</f>
        <v>0</v>
      </c>
      <c r="GM67">
        <f t="shared" ref="GM67:GM131" ca="1" si="287">GL67*0.1</f>
        <v>0</v>
      </c>
      <c r="GN67">
        <f t="shared" ref="GN67:GN131" ca="1" si="288">IF(GC67&gt;400000,GC67-400000-GD67-GH67-GJ67-GL67,0)</f>
        <v>26107</v>
      </c>
      <c r="GO67">
        <f t="shared" ref="GO67:GO131" ca="1" si="289">GN67*0.05</f>
        <v>1305.3500000000001</v>
      </c>
      <c r="GP67">
        <f t="shared" ref="GP67:GP131" ca="1" si="290">ROUND(GE67+GG67+GI67+GK67+GM67+GO67,0)</f>
        <v>1305</v>
      </c>
      <c r="GQ67">
        <f t="shared" ref="GQ67:GQ131" ca="1" si="291">IF(GC67&gt;1200000,GC67,0)</f>
        <v>0</v>
      </c>
      <c r="GR67">
        <f t="shared" ref="GR67:GR131" ca="1" si="292">IF(GC67&gt;1200000,GQ67-1200000,0)</f>
        <v>0</v>
      </c>
      <c r="GS67">
        <f t="shared" ref="GS67:GS131" ca="1" si="293">IF(GC67&lt;1200001,MIN(GP67,60000),0)</f>
        <v>1305</v>
      </c>
      <c r="GT67">
        <f t="shared" ref="GT67:GT131" ca="1" si="294">IF(GC67&gt;1200000,GP67-GR67,0)</f>
        <v>0</v>
      </c>
      <c r="GU67" t="b">
        <f t="shared" ref="GU67:GU131" ca="1" si="295">IF(GT67&gt;0,TRUE,FALSE)</f>
        <v>0</v>
      </c>
      <c r="GV67">
        <f t="shared" ref="GV67:GV131" ca="1" si="296">IF(GU67,GT67,0)</f>
        <v>0</v>
      </c>
      <c r="GW67">
        <f t="shared" ref="GW67:GW131" ca="1" si="297">GS67+GV67</f>
        <v>1305</v>
      </c>
      <c r="GX67">
        <f t="shared" ref="GX67:GX131" ca="1" si="298">ROUND(GP67-GW67,0)</f>
        <v>0</v>
      </c>
      <c r="GY67">
        <f t="shared" ref="GY67:GY131" ca="1" si="299">GX67*0.04</f>
        <v>0</v>
      </c>
      <c r="GZ67">
        <f t="shared" ref="GZ67:GZ131" ca="1" si="300">ROUNDUP(GX67+GY67,0)</f>
        <v>0</v>
      </c>
    </row>
    <row r="68" spans="1:208" x14ac:dyDescent="0.3">
      <c r="A68">
        <f>_xlfn.AGGREGATE(3,5,$B$2:B68)</f>
        <v>67</v>
      </c>
      <c r="B68" t="s">
        <v>251</v>
      </c>
      <c r="C68" t="s">
        <v>252</v>
      </c>
      <c r="D68" t="s">
        <v>765</v>
      </c>
      <c r="E68" t="s">
        <v>830</v>
      </c>
      <c r="F68" t="s">
        <v>956</v>
      </c>
      <c r="G68" t="s">
        <v>903</v>
      </c>
      <c r="H68">
        <f t="shared" si="210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1"/>
        <v>4046.0000000000005</v>
      </c>
      <c r="L68">
        <f t="shared" si="212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194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301">IF($F68="YES",0,IF(O68&gt;40000,200,IF(O68&gt;25000,150,IF(O68&gt;15000,130,IF(O68&gt;10000,110,0)))))</f>
        <v>150</v>
      </c>
      <c r="S68">
        <f t="shared" si="213"/>
        <v>34764</v>
      </c>
      <c r="T68">
        <f>_xlfn.XLOOKUP(B68,'[2]april-2025'!$A:$A,'[2]april-2025'!$C:$C,0,0)</f>
        <v>28900</v>
      </c>
      <c r="U68">
        <f t="shared" si="214"/>
        <v>5202</v>
      </c>
      <c r="V68">
        <f t="shared" si="215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16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17"/>
        <v>150</v>
      </c>
      <c r="AC68">
        <f t="shared" si="218"/>
        <v>35920</v>
      </c>
      <c r="AD68">
        <f>_xlfn.XLOOKUP(B68,'[3]may-2025'!$A:$A,'[3]may-2025'!$C:$C,0,0)</f>
        <v>28900</v>
      </c>
      <c r="AE68">
        <f t="shared" si="219"/>
        <v>5202</v>
      </c>
      <c r="AF68">
        <f t="shared" si="220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1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2"/>
        <v>150</v>
      </c>
      <c r="AM68">
        <f t="shared" si="223"/>
        <v>35920</v>
      </c>
      <c r="AN68">
        <f>_xlfn.XLOOKUP(B68,'[4]june-2025'!$A:$A,'[4]june-2025'!$C:$C,0,0)</f>
        <v>28900</v>
      </c>
      <c r="AO68">
        <f t="shared" si="224"/>
        <v>5202</v>
      </c>
      <c r="AP68">
        <f t="shared" si="225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26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27"/>
        <v>150</v>
      </c>
      <c r="AW68">
        <f t="shared" si="228"/>
        <v>35920</v>
      </c>
      <c r="AX68">
        <f>_xlfn.XLOOKUP(B68,'[5]july-2025'!$A:$A,'[5]july-2025'!$C:$C,0,0)</f>
        <v>29800</v>
      </c>
      <c r="AY68">
        <f t="shared" si="229"/>
        <v>5364</v>
      </c>
      <c r="AZ68">
        <v>0</v>
      </c>
      <c r="BA68">
        <f t="shared" si="230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195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1"/>
        <v>150</v>
      </c>
      <c r="BH68">
        <f t="shared" si="232"/>
        <v>37090</v>
      </c>
      <c r="BI68">
        <f>_xlfn.XLOOKUP(B68,'[6]august-2025'!$A:$A,'[6]august-2025'!$C:$C,0,0)</f>
        <v>29800</v>
      </c>
      <c r="BJ68">
        <f t="shared" si="233"/>
        <v>5364</v>
      </c>
      <c r="BK68">
        <f t="shared" si="234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35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196"/>
        <v>150</v>
      </c>
      <c r="BR68">
        <f t="shared" si="197"/>
        <v>37090</v>
      </c>
      <c r="BS68">
        <f>_xlfn.XLOOKUP(B68,'[7]september-2025'!$A:$A,'[7]september-2025'!$C:$C,0,0)</f>
        <v>29800</v>
      </c>
      <c r="BT68">
        <f t="shared" si="236"/>
        <v>5364</v>
      </c>
      <c r="BU68">
        <f t="shared" si="237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198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38"/>
        <v>150</v>
      </c>
      <c r="CB68">
        <f t="shared" si="239"/>
        <v>37090</v>
      </c>
      <c r="CC68">
        <f>_xlfn.XLOOKUP(B68,'[8]october-2025'!$A:$A,'[8]october-2025'!$C:$C,0,0)</f>
        <v>29800</v>
      </c>
      <c r="CD68">
        <f t="shared" si="240"/>
        <v>5364</v>
      </c>
      <c r="CE68">
        <f t="shared" si="241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199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42"/>
        <v>150</v>
      </c>
      <c r="CL68">
        <f t="shared" si="243"/>
        <v>37090</v>
      </c>
      <c r="CM68">
        <f>_xlfn.XLOOKUP(B68,'[9]november-2025'!$A:$A,'[9]november-2025'!$C:$C,0,0)</f>
        <v>29800</v>
      </c>
      <c r="CN68">
        <f t="shared" si="244"/>
        <v>5364</v>
      </c>
      <c r="CO68">
        <f t="shared" si="24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00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46"/>
        <v>150</v>
      </c>
      <c r="CV68">
        <f t="shared" si="247"/>
        <v>37090</v>
      </c>
      <c r="CW68">
        <f>_xlfn.XLOOKUP(B68,'[10]december-2025'!$A:$A,'[10]december-2025'!$C:$C,0,0)</f>
        <v>29800</v>
      </c>
      <c r="CX68">
        <f t="shared" si="248"/>
        <v>5364</v>
      </c>
      <c r="CY68">
        <f t="shared" si="249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0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50"/>
        <v>150</v>
      </c>
      <c r="DF68">
        <f t="shared" si="251"/>
        <v>37090</v>
      </c>
      <c r="DG68">
        <f>_xlfn.XLOOKUP(B68,'[11]january-2026'!$A:$A,'[11]january-2026'!$C:$C,0,0)</f>
        <v>29800</v>
      </c>
      <c r="DH68">
        <f t="shared" si="252"/>
        <v>5364</v>
      </c>
      <c r="DI68">
        <f t="shared" si="253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02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54"/>
        <v>150</v>
      </c>
      <c r="DP68">
        <f t="shared" si="255"/>
        <v>37090</v>
      </c>
      <c r="DQ68">
        <f>_xlfn.XLOOKUP(B68,'[12]february-2026'!$A:$A,'[12]february-2026'!$C:$C,0,0)</f>
        <v>29800</v>
      </c>
      <c r="DR68">
        <f t="shared" si="256"/>
        <v>5364</v>
      </c>
      <c r="DS68">
        <f t="shared" si="257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03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58"/>
        <v>150</v>
      </c>
      <c r="DZ68">
        <f t="shared" si="259"/>
        <v>37090</v>
      </c>
      <c r="EA68">
        <f>_xlfn.XLOOKUP(B68,'[1]march-2025'!$A:$A,'[1]march-2025'!$J:$J,0,0)</f>
        <v>0</v>
      </c>
      <c r="EB68">
        <f>_xlfn.XLOOKUP(B68,'[2]april-2025'!$A:$A,'[2]april-2025'!$J:$J,0,0)</f>
        <v>0</v>
      </c>
      <c r="EC68">
        <f>_xlfn.XLOOKUP(B68,'[3]may-2025'!$A:$A,'[3]may-2025'!$J:$J,0,0)</f>
        <v>34471</v>
      </c>
      <c r="ED68">
        <f>_xlfn.XLOOKUP(B68,'[4]june-2025'!$A:$A,'[4]june-2025'!$J:$J,0,0)</f>
        <v>0</v>
      </c>
      <c r="EE68">
        <f>_xlfn.XLOOKUP(B68,'[5]july-2025'!$A:$A,'[5]july-2025'!$J:$J,0,0)</f>
        <v>0</v>
      </c>
      <c r="EF68">
        <f>_xlfn.XLOOKUP(B68,'[6]august-2025'!$A:$A,'[6]august-2025'!$J:$J,0,0)</f>
        <v>0</v>
      </c>
      <c r="EG68">
        <f>_xlfn.XLOOKUP(B68,'[7]september-2025'!$A:$A,'[7]september-2025'!$J:$J,0,0)</f>
        <v>0</v>
      </c>
      <c r="EH68">
        <f>_xlfn.XLOOKUP(B68,'[8]october-2025'!$A:$A,'[8]october-2025'!$J:$J,0,0)</f>
        <v>0</v>
      </c>
      <c r="EI68">
        <f>_xlfn.XLOOKUP(C68,'[9]november-2025'!$A:$A,'[9]november-2025'!$J:$J,0,0)</f>
        <v>0</v>
      </c>
      <c r="EJ68">
        <f>_xlfn.XLOOKUP(B68,'[10]december-2025'!$A:$A,'[10]december-2025'!$J:$J,0,0)</f>
        <v>0</v>
      </c>
      <c r="EK68">
        <f>_xlfn.XLOOKUP(B68,'[11]january-2026'!$A:$A,'[11]january-2026'!$J:$J,0,0)</f>
        <v>0</v>
      </c>
      <c r="EL68">
        <f>_xlfn.XLOOKUP(B68,'[12]february-2026'!$A:$A,'[12]february-2026'!$J:$J,0,0)</f>
        <v>0</v>
      </c>
      <c r="EM68">
        <f t="shared" si="260"/>
        <v>34471</v>
      </c>
      <c r="EN68">
        <f t="shared" si="204"/>
        <v>471844</v>
      </c>
      <c r="EO68">
        <f t="shared" si="205"/>
        <v>1800</v>
      </c>
      <c r="EP68">
        <f t="shared" si="261"/>
        <v>50000</v>
      </c>
      <c r="EQ68">
        <v>0</v>
      </c>
      <c r="ER68">
        <f t="shared" si="262"/>
        <v>454515</v>
      </c>
      <c r="ES68">
        <f t="shared" si="206"/>
        <v>24000</v>
      </c>
      <c r="ET68">
        <f t="shared" si="207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263"/>
        <v>24000</v>
      </c>
      <c r="FF68">
        <f t="shared" si="264"/>
        <v>24000</v>
      </c>
      <c r="FG68">
        <f t="shared" si="265"/>
        <v>430515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208"/>
        <v>0</v>
      </c>
      <c r="FP68">
        <f t="shared" si="266"/>
        <v>430515</v>
      </c>
      <c r="FQ68">
        <f t="shared" si="267"/>
        <v>9026</v>
      </c>
      <c r="FR68">
        <f t="shared" si="268"/>
        <v>0</v>
      </c>
      <c r="FS68">
        <f t="shared" si="269"/>
        <v>9026</v>
      </c>
      <c r="FT68">
        <f t="shared" si="270"/>
        <v>0</v>
      </c>
      <c r="FU68">
        <f t="shared" si="271"/>
        <v>0</v>
      </c>
      <c r="FV68">
        <f t="shared" si="272"/>
        <v>0</v>
      </c>
      <c r="FW68">
        <v>0</v>
      </c>
      <c r="FX68">
        <f t="shared" si="273"/>
        <v>0</v>
      </c>
      <c r="FY68" t="b">
        <f t="shared" si="274"/>
        <v>0</v>
      </c>
      <c r="FZ68">
        <f t="shared" ca="1" si="275"/>
        <v>2005</v>
      </c>
      <c r="GA68">
        <f t="shared" ca="1" si="276"/>
        <v>473849</v>
      </c>
      <c r="GB68">
        <f t="shared" si="277"/>
        <v>75000</v>
      </c>
      <c r="GC68">
        <f t="shared" ca="1" si="278"/>
        <v>398849</v>
      </c>
      <c r="GD68">
        <f t="shared" ca="1" si="279"/>
        <v>0</v>
      </c>
      <c r="GE68">
        <f t="shared" ca="1" si="280"/>
        <v>0</v>
      </c>
      <c r="GF68">
        <f t="shared" ca="1" si="281"/>
        <v>0</v>
      </c>
      <c r="GG68">
        <f t="shared" ca="1" si="282"/>
        <v>0</v>
      </c>
      <c r="GH68">
        <f t="shared" ca="1" si="283"/>
        <v>0</v>
      </c>
      <c r="GI68">
        <f t="shared" ca="1" si="284"/>
        <v>0</v>
      </c>
      <c r="GJ68">
        <f t="shared" ca="1" si="209"/>
        <v>0</v>
      </c>
      <c r="GK68">
        <f t="shared" ca="1" si="285"/>
        <v>0</v>
      </c>
      <c r="GL68">
        <f t="shared" ca="1" si="286"/>
        <v>0</v>
      </c>
      <c r="GM68">
        <f t="shared" ca="1" si="287"/>
        <v>0</v>
      </c>
      <c r="GN68">
        <f t="shared" ca="1" si="288"/>
        <v>0</v>
      </c>
      <c r="GO68">
        <f t="shared" ca="1" si="289"/>
        <v>0</v>
      </c>
      <c r="GP68">
        <f t="shared" ca="1" si="290"/>
        <v>0</v>
      </c>
      <c r="GQ68">
        <f t="shared" ca="1" si="291"/>
        <v>0</v>
      </c>
      <c r="GR68">
        <f t="shared" ca="1" si="292"/>
        <v>0</v>
      </c>
      <c r="GS68">
        <f t="shared" ca="1" si="293"/>
        <v>0</v>
      </c>
      <c r="GT68">
        <f t="shared" ca="1" si="294"/>
        <v>0</v>
      </c>
      <c r="GU68" t="b">
        <f t="shared" ca="1" si="295"/>
        <v>0</v>
      </c>
      <c r="GV68">
        <f t="shared" ca="1" si="296"/>
        <v>0</v>
      </c>
      <c r="GW68">
        <f t="shared" ca="1" si="297"/>
        <v>0</v>
      </c>
      <c r="GX68">
        <f t="shared" ca="1" si="298"/>
        <v>0</v>
      </c>
      <c r="GY68">
        <f t="shared" ca="1" si="299"/>
        <v>0</v>
      </c>
      <c r="GZ68">
        <f t="shared" ca="1" si="300"/>
        <v>0</v>
      </c>
    </row>
    <row r="69" spans="1:208" x14ac:dyDescent="0.3">
      <c r="A69">
        <f>_xlfn.AGGREGATE(3,5,$B$2:B69)</f>
        <v>68</v>
      </c>
      <c r="B69" t="s">
        <v>253</v>
      </c>
      <c r="C69" t="s">
        <v>254</v>
      </c>
      <c r="D69" t="s">
        <v>766</v>
      </c>
      <c r="E69" t="s">
        <v>830</v>
      </c>
      <c r="F69" t="s">
        <v>956</v>
      </c>
      <c r="G69" t="s">
        <v>884</v>
      </c>
      <c r="H69">
        <f t="shared" si="210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1"/>
        <v>7238.0000000000009</v>
      </c>
      <c r="L69">
        <f t="shared" si="212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194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01"/>
        <v>200</v>
      </c>
      <c r="S69">
        <f t="shared" si="213"/>
        <v>55782</v>
      </c>
      <c r="T69">
        <f>_xlfn.XLOOKUP(B69,'[2]april-2025'!$A:$A,'[2]april-2025'!$C:$C,0,0)</f>
        <v>51700</v>
      </c>
      <c r="U69">
        <f t="shared" si="214"/>
        <v>9306</v>
      </c>
      <c r="V69">
        <f t="shared" si="215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16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17"/>
        <v>200</v>
      </c>
      <c r="AC69">
        <f t="shared" si="218"/>
        <v>57850</v>
      </c>
      <c r="AD69">
        <f>_xlfn.XLOOKUP(B69,'[3]may-2025'!$A:$A,'[3]may-2025'!$C:$C,0,0)</f>
        <v>51700</v>
      </c>
      <c r="AE69">
        <f t="shared" si="219"/>
        <v>9306</v>
      </c>
      <c r="AF69">
        <f t="shared" si="220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1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2"/>
        <v>200</v>
      </c>
      <c r="AM69">
        <f t="shared" si="223"/>
        <v>57850</v>
      </c>
      <c r="AN69">
        <f>_xlfn.XLOOKUP(B69,'[4]june-2025'!$A:$A,'[4]june-2025'!$C:$C,0,0)</f>
        <v>51700</v>
      </c>
      <c r="AO69">
        <f t="shared" si="224"/>
        <v>9306</v>
      </c>
      <c r="AP69">
        <f t="shared" si="225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26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27"/>
        <v>200</v>
      </c>
      <c r="AW69">
        <f t="shared" si="228"/>
        <v>57850</v>
      </c>
      <c r="AX69">
        <f>_xlfn.XLOOKUP(B69,'[5]july-2025'!$A:$A,'[5]july-2025'!$C:$C,0,0)</f>
        <v>53300</v>
      </c>
      <c r="AY69">
        <f t="shared" si="229"/>
        <v>9594</v>
      </c>
      <c r="AZ69">
        <v>0</v>
      </c>
      <c r="BA69">
        <f t="shared" si="230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195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1"/>
        <v>200</v>
      </c>
      <c r="BH69">
        <f t="shared" si="232"/>
        <v>59930</v>
      </c>
      <c r="BI69">
        <f>_xlfn.XLOOKUP(B69,'[6]august-2025'!$A:$A,'[6]august-2025'!$C:$C,0,0)</f>
        <v>53300</v>
      </c>
      <c r="BJ69">
        <f t="shared" si="233"/>
        <v>9594</v>
      </c>
      <c r="BK69">
        <f t="shared" si="234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35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196"/>
        <v>200</v>
      </c>
      <c r="BR69">
        <f t="shared" si="197"/>
        <v>59930</v>
      </c>
      <c r="BS69">
        <f>_xlfn.XLOOKUP(B69,'[7]september-2025'!$A:$A,'[7]september-2025'!$C:$C,0,0)</f>
        <v>53300</v>
      </c>
      <c r="BT69">
        <f t="shared" si="236"/>
        <v>9594</v>
      </c>
      <c r="BU69">
        <f t="shared" si="237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198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38"/>
        <v>200</v>
      </c>
      <c r="CB69">
        <f t="shared" si="239"/>
        <v>59930</v>
      </c>
      <c r="CC69">
        <f>_xlfn.XLOOKUP(B69,'[8]october-2025'!$A:$A,'[8]october-2025'!$C:$C,0,0)</f>
        <v>53300</v>
      </c>
      <c r="CD69">
        <f t="shared" si="240"/>
        <v>9594</v>
      </c>
      <c r="CE69">
        <f t="shared" si="241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199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42"/>
        <v>200</v>
      </c>
      <c r="CL69">
        <f t="shared" si="243"/>
        <v>59930</v>
      </c>
      <c r="CM69">
        <f>_xlfn.XLOOKUP(B69,'[9]november-2025'!$A:$A,'[9]november-2025'!$C:$C,0,0)</f>
        <v>53300</v>
      </c>
      <c r="CN69">
        <f t="shared" si="244"/>
        <v>9594</v>
      </c>
      <c r="CO69">
        <f t="shared" si="24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00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46"/>
        <v>200</v>
      </c>
      <c r="CV69">
        <f t="shared" si="247"/>
        <v>59930</v>
      </c>
      <c r="CW69">
        <f>_xlfn.XLOOKUP(B69,'[10]december-2025'!$A:$A,'[10]december-2025'!$C:$C,0,0)</f>
        <v>53300</v>
      </c>
      <c r="CX69">
        <f t="shared" si="248"/>
        <v>9594</v>
      </c>
      <c r="CY69">
        <f t="shared" si="249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0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50"/>
        <v>200</v>
      </c>
      <c r="DF69">
        <f t="shared" si="251"/>
        <v>59930</v>
      </c>
      <c r="DG69">
        <f>_xlfn.XLOOKUP(B69,'[11]january-2026'!$A:$A,'[11]january-2026'!$C:$C,0,0)</f>
        <v>53300</v>
      </c>
      <c r="DH69">
        <f t="shared" si="252"/>
        <v>9594</v>
      </c>
      <c r="DI69">
        <f t="shared" si="253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02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54"/>
        <v>200</v>
      </c>
      <c r="DP69">
        <f t="shared" si="255"/>
        <v>59930</v>
      </c>
      <c r="DQ69">
        <f>_xlfn.XLOOKUP(B69,'[12]february-2026'!$A:$A,'[12]february-2026'!$C:$C,0,0)</f>
        <v>53300</v>
      </c>
      <c r="DR69">
        <f t="shared" si="256"/>
        <v>9594</v>
      </c>
      <c r="DS69">
        <f t="shared" si="257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03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58"/>
        <v>200</v>
      </c>
      <c r="DZ69">
        <f t="shared" si="259"/>
        <v>59930</v>
      </c>
      <c r="EA69">
        <f>_xlfn.XLOOKUP(B69,'[1]march-2025'!$A:$A,'[1]march-2025'!$J:$J,0,0)</f>
        <v>0</v>
      </c>
      <c r="EB69">
        <f>_xlfn.XLOOKUP(B69,'[2]april-2025'!$A:$A,'[2]april-2025'!$J:$J,0,0)</f>
        <v>0</v>
      </c>
      <c r="EC69">
        <f>_xlfn.XLOOKUP(B69,'[3]may-2025'!$A:$A,'[3]may-2025'!$J:$J,0,0)</f>
        <v>0</v>
      </c>
      <c r="ED69">
        <f>_xlfn.XLOOKUP(B69,'[4]june-2025'!$A:$A,'[4]june-2025'!$J:$J,0,0)</f>
        <v>0</v>
      </c>
      <c r="EE69">
        <f>_xlfn.XLOOKUP(B69,'[5]july-2025'!$A:$A,'[5]july-2025'!$J:$J,0,0)</f>
        <v>0</v>
      </c>
      <c r="EF69">
        <f>_xlfn.XLOOKUP(B69,'[6]august-2025'!$A:$A,'[6]august-2025'!$J:$J,0,0)</f>
        <v>0</v>
      </c>
      <c r="EG69">
        <f>_xlfn.XLOOKUP(B69,'[7]september-2025'!$A:$A,'[7]september-2025'!$J:$J,0,0)</f>
        <v>0</v>
      </c>
      <c r="EH69">
        <f>_xlfn.XLOOKUP(B69,'[8]october-2025'!$A:$A,'[8]october-2025'!$J:$J,0,0)</f>
        <v>0</v>
      </c>
      <c r="EI69">
        <f>_xlfn.XLOOKUP(C69,'[9]november-2025'!$A:$A,'[9]november-2025'!$J:$J,0,0)</f>
        <v>0</v>
      </c>
      <c r="EJ69">
        <f>_xlfn.XLOOKUP(B69,'[10]december-2025'!$A:$A,'[10]december-2025'!$J:$J,0,0)</f>
        <v>0</v>
      </c>
      <c r="EK69">
        <f>_xlfn.XLOOKUP(B69,'[11]january-2026'!$A:$A,'[11]january-2026'!$J:$J,0,0)</f>
        <v>0</v>
      </c>
      <c r="EL69">
        <f>_xlfn.XLOOKUP(B69,'[12]february-2026'!$A:$A,'[12]february-2026'!$J:$J,0,0)</f>
        <v>0</v>
      </c>
      <c r="EM69">
        <f t="shared" si="260"/>
        <v>0</v>
      </c>
      <c r="EN69">
        <f t="shared" si="204"/>
        <v>838692</v>
      </c>
      <c r="EO69">
        <f t="shared" si="205"/>
        <v>2400</v>
      </c>
      <c r="EP69">
        <f t="shared" si="261"/>
        <v>50000</v>
      </c>
      <c r="EQ69">
        <v>0</v>
      </c>
      <c r="ER69">
        <f t="shared" si="262"/>
        <v>786292</v>
      </c>
      <c r="ES69">
        <f t="shared" si="206"/>
        <v>120000</v>
      </c>
      <c r="ET69">
        <f t="shared" si="207"/>
        <v>720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si="263"/>
        <v>120720</v>
      </c>
      <c r="FF69">
        <f t="shared" si="264"/>
        <v>120720</v>
      </c>
      <c r="FG69">
        <f t="shared" si="265"/>
        <v>665572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si="208"/>
        <v>0</v>
      </c>
      <c r="FP69">
        <f t="shared" si="266"/>
        <v>665572</v>
      </c>
      <c r="FQ69">
        <f t="shared" si="267"/>
        <v>12500</v>
      </c>
      <c r="FR69">
        <f t="shared" si="268"/>
        <v>33114</v>
      </c>
      <c r="FS69">
        <f t="shared" si="269"/>
        <v>45614</v>
      </c>
      <c r="FT69">
        <f t="shared" si="270"/>
        <v>45614</v>
      </c>
      <c r="FU69">
        <f t="shared" si="271"/>
        <v>1824.56</v>
      </c>
      <c r="FV69">
        <f t="shared" si="272"/>
        <v>47439</v>
      </c>
      <c r="FW69">
        <v>0</v>
      </c>
      <c r="FX69">
        <f t="shared" si="273"/>
        <v>47439</v>
      </c>
      <c r="FY69" t="b">
        <f t="shared" si="274"/>
        <v>1</v>
      </c>
      <c r="FZ69">
        <f t="shared" ca="1" si="275"/>
        <v>587</v>
      </c>
      <c r="GA69">
        <f t="shared" ca="1" si="276"/>
        <v>839279</v>
      </c>
      <c r="GB69">
        <f t="shared" si="277"/>
        <v>75000</v>
      </c>
      <c r="GC69">
        <f t="shared" ca="1" si="278"/>
        <v>764279</v>
      </c>
      <c r="GD69">
        <f t="shared" ca="1" si="279"/>
        <v>0</v>
      </c>
      <c r="GE69">
        <f t="shared" ca="1" si="280"/>
        <v>0</v>
      </c>
      <c r="GF69">
        <f t="shared" ca="1" si="281"/>
        <v>0</v>
      </c>
      <c r="GG69">
        <f t="shared" ca="1" si="282"/>
        <v>0</v>
      </c>
      <c r="GH69">
        <f t="shared" ca="1" si="283"/>
        <v>0</v>
      </c>
      <c r="GI69">
        <f t="shared" ca="1" si="284"/>
        <v>0</v>
      </c>
      <c r="GJ69">
        <f t="shared" ca="1" si="209"/>
        <v>0</v>
      </c>
      <c r="GK69">
        <f t="shared" ca="1" si="285"/>
        <v>0</v>
      </c>
      <c r="GL69">
        <f t="shared" ca="1" si="286"/>
        <v>0</v>
      </c>
      <c r="GM69">
        <f t="shared" ca="1" si="287"/>
        <v>0</v>
      </c>
      <c r="GN69">
        <f t="shared" ca="1" si="288"/>
        <v>364279</v>
      </c>
      <c r="GO69">
        <f t="shared" ca="1" si="289"/>
        <v>18213.95</v>
      </c>
      <c r="GP69">
        <f t="shared" ca="1" si="290"/>
        <v>18214</v>
      </c>
      <c r="GQ69">
        <f t="shared" ca="1" si="291"/>
        <v>0</v>
      </c>
      <c r="GR69">
        <f t="shared" ca="1" si="292"/>
        <v>0</v>
      </c>
      <c r="GS69">
        <f t="shared" ca="1" si="293"/>
        <v>18214</v>
      </c>
      <c r="GT69">
        <f t="shared" ca="1" si="294"/>
        <v>0</v>
      </c>
      <c r="GU69" t="b">
        <f t="shared" ca="1" si="295"/>
        <v>0</v>
      </c>
      <c r="GV69">
        <f t="shared" ca="1" si="296"/>
        <v>0</v>
      </c>
      <c r="GW69">
        <f t="shared" ca="1" si="297"/>
        <v>18214</v>
      </c>
      <c r="GX69">
        <f t="shared" ca="1" si="298"/>
        <v>0</v>
      </c>
      <c r="GY69">
        <f t="shared" ca="1" si="299"/>
        <v>0</v>
      </c>
      <c r="GZ69">
        <f t="shared" ca="1" si="300"/>
        <v>0</v>
      </c>
    </row>
    <row r="70" spans="1:208" x14ac:dyDescent="0.3">
      <c r="A70">
        <f>_xlfn.AGGREGATE(3,5,$B$2:B70)</f>
        <v>69</v>
      </c>
      <c r="B70" t="s">
        <v>255</v>
      </c>
      <c r="C70" t="s">
        <v>256</v>
      </c>
      <c r="D70" t="s">
        <v>766</v>
      </c>
      <c r="E70" t="s">
        <v>831</v>
      </c>
      <c r="F70" t="s">
        <v>956</v>
      </c>
      <c r="G70" t="s">
        <v>904</v>
      </c>
      <c r="H70">
        <f t="shared" si="210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1"/>
        <v>5278.0000000000009</v>
      </c>
      <c r="L70">
        <f t="shared" si="212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194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01"/>
        <v>200</v>
      </c>
      <c r="S70">
        <f t="shared" si="213"/>
        <v>40802</v>
      </c>
      <c r="T70">
        <f>_xlfn.XLOOKUP(B70,'[2]april-2025'!$A:$A,'[2]april-2025'!$C:$C,0,0)</f>
        <v>37700</v>
      </c>
      <c r="U70">
        <f t="shared" si="214"/>
        <v>6786</v>
      </c>
      <c r="V70">
        <f t="shared" si="215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16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17"/>
        <v>200</v>
      </c>
      <c r="AC70">
        <f t="shared" si="218"/>
        <v>42310</v>
      </c>
      <c r="AD70">
        <f>_xlfn.XLOOKUP(B70,'[3]may-2025'!$A:$A,'[3]may-2025'!$C:$C,0,0)</f>
        <v>37700</v>
      </c>
      <c r="AE70">
        <f t="shared" si="219"/>
        <v>6786</v>
      </c>
      <c r="AF70">
        <f t="shared" si="220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1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2"/>
        <v>200</v>
      </c>
      <c r="AM70">
        <f t="shared" si="223"/>
        <v>42310</v>
      </c>
      <c r="AN70">
        <f>_xlfn.XLOOKUP(B70,'[4]june-2025'!$A:$A,'[4]june-2025'!$C:$C,0,0)</f>
        <v>37700</v>
      </c>
      <c r="AO70">
        <f t="shared" si="224"/>
        <v>6786</v>
      </c>
      <c r="AP70">
        <f t="shared" si="225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26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27"/>
        <v>200</v>
      </c>
      <c r="AW70">
        <f t="shared" si="228"/>
        <v>42310</v>
      </c>
      <c r="AX70">
        <f>_xlfn.XLOOKUP(B70,'[5]july-2025'!$A:$A,'[5]july-2025'!$C:$C,0,0)</f>
        <v>38800</v>
      </c>
      <c r="AY70">
        <f t="shared" si="229"/>
        <v>6984</v>
      </c>
      <c r="AZ70">
        <v>0</v>
      </c>
      <c r="BA70">
        <f t="shared" si="230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195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1"/>
        <v>200</v>
      </c>
      <c r="BH70">
        <f t="shared" si="232"/>
        <v>43740</v>
      </c>
      <c r="BI70">
        <f>_xlfn.XLOOKUP(B70,'[6]august-2025'!$A:$A,'[6]august-2025'!$C:$C,0,0)</f>
        <v>38800</v>
      </c>
      <c r="BJ70">
        <f t="shared" si="233"/>
        <v>6984</v>
      </c>
      <c r="BK70">
        <f t="shared" si="234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35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196"/>
        <v>200</v>
      </c>
      <c r="BR70">
        <f t="shared" si="197"/>
        <v>43740</v>
      </c>
      <c r="BS70">
        <f>_xlfn.XLOOKUP(B70,'[7]september-2025'!$A:$A,'[7]september-2025'!$C:$C,0,0)</f>
        <v>38800</v>
      </c>
      <c r="BT70">
        <f t="shared" si="236"/>
        <v>6984</v>
      </c>
      <c r="BU70">
        <f t="shared" si="237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198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38"/>
        <v>200</v>
      </c>
      <c r="CB70">
        <f t="shared" si="239"/>
        <v>43740</v>
      </c>
      <c r="CC70">
        <f>_xlfn.XLOOKUP(B70,'[8]october-2025'!$A:$A,'[8]october-2025'!$C:$C,0,0)</f>
        <v>38800</v>
      </c>
      <c r="CD70">
        <f t="shared" si="240"/>
        <v>6984</v>
      </c>
      <c r="CE70">
        <f t="shared" si="241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199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42"/>
        <v>200</v>
      </c>
      <c r="CL70">
        <f t="shared" si="243"/>
        <v>43740</v>
      </c>
      <c r="CM70">
        <f>_xlfn.XLOOKUP(B70,'[9]november-2025'!$A:$A,'[9]november-2025'!$C:$C,0,0)</f>
        <v>38800</v>
      </c>
      <c r="CN70">
        <f t="shared" si="244"/>
        <v>6984</v>
      </c>
      <c r="CO70">
        <f t="shared" si="24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00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46"/>
        <v>200</v>
      </c>
      <c r="CV70">
        <f t="shared" si="247"/>
        <v>43740</v>
      </c>
      <c r="CW70">
        <f>_xlfn.XLOOKUP(B70,'[10]december-2025'!$A:$A,'[10]december-2025'!$C:$C,0,0)</f>
        <v>38800</v>
      </c>
      <c r="CX70">
        <f t="shared" si="248"/>
        <v>6984</v>
      </c>
      <c r="CY70">
        <f t="shared" si="249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0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50"/>
        <v>200</v>
      </c>
      <c r="DF70">
        <f t="shared" si="251"/>
        <v>43740</v>
      </c>
      <c r="DG70">
        <f>_xlfn.XLOOKUP(B70,'[11]january-2026'!$A:$A,'[11]january-2026'!$C:$C,0,0)</f>
        <v>38800</v>
      </c>
      <c r="DH70">
        <f t="shared" si="252"/>
        <v>6984</v>
      </c>
      <c r="DI70">
        <f t="shared" si="253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02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54"/>
        <v>200</v>
      </c>
      <c r="DP70">
        <f t="shared" si="255"/>
        <v>43740</v>
      </c>
      <c r="DQ70">
        <f>_xlfn.XLOOKUP(B70,'[12]february-2026'!$A:$A,'[12]february-2026'!$C:$C,0,0)</f>
        <v>38800</v>
      </c>
      <c r="DR70">
        <f t="shared" si="256"/>
        <v>6984</v>
      </c>
      <c r="DS70">
        <f t="shared" si="257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03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58"/>
        <v>200</v>
      </c>
      <c r="DZ70">
        <f t="shared" si="259"/>
        <v>43740</v>
      </c>
      <c r="EA70">
        <f>_xlfn.XLOOKUP(B70,'[1]march-2025'!$A:$A,'[1]march-2025'!$J:$J,0,0)</f>
        <v>0</v>
      </c>
      <c r="EB70">
        <f>_xlfn.XLOOKUP(B70,'[2]april-2025'!$A:$A,'[2]april-2025'!$J:$J,0,0)</f>
        <v>0</v>
      </c>
      <c r="EC70">
        <f>_xlfn.XLOOKUP(B70,'[3]may-2025'!$A:$A,'[3]may-2025'!$J:$J,0,0)</f>
        <v>0</v>
      </c>
      <c r="ED70">
        <f>_xlfn.XLOOKUP(B70,'[4]june-2025'!$A:$A,'[4]june-2025'!$J:$J,0,0)</f>
        <v>0</v>
      </c>
      <c r="EE70">
        <f>_xlfn.XLOOKUP(B70,'[5]july-2025'!$A:$A,'[5]july-2025'!$J:$J,0,0)</f>
        <v>0</v>
      </c>
      <c r="EF70">
        <f>_xlfn.XLOOKUP(B70,'[6]august-2025'!$A:$A,'[6]august-2025'!$J:$J,0,0)</f>
        <v>0</v>
      </c>
      <c r="EG70">
        <f>_xlfn.XLOOKUP(B70,'[7]september-2025'!$A:$A,'[7]september-2025'!$J:$J,0,0)</f>
        <v>0</v>
      </c>
      <c r="EH70">
        <f>_xlfn.XLOOKUP(B70,'[8]october-2025'!$A:$A,'[8]october-2025'!$J:$J,0,0)</f>
        <v>0</v>
      </c>
      <c r="EI70">
        <f>_xlfn.XLOOKUP(C70,'[9]november-2025'!$A:$A,'[9]november-2025'!$J:$J,0,0)</f>
        <v>0</v>
      </c>
      <c r="EJ70">
        <f>_xlfn.XLOOKUP(B70,'[10]december-2025'!$A:$A,'[10]december-2025'!$J:$J,0,0)</f>
        <v>0</v>
      </c>
      <c r="EK70">
        <f>_xlfn.XLOOKUP(B70,'[11]january-2026'!$A:$A,'[11]january-2026'!$J:$J,0,0)</f>
        <v>0</v>
      </c>
      <c r="EL70">
        <f>_xlfn.XLOOKUP(B70,'[12]february-2026'!$A:$A,'[12]february-2026'!$J:$J,0,0)</f>
        <v>0</v>
      </c>
      <c r="EM70">
        <f t="shared" si="260"/>
        <v>0</v>
      </c>
      <c r="EN70">
        <f t="shared" si="204"/>
        <v>610852</v>
      </c>
      <c r="EO70">
        <f t="shared" si="205"/>
        <v>2400</v>
      </c>
      <c r="EP70">
        <f t="shared" si="261"/>
        <v>50000</v>
      </c>
      <c r="EQ70">
        <v>0</v>
      </c>
      <c r="ER70">
        <f t="shared" si="262"/>
        <v>558452</v>
      </c>
      <c r="ES70">
        <f t="shared" si="206"/>
        <v>84000</v>
      </c>
      <c r="ET70">
        <f t="shared" si="207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263"/>
        <v>84000</v>
      </c>
      <c r="FF70">
        <f t="shared" si="264"/>
        <v>84000</v>
      </c>
      <c r="FG70">
        <f t="shared" si="265"/>
        <v>474452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208"/>
        <v>0</v>
      </c>
      <c r="FP70">
        <f t="shared" si="266"/>
        <v>474452</v>
      </c>
      <c r="FQ70">
        <f t="shared" si="267"/>
        <v>11223</v>
      </c>
      <c r="FR70">
        <f t="shared" si="268"/>
        <v>0</v>
      </c>
      <c r="FS70">
        <f t="shared" si="269"/>
        <v>11223</v>
      </c>
      <c r="FT70">
        <f t="shared" si="270"/>
        <v>0</v>
      </c>
      <c r="FU70">
        <f t="shared" si="271"/>
        <v>0</v>
      </c>
      <c r="FV70">
        <f t="shared" si="272"/>
        <v>0</v>
      </c>
      <c r="FW70">
        <v>0</v>
      </c>
      <c r="FX70">
        <f t="shared" si="273"/>
        <v>0</v>
      </c>
      <c r="FY70" t="b">
        <f t="shared" si="274"/>
        <v>1</v>
      </c>
      <c r="FZ70">
        <f t="shared" ca="1" si="275"/>
        <v>639</v>
      </c>
      <c r="GA70">
        <f t="shared" ca="1" si="276"/>
        <v>611491</v>
      </c>
      <c r="GB70">
        <f t="shared" si="277"/>
        <v>75000</v>
      </c>
      <c r="GC70">
        <f t="shared" ca="1" si="278"/>
        <v>536491</v>
      </c>
      <c r="GD70">
        <f t="shared" ca="1" si="279"/>
        <v>0</v>
      </c>
      <c r="GE70">
        <f t="shared" ca="1" si="280"/>
        <v>0</v>
      </c>
      <c r="GF70">
        <f t="shared" ca="1" si="281"/>
        <v>0</v>
      </c>
      <c r="GG70">
        <f t="shared" ca="1" si="282"/>
        <v>0</v>
      </c>
      <c r="GH70">
        <f t="shared" ca="1" si="283"/>
        <v>0</v>
      </c>
      <c r="GI70">
        <f t="shared" ca="1" si="284"/>
        <v>0</v>
      </c>
      <c r="GJ70">
        <f t="shared" ca="1" si="209"/>
        <v>0</v>
      </c>
      <c r="GK70">
        <f t="shared" ca="1" si="285"/>
        <v>0</v>
      </c>
      <c r="GL70">
        <f t="shared" ca="1" si="286"/>
        <v>0</v>
      </c>
      <c r="GM70">
        <f t="shared" ca="1" si="287"/>
        <v>0</v>
      </c>
      <c r="GN70">
        <f t="shared" ca="1" si="288"/>
        <v>136491</v>
      </c>
      <c r="GO70">
        <f t="shared" ca="1" si="289"/>
        <v>6824.55</v>
      </c>
      <c r="GP70">
        <f t="shared" ca="1" si="290"/>
        <v>6825</v>
      </c>
      <c r="GQ70">
        <f t="shared" ca="1" si="291"/>
        <v>0</v>
      </c>
      <c r="GR70">
        <f t="shared" ca="1" si="292"/>
        <v>0</v>
      </c>
      <c r="GS70">
        <f t="shared" ca="1" si="293"/>
        <v>6825</v>
      </c>
      <c r="GT70">
        <f t="shared" ca="1" si="294"/>
        <v>0</v>
      </c>
      <c r="GU70" t="b">
        <f t="shared" ca="1" si="295"/>
        <v>0</v>
      </c>
      <c r="GV70">
        <f t="shared" ca="1" si="296"/>
        <v>0</v>
      </c>
      <c r="GW70">
        <f t="shared" ca="1" si="297"/>
        <v>6825</v>
      </c>
      <c r="GX70">
        <f t="shared" ca="1" si="298"/>
        <v>0</v>
      </c>
      <c r="GY70">
        <f t="shared" ca="1" si="299"/>
        <v>0</v>
      </c>
      <c r="GZ70">
        <f t="shared" ca="1" si="300"/>
        <v>0</v>
      </c>
    </row>
    <row r="71" spans="1:208" x14ac:dyDescent="0.3">
      <c r="A71">
        <f>_xlfn.AGGREGATE(3,5,$B$2:B71)</f>
        <v>70</v>
      </c>
      <c r="B71" t="s">
        <v>257</v>
      </c>
      <c r="C71" t="s">
        <v>258</v>
      </c>
      <c r="D71" t="s">
        <v>767</v>
      </c>
      <c r="E71" t="s">
        <v>831</v>
      </c>
      <c r="F71" t="s">
        <v>956</v>
      </c>
      <c r="G71" t="s">
        <v>884</v>
      </c>
      <c r="H71">
        <f t="shared" si="210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1"/>
        <v>7238.0000000000009</v>
      </c>
      <c r="L71">
        <f t="shared" si="212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194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01"/>
        <v>200</v>
      </c>
      <c r="S71">
        <f t="shared" si="213"/>
        <v>61842</v>
      </c>
      <c r="T71">
        <f>_xlfn.XLOOKUP(B71,'[2]april-2025'!$A:$A,'[2]april-2025'!$C:$C,0,0)</f>
        <v>51700</v>
      </c>
      <c r="U71">
        <f t="shared" si="214"/>
        <v>9306</v>
      </c>
      <c r="V71">
        <f t="shared" si="215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16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17"/>
        <v>200</v>
      </c>
      <c r="AC71">
        <f t="shared" si="218"/>
        <v>63910</v>
      </c>
      <c r="AD71">
        <f>_xlfn.XLOOKUP(B71,'[3]may-2025'!$A:$A,'[3]may-2025'!$C:$C,0,0)</f>
        <v>51700</v>
      </c>
      <c r="AE71">
        <f t="shared" si="219"/>
        <v>9306</v>
      </c>
      <c r="AF71">
        <f t="shared" si="220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1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2"/>
        <v>200</v>
      </c>
      <c r="AM71">
        <f t="shared" si="223"/>
        <v>63910</v>
      </c>
      <c r="AN71">
        <f>_xlfn.XLOOKUP(B71,'[4]june-2025'!$A:$A,'[4]june-2025'!$C:$C,0,0)</f>
        <v>51700</v>
      </c>
      <c r="AO71">
        <f t="shared" si="224"/>
        <v>9306</v>
      </c>
      <c r="AP71">
        <f t="shared" si="225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26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27"/>
        <v>200</v>
      </c>
      <c r="AW71">
        <f t="shared" si="228"/>
        <v>63910</v>
      </c>
      <c r="AX71">
        <f>_xlfn.XLOOKUP(B71,'[5]july-2025'!$A:$A,'[5]july-2025'!$C:$C,0,0)</f>
        <v>53300</v>
      </c>
      <c r="AY71">
        <f t="shared" si="229"/>
        <v>9594</v>
      </c>
      <c r="AZ71">
        <v>0</v>
      </c>
      <c r="BA71">
        <f t="shared" si="230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195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1"/>
        <v>200</v>
      </c>
      <c r="BH71">
        <f t="shared" si="232"/>
        <v>65990</v>
      </c>
      <c r="BI71">
        <f>_xlfn.XLOOKUP(B71,'[6]august-2025'!$A:$A,'[6]august-2025'!$C:$C,0,0)</f>
        <v>53300</v>
      </c>
      <c r="BJ71">
        <f t="shared" si="233"/>
        <v>9594</v>
      </c>
      <c r="BK71">
        <f t="shared" si="234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35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196"/>
        <v>200</v>
      </c>
      <c r="BR71">
        <f t="shared" si="197"/>
        <v>65990</v>
      </c>
      <c r="BS71">
        <f>_xlfn.XLOOKUP(B71,'[7]september-2025'!$A:$A,'[7]september-2025'!$C:$C,0,0)</f>
        <v>53300</v>
      </c>
      <c r="BT71">
        <f t="shared" si="236"/>
        <v>9594</v>
      </c>
      <c r="BU71">
        <f t="shared" si="237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198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38"/>
        <v>200</v>
      </c>
      <c r="CB71">
        <f t="shared" si="239"/>
        <v>65990</v>
      </c>
      <c r="CC71">
        <f>_xlfn.XLOOKUP(B71,'[8]october-2025'!$A:$A,'[8]october-2025'!$C:$C,0,0)</f>
        <v>53300</v>
      </c>
      <c r="CD71">
        <f t="shared" si="240"/>
        <v>9594</v>
      </c>
      <c r="CE71">
        <f t="shared" si="241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199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42"/>
        <v>200</v>
      </c>
      <c r="CL71">
        <f t="shared" si="243"/>
        <v>65990</v>
      </c>
      <c r="CM71">
        <f>_xlfn.XLOOKUP(B71,'[9]november-2025'!$A:$A,'[9]november-2025'!$C:$C,0,0)</f>
        <v>53300</v>
      </c>
      <c r="CN71">
        <f t="shared" si="244"/>
        <v>9594</v>
      </c>
      <c r="CO71">
        <f t="shared" si="24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00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46"/>
        <v>200</v>
      </c>
      <c r="CV71">
        <f t="shared" si="247"/>
        <v>65990</v>
      </c>
      <c r="CW71">
        <f>_xlfn.XLOOKUP(B71,'[10]december-2025'!$A:$A,'[10]december-2025'!$C:$C,0,0)</f>
        <v>53300</v>
      </c>
      <c r="CX71">
        <f t="shared" si="248"/>
        <v>9594</v>
      </c>
      <c r="CY71">
        <f t="shared" si="249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0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50"/>
        <v>200</v>
      </c>
      <c r="DF71">
        <f t="shared" si="251"/>
        <v>65990</v>
      </c>
      <c r="DG71">
        <f>_xlfn.XLOOKUP(B71,'[11]january-2026'!$A:$A,'[11]january-2026'!$C:$C,0,0)</f>
        <v>53300</v>
      </c>
      <c r="DH71">
        <f t="shared" si="252"/>
        <v>9594</v>
      </c>
      <c r="DI71">
        <f t="shared" si="253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02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54"/>
        <v>200</v>
      </c>
      <c r="DP71">
        <f t="shared" si="255"/>
        <v>65990</v>
      </c>
      <c r="DQ71">
        <f>_xlfn.XLOOKUP(B71,'[12]february-2026'!$A:$A,'[12]february-2026'!$C:$C,0,0)</f>
        <v>53300</v>
      </c>
      <c r="DR71">
        <f t="shared" si="256"/>
        <v>9594</v>
      </c>
      <c r="DS71">
        <f t="shared" si="257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03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58"/>
        <v>200</v>
      </c>
      <c r="DZ71">
        <f t="shared" si="259"/>
        <v>65990</v>
      </c>
      <c r="EA71">
        <f>_xlfn.XLOOKUP(B71,'[1]march-2025'!$A:$A,'[1]march-2025'!$J:$J,0,0)</f>
        <v>0</v>
      </c>
      <c r="EB71">
        <f>_xlfn.XLOOKUP(B71,'[2]april-2025'!$A:$A,'[2]april-2025'!$J:$J,0,0)</f>
        <v>0</v>
      </c>
      <c r="EC71">
        <f>_xlfn.XLOOKUP(B71,'[3]may-2025'!$A:$A,'[3]may-2025'!$J:$J,0,0)</f>
        <v>0</v>
      </c>
      <c r="ED71">
        <f>_xlfn.XLOOKUP(B71,'[4]june-2025'!$A:$A,'[4]june-2025'!$J:$J,0,0)</f>
        <v>0</v>
      </c>
      <c r="EE71">
        <f>_xlfn.XLOOKUP(B71,'[5]july-2025'!$A:$A,'[5]july-2025'!$J:$J,0,0)</f>
        <v>0</v>
      </c>
      <c r="EF71">
        <f>_xlfn.XLOOKUP(B71,'[6]august-2025'!$A:$A,'[6]august-2025'!$J:$J,0,0)</f>
        <v>0</v>
      </c>
      <c r="EG71">
        <f>_xlfn.XLOOKUP(B71,'[7]september-2025'!$A:$A,'[7]september-2025'!$J:$J,0,0)</f>
        <v>0</v>
      </c>
      <c r="EH71">
        <f>_xlfn.XLOOKUP(B71,'[8]october-2025'!$A:$A,'[8]october-2025'!$J:$J,0,0)</f>
        <v>0</v>
      </c>
      <c r="EI71">
        <f>_xlfn.XLOOKUP(C71,'[9]november-2025'!$A:$A,'[9]november-2025'!$J:$J,0,0)</f>
        <v>0</v>
      </c>
      <c r="EJ71">
        <f>_xlfn.XLOOKUP(B71,'[10]december-2025'!$A:$A,'[10]december-2025'!$J:$J,0,0)</f>
        <v>0</v>
      </c>
      <c r="EK71">
        <f>_xlfn.XLOOKUP(B71,'[11]january-2026'!$A:$A,'[11]january-2026'!$J:$J,0,0)</f>
        <v>0</v>
      </c>
      <c r="EL71">
        <f>_xlfn.XLOOKUP(B71,'[12]february-2026'!$A:$A,'[12]february-2026'!$J:$J,0,0)</f>
        <v>0</v>
      </c>
      <c r="EM71">
        <f t="shared" si="260"/>
        <v>0</v>
      </c>
      <c r="EN71">
        <f t="shared" si="204"/>
        <v>838692</v>
      </c>
      <c r="EO71">
        <f t="shared" si="205"/>
        <v>2400</v>
      </c>
      <c r="EP71">
        <f t="shared" si="261"/>
        <v>50000</v>
      </c>
      <c r="EQ71">
        <v>0</v>
      </c>
      <c r="ER71">
        <f t="shared" si="262"/>
        <v>786292</v>
      </c>
      <c r="ES71">
        <f t="shared" si="206"/>
        <v>48000</v>
      </c>
      <c r="ET71">
        <f t="shared" si="207"/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263"/>
        <v>48000</v>
      </c>
      <c r="FF71">
        <f t="shared" si="264"/>
        <v>48000</v>
      </c>
      <c r="FG71">
        <f t="shared" si="265"/>
        <v>738292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208"/>
        <v>0</v>
      </c>
      <c r="FP71">
        <f t="shared" si="266"/>
        <v>738292</v>
      </c>
      <c r="FQ71">
        <f t="shared" si="267"/>
        <v>12500</v>
      </c>
      <c r="FR71">
        <f t="shared" si="268"/>
        <v>47658</v>
      </c>
      <c r="FS71">
        <f t="shared" si="269"/>
        <v>60158</v>
      </c>
      <c r="FT71">
        <f t="shared" si="270"/>
        <v>60158</v>
      </c>
      <c r="FU71">
        <f t="shared" si="271"/>
        <v>2406.3200000000002</v>
      </c>
      <c r="FV71">
        <f t="shared" si="272"/>
        <v>62564</v>
      </c>
      <c r="FW71">
        <v>0</v>
      </c>
      <c r="FX71">
        <f t="shared" si="273"/>
        <v>62564</v>
      </c>
      <c r="FY71" t="b">
        <f t="shared" si="274"/>
        <v>1</v>
      </c>
      <c r="FZ71">
        <f t="shared" ca="1" si="275"/>
        <v>857</v>
      </c>
      <c r="GA71">
        <f t="shared" ca="1" si="276"/>
        <v>839549</v>
      </c>
      <c r="GB71">
        <f t="shared" si="277"/>
        <v>75000</v>
      </c>
      <c r="GC71">
        <f t="shared" ca="1" si="278"/>
        <v>764549</v>
      </c>
      <c r="GD71">
        <f t="shared" ca="1" si="279"/>
        <v>0</v>
      </c>
      <c r="GE71">
        <f t="shared" ca="1" si="280"/>
        <v>0</v>
      </c>
      <c r="GF71">
        <f t="shared" ca="1" si="281"/>
        <v>0</v>
      </c>
      <c r="GG71">
        <f t="shared" ca="1" si="282"/>
        <v>0</v>
      </c>
      <c r="GH71">
        <f t="shared" ca="1" si="283"/>
        <v>0</v>
      </c>
      <c r="GI71">
        <f t="shared" ca="1" si="284"/>
        <v>0</v>
      </c>
      <c r="GJ71">
        <f t="shared" ca="1" si="209"/>
        <v>0</v>
      </c>
      <c r="GK71">
        <f t="shared" ca="1" si="285"/>
        <v>0</v>
      </c>
      <c r="GL71">
        <f t="shared" ca="1" si="286"/>
        <v>0</v>
      </c>
      <c r="GM71">
        <f t="shared" ca="1" si="287"/>
        <v>0</v>
      </c>
      <c r="GN71">
        <f t="shared" ca="1" si="288"/>
        <v>364549</v>
      </c>
      <c r="GO71">
        <f t="shared" ca="1" si="289"/>
        <v>18227.45</v>
      </c>
      <c r="GP71">
        <f t="shared" ca="1" si="290"/>
        <v>18227</v>
      </c>
      <c r="GQ71">
        <f t="shared" ca="1" si="291"/>
        <v>0</v>
      </c>
      <c r="GR71">
        <f t="shared" ca="1" si="292"/>
        <v>0</v>
      </c>
      <c r="GS71">
        <f t="shared" ca="1" si="293"/>
        <v>18227</v>
      </c>
      <c r="GT71">
        <f t="shared" ca="1" si="294"/>
        <v>0</v>
      </c>
      <c r="GU71" t="b">
        <f t="shared" ca="1" si="295"/>
        <v>0</v>
      </c>
      <c r="GV71">
        <f t="shared" ca="1" si="296"/>
        <v>0</v>
      </c>
      <c r="GW71">
        <f t="shared" ca="1" si="297"/>
        <v>18227</v>
      </c>
      <c r="GX71">
        <f t="shared" ca="1" si="298"/>
        <v>0</v>
      </c>
      <c r="GY71">
        <f t="shared" ca="1" si="299"/>
        <v>0</v>
      </c>
      <c r="GZ71">
        <f t="shared" ca="1" si="300"/>
        <v>0</v>
      </c>
    </row>
    <row r="72" spans="1:208" x14ac:dyDescent="0.3">
      <c r="A72">
        <f>_xlfn.AGGREGATE(3,5,$B$2:B72)</f>
        <v>71</v>
      </c>
      <c r="B72" t="s">
        <v>259</v>
      </c>
      <c r="C72" t="s">
        <v>260</v>
      </c>
      <c r="D72" t="s">
        <v>767</v>
      </c>
      <c r="E72" t="s">
        <v>830</v>
      </c>
      <c r="F72" t="s">
        <v>956</v>
      </c>
      <c r="G72" t="s">
        <v>905</v>
      </c>
      <c r="H72">
        <f t="shared" si="210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1"/>
        <v>4830.0000000000009</v>
      </c>
      <c r="L72">
        <f t="shared" si="212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194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01"/>
        <v>200</v>
      </c>
      <c r="S72">
        <f t="shared" si="213"/>
        <v>41270</v>
      </c>
      <c r="T72">
        <f>_xlfn.XLOOKUP(B72,'[2]april-2025'!$A:$A,'[2]april-2025'!$C:$C,0,0)</f>
        <v>34500</v>
      </c>
      <c r="U72">
        <f t="shared" si="214"/>
        <v>6210</v>
      </c>
      <c r="V72">
        <f t="shared" si="215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16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17"/>
        <v>200</v>
      </c>
      <c r="AC72">
        <f t="shared" si="218"/>
        <v>42650</v>
      </c>
      <c r="AD72">
        <f>_xlfn.XLOOKUP(B72,'[3]may-2025'!$A:$A,'[3]may-2025'!$C:$C,0,0)</f>
        <v>34500</v>
      </c>
      <c r="AE72">
        <f t="shared" si="219"/>
        <v>6210</v>
      </c>
      <c r="AF72">
        <f t="shared" si="220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1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2"/>
        <v>200</v>
      </c>
      <c r="AM72">
        <f t="shared" si="223"/>
        <v>42650</v>
      </c>
      <c r="AN72">
        <f>_xlfn.XLOOKUP(B72,'[4]june-2025'!$A:$A,'[4]june-2025'!$C:$C,0,0)</f>
        <v>34500</v>
      </c>
      <c r="AO72">
        <f t="shared" si="224"/>
        <v>6210</v>
      </c>
      <c r="AP72">
        <f t="shared" si="225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26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27"/>
        <v>200</v>
      </c>
      <c r="AW72">
        <f t="shared" si="228"/>
        <v>42650</v>
      </c>
      <c r="AX72">
        <f>_xlfn.XLOOKUP(B72,'[5]july-2025'!$A:$A,'[5]july-2025'!$C:$C,0,0)</f>
        <v>35500</v>
      </c>
      <c r="AY72">
        <f t="shared" si="229"/>
        <v>6390</v>
      </c>
      <c r="AZ72">
        <v>0</v>
      </c>
      <c r="BA72">
        <f t="shared" si="230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195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1"/>
        <v>200</v>
      </c>
      <c r="BH72">
        <f t="shared" si="232"/>
        <v>43950</v>
      </c>
      <c r="BI72">
        <f>_xlfn.XLOOKUP(B72,'[6]august-2025'!$A:$A,'[6]august-2025'!$C:$C,0,0)</f>
        <v>35500</v>
      </c>
      <c r="BJ72">
        <f t="shared" si="233"/>
        <v>6390</v>
      </c>
      <c r="BK72">
        <f t="shared" si="234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35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196"/>
        <v>200</v>
      </c>
      <c r="BR72">
        <f t="shared" si="197"/>
        <v>43950</v>
      </c>
      <c r="BS72">
        <f>_xlfn.XLOOKUP(B72,'[7]september-2025'!$A:$A,'[7]september-2025'!$C:$C,0,0)</f>
        <v>35500</v>
      </c>
      <c r="BT72">
        <f t="shared" si="236"/>
        <v>6390</v>
      </c>
      <c r="BU72">
        <f t="shared" si="237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198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38"/>
        <v>200</v>
      </c>
      <c r="CB72">
        <f t="shared" si="239"/>
        <v>43950</v>
      </c>
      <c r="CC72">
        <f>_xlfn.XLOOKUP(B72,'[8]october-2025'!$A:$A,'[8]october-2025'!$C:$C,0,0)</f>
        <v>35500</v>
      </c>
      <c r="CD72">
        <f t="shared" si="240"/>
        <v>6390</v>
      </c>
      <c r="CE72">
        <f t="shared" si="241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199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42"/>
        <v>200</v>
      </c>
      <c r="CL72">
        <f t="shared" si="243"/>
        <v>43950</v>
      </c>
      <c r="CM72">
        <f>_xlfn.XLOOKUP(B72,'[9]november-2025'!$A:$A,'[9]november-2025'!$C:$C,0,0)</f>
        <v>35500</v>
      </c>
      <c r="CN72">
        <f t="shared" si="244"/>
        <v>6390</v>
      </c>
      <c r="CO72">
        <f t="shared" si="24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00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46"/>
        <v>200</v>
      </c>
      <c r="CV72">
        <f t="shared" si="247"/>
        <v>43950</v>
      </c>
      <c r="CW72">
        <f>_xlfn.XLOOKUP(B72,'[10]december-2025'!$A:$A,'[10]december-2025'!$C:$C,0,0)</f>
        <v>35500</v>
      </c>
      <c r="CX72">
        <f t="shared" si="248"/>
        <v>6390</v>
      </c>
      <c r="CY72">
        <f t="shared" si="249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0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50"/>
        <v>200</v>
      </c>
      <c r="DF72">
        <f t="shared" si="251"/>
        <v>43950</v>
      </c>
      <c r="DG72">
        <f>_xlfn.XLOOKUP(B72,'[11]january-2026'!$A:$A,'[11]january-2026'!$C:$C,0,0)</f>
        <v>35500</v>
      </c>
      <c r="DH72">
        <f t="shared" si="252"/>
        <v>6390</v>
      </c>
      <c r="DI72">
        <f t="shared" si="253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02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54"/>
        <v>200</v>
      </c>
      <c r="DP72">
        <f t="shared" si="255"/>
        <v>43950</v>
      </c>
      <c r="DQ72">
        <f>_xlfn.XLOOKUP(B72,'[12]february-2026'!$A:$A,'[12]february-2026'!$C:$C,0,0)</f>
        <v>35500</v>
      </c>
      <c r="DR72">
        <f t="shared" si="256"/>
        <v>6390</v>
      </c>
      <c r="DS72">
        <f t="shared" si="257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03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58"/>
        <v>200</v>
      </c>
      <c r="DZ72">
        <f t="shared" si="259"/>
        <v>43950</v>
      </c>
      <c r="EA72">
        <f>_xlfn.XLOOKUP(B72,'[1]march-2025'!$A:$A,'[1]march-2025'!$J:$J,0,0)</f>
        <v>0</v>
      </c>
      <c r="EB72">
        <f>_xlfn.XLOOKUP(B72,'[2]april-2025'!$A:$A,'[2]april-2025'!$J:$J,0,0)</f>
        <v>0</v>
      </c>
      <c r="EC72">
        <f>_xlfn.XLOOKUP(B72,'[3]may-2025'!$A:$A,'[3]may-2025'!$J:$J,0,0)</f>
        <v>0</v>
      </c>
      <c r="ED72">
        <f>_xlfn.XLOOKUP(B72,'[4]june-2025'!$A:$A,'[4]june-2025'!$J:$J,0,0)</f>
        <v>0</v>
      </c>
      <c r="EE72">
        <f>_xlfn.XLOOKUP(B72,'[5]july-2025'!$A:$A,'[5]july-2025'!$J:$J,0,0)</f>
        <v>0</v>
      </c>
      <c r="EF72">
        <f>_xlfn.XLOOKUP(B72,'[6]august-2025'!$A:$A,'[6]august-2025'!$J:$J,0,0)</f>
        <v>0</v>
      </c>
      <c r="EG72">
        <f>_xlfn.XLOOKUP(B72,'[7]september-2025'!$A:$A,'[7]september-2025'!$J:$J,0,0)</f>
        <v>0</v>
      </c>
      <c r="EH72">
        <f>_xlfn.XLOOKUP(B72,'[8]october-2025'!$A:$A,'[8]october-2025'!$J:$J,0,0)</f>
        <v>0</v>
      </c>
      <c r="EI72">
        <f>_xlfn.XLOOKUP(C72,'[9]november-2025'!$A:$A,'[9]november-2025'!$J:$J,0,0)</f>
        <v>0</v>
      </c>
      <c r="EJ72">
        <f>_xlfn.XLOOKUP(B72,'[10]december-2025'!$A:$A,'[10]december-2025'!$J:$J,0,0)</f>
        <v>0</v>
      </c>
      <c r="EK72">
        <f>_xlfn.XLOOKUP(B72,'[11]january-2026'!$A:$A,'[11]january-2026'!$J:$J,0,0)</f>
        <v>0</v>
      </c>
      <c r="EL72">
        <f>_xlfn.XLOOKUP(B72,'[12]february-2026'!$A:$A,'[12]february-2026'!$J:$J,0,0)</f>
        <v>0</v>
      </c>
      <c r="EM72">
        <f t="shared" si="260"/>
        <v>0</v>
      </c>
      <c r="EN72">
        <f t="shared" si="204"/>
        <v>560020</v>
      </c>
      <c r="EO72">
        <f t="shared" si="205"/>
        <v>2400</v>
      </c>
      <c r="EP72">
        <f t="shared" si="261"/>
        <v>50000</v>
      </c>
      <c r="EQ72">
        <v>0</v>
      </c>
      <c r="ER72">
        <f t="shared" si="262"/>
        <v>507620</v>
      </c>
      <c r="ES72">
        <f t="shared" si="206"/>
        <v>30000</v>
      </c>
      <c r="ET72">
        <f t="shared" si="207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263"/>
        <v>30000</v>
      </c>
      <c r="FF72">
        <f t="shared" si="264"/>
        <v>30000</v>
      </c>
      <c r="FG72">
        <f t="shared" si="265"/>
        <v>477620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208"/>
        <v>0</v>
      </c>
      <c r="FP72">
        <f t="shared" si="266"/>
        <v>477620</v>
      </c>
      <c r="FQ72">
        <f t="shared" si="267"/>
        <v>11381</v>
      </c>
      <c r="FR72">
        <f t="shared" si="268"/>
        <v>0</v>
      </c>
      <c r="FS72">
        <f t="shared" si="269"/>
        <v>11381</v>
      </c>
      <c r="FT72">
        <f t="shared" si="270"/>
        <v>0</v>
      </c>
      <c r="FU72">
        <f t="shared" si="271"/>
        <v>0</v>
      </c>
      <c r="FV72">
        <f t="shared" si="272"/>
        <v>0</v>
      </c>
      <c r="FW72">
        <v>0</v>
      </c>
      <c r="FX72">
        <f t="shared" si="273"/>
        <v>0</v>
      </c>
      <c r="FY72" t="b">
        <f t="shared" si="274"/>
        <v>1</v>
      </c>
      <c r="FZ72">
        <f t="shared" ca="1" si="275"/>
        <v>625</v>
      </c>
      <c r="GA72">
        <f t="shared" ca="1" si="276"/>
        <v>560645</v>
      </c>
      <c r="GB72">
        <f t="shared" si="277"/>
        <v>75000</v>
      </c>
      <c r="GC72">
        <f t="shared" ca="1" si="278"/>
        <v>485645</v>
      </c>
      <c r="GD72">
        <f t="shared" ca="1" si="279"/>
        <v>0</v>
      </c>
      <c r="GE72">
        <f t="shared" ca="1" si="280"/>
        <v>0</v>
      </c>
      <c r="GF72">
        <f t="shared" ca="1" si="281"/>
        <v>0</v>
      </c>
      <c r="GG72">
        <f t="shared" ca="1" si="282"/>
        <v>0</v>
      </c>
      <c r="GH72">
        <f t="shared" ca="1" si="283"/>
        <v>0</v>
      </c>
      <c r="GI72">
        <f t="shared" ca="1" si="284"/>
        <v>0</v>
      </c>
      <c r="GJ72">
        <f t="shared" ca="1" si="209"/>
        <v>0</v>
      </c>
      <c r="GK72">
        <f t="shared" ca="1" si="285"/>
        <v>0</v>
      </c>
      <c r="GL72">
        <f t="shared" ca="1" si="286"/>
        <v>0</v>
      </c>
      <c r="GM72">
        <f t="shared" ca="1" si="287"/>
        <v>0</v>
      </c>
      <c r="GN72">
        <f t="shared" ca="1" si="288"/>
        <v>85645</v>
      </c>
      <c r="GO72">
        <f t="shared" ca="1" si="289"/>
        <v>4282.25</v>
      </c>
      <c r="GP72">
        <f t="shared" ca="1" si="290"/>
        <v>4282</v>
      </c>
      <c r="GQ72">
        <f t="shared" ca="1" si="291"/>
        <v>0</v>
      </c>
      <c r="GR72">
        <f t="shared" ca="1" si="292"/>
        <v>0</v>
      </c>
      <c r="GS72">
        <f t="shared" ca="1" si="293"/>
        <v>4282</v>
      </c>
      <c r="GT72">
        <f t="shared" ca="1" si="294"/>
        <v>0</v>
      </c>
      <c r="GU72" t="b">
        <f t="shared" ca="1" si="295"/>
        <v>0</v>
      </c>
      <c r="GV72">
        <f t="shared" ca="1" si="296"/>
        <v>0</v>
      </c>
      <c r="GW72">
        <f t="shared" ca="1" si="297"/>
        <v>4282</v>
      </c>
      <c r="GX72">
        <f t="shared" ca="1" si="298"/>
        <v>0</v>
      </c>
      <c r="GY72">
        <f t="shared" ca="1" si="299"/>
        <v>0</v>
      </c>
      <c r="GZ72">
        <f t="shared" ca="1" si="300"/>
        <v>0</v>
      </c>
    </row>
    <row r="73" spans="1:208" x14ac:dyDescent="0.3">
      <c r="A73">
        <f>_xlfn.AGGREGATE(3,5,$B$2:B73)</f>
        <v>72</v>
      </c>
      <c r="B73" t="s">
        <v>261</v>
      </c>
      <c r="C73" t="s">
        <v>262</v>
      </c>
      <c r="D73" t="s">
        <v>767</v>
      </c>
      <c r="E73" t="s">
        <v>830</v>
      </c>
      <c r="F73" t="s">
        <v>956</v>
      </c>
      <c r="G73" t="s">
        <v>906</v>
      </c>
      <c r="H73">
        <f t="shared" si="210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1"/>
        <v>4690</v>
      </c>
      <c r="L73">
        <f t="shared" si="212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194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01"/>
        <v>200</v>
      </c>
      <c r="S73">
        <f t="shared" si="213"/>
        <v>40010</v>
      </c>
      <c r="T73">
        <f>_xlfn.XLOOKUP(B73,'[2]april-2025'!$A:$A,'[2]april-2025'!$C:$C,0,0)</f>
        <v>33500</v>
      </c>
      <c r="U73">
        <f t="shared" si="214"/>
        <v>6030</v>
      </c>
      <c r="V73">
        <f t="shared" si="215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16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17"/>
        <v>200</v>
      </c>
      <c r="AC73">
        <f t="shared" si="218"/>
        <v>41350</v>
      </c>
      <c r="AD73">
        <f>_xlfn.XLOOKUP(B73,'[3]may-2025'!$A:$A,'[3]may-2025'!$C:$C,0,0)</f>
        <v>33500</v>
      </c>
      <c r="AE73">
        <f t="shared" si="219"/>
        <v>6030</v>
      </c>
      <c r="AF73">
        <f t="shared" si="220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1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2"/>
        <v>200</v>
      </c>
      <c r="AM73">
        <f t="shared" si="223"/>
        <v>41350</v>
      </c>
      <c r="AN73">
        <f>_xlfn.XLOOKUP(B73,'[4]june-2025'!$A:$A,'[4]june-2025'!$C:$C,0,0)</f>
        <v>33500</v>
      </c>
      <c r="AO73">
        <f t="shared" si="224"/>
        <v>6030</v>
      </c>
      <c r="AP73">
        <f t="shared" si="225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26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27"/>
        <v>200</v>
      </c>
      <c r="AW73">
        <f t="shared" si="228"/>
        <v>41350</v>
      </c>
      <c r="AX73">
        <f>_xlfn.XLOOKUP(B73,'[5]july-2025'!$A:$A,'[5]july-2025'!$C:$C,0,0)</f>
        <v>35500</v>
      </c>
      <c r="AY73">
        <f t="shared" si="229"/>
        <v>6390</v>
      </c>
      <c r="AZ73">
        <v>0</v>
      </c>
      <c r="BA73">
        <f t="shared" si="230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195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1"/>
        <v>200</v>
      </c>
      <c r="BH73">
        <f t="shared" si="232"/>
        <v>43950</v>
      </c>
      <c r="BI73">
        <f>_xlfn.XLOOKUP(B73,'[6]august-2025'!$A:$A,'[6]august-2025'!$C:$C,0,0)</f>
        <v>35500</v>
      </c>
      <c r="BJ73">
        <f t="shared" si="233"/>
        <v>6390</v>
      </c>
      <c r="BK73">
        <f t="shared" si="234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35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196"/>
        <v>200</v>
      </c>
      <c r="BR73">
        <f t="shared" si="197"/>
        <v>43950</v>
      </c>
      <c r="BS73">
        <f>_xlfn.XLOOKUP(B73,'[7]september-2025'!$A:$A,'[7]september-2025'!$C:$C,0,0)</f>
        <v>35500</v>
      </c>
      <c r="BT73">
        <f t="shared" si="236"/>
        <v>6390</v>
      </c>
      <c r="BU73">
        <f t="shared" si="237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198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38"/>
        <v>200</v>
      </c>
      <c r="CB73">
        <f t="shared" si="239"/>
        <v>43950</v>
      </c>
      <c r="CC73">
        <f>_xlfn.XLOOKUP(B73,'[8]october-2025'!$A:$A,'[8]october-2025'!$C:$C,0,0)</f>
        <v>35500</v>
      </c>
      <c r="CD73">
        <f t="shared" si="240"/>
        <v>6390</v>
      </c>
      <c r="CE73">
        <f t="shared" si="241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199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42"/>
        <v>200</v>
      </c>
      <c r="CL73">
        <f t="shared" si="243"/>
        <v>43950</v>
      </c>
      <c r="CM73">
        <f>_xlfn.XLOOKUP(B73,'[9]november-2025'!$A:$A,'[9]november-2025'!$C:$C,0,0)</f>
        <v>35500</v>
      </c>
      <c r="CN73">
        <f t="shared" si="244"/>
        <v>6390</v>
      </c>
      <c r="CO73">
        <f t="shared" si="24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00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46"/>
        <v>200</v>
      </c>
      <c r="CV73">
        <f t="shared" si="247"/>
        <v>43950</v>
      </c>
      <c r="CW73">
        <f>_xlfn.XLOOKUP(B73,'[10]december-2025'!$A:$A,'[10]december-2025'!$C:$C,0,0)</f>
        <v>35500</v>
      </c>
      <c r="CX73">
        <f t="shared" si="248"/>
        <v>6390</v>
      </c>
      <c r="CY73">
        <f t="shared" si="249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0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50"/>
        <v>200</v>
      </c>
      <c r="DF73">
        <f t="shared" si="251"/>
        <v>43950</v>
      </c>
      <c r="DG73">
        <f>_xlfn.XLOOKUP(B73,'[11]january-2026'!$A:$A,'[11]january-2026'!$C:$C,0,0)</f>
        <v>35500</v>
      </c>
      <c r="DH73">
        <f t="shared" si="252"/>
        <v>6390</v>
      </c>
      <c r="DI73">
        <f t="shared" si="253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02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54"/>
        <v>200</v>
      </c>
      <c r="DP73">
        <f t="shared" si="255"/>
        <v>43950</v>
      </c>
      <c r="DQ73">
        <f>_xlfn.XLOOKUP(B73,'[12]february-2026'!$A:$A,'[12]february-2026'!$C:$C,0,0)</f>
        <v>35500</v>
      </c>
      <c r="DR73">
        <f t="shared" si="256"/>
        <v>6390</v>
      </c>
      <c r="DS73">
        <f t="shared" si="257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03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58"/>
        <v>200</v>
      </c>
      <c r="DZ73">
        <f t="shared" si="259"/>
        <v>43950</v>
      </c>
      <c r="EA73">
        <f>_xlfn.XLOOKUP(B73,'[1]march-2025'!$A:$A,'[1]march-2025'!$J:$J,0,0)</f>
        <v>0</v>
      </c>
      <c r="EB73">
        <f>_xlfn.XLOOKUP(B73,'[2]april-2025'!$A:$A,'[2]april-2025'!$J:$J,0,0)</f>
        <v>0</v>
      </c>
      <c r="EC73">
        <f>_xlfn.XLOOKUP(B73,'[3]may-2025'!$A:$A,'[3]may-2025'!$J:$J,0,0)</f>
        <v>0</v>
      </c>
      <c r="ED73">
        <f>_xlfn.XLOOKUP(B73,'[4]june-2025'!$A:$A,'[4]june-2025'!$J:$J,0,0)</f>
        <v>0</v>
      </c>
      <c r="EE73">
        <f>_xlfn.XLOOKUP(B73,'[5]july-2025'!$A:$A,'[5]july-2025'!$J:$J,0,0)</f>
        <v>0</v>
      </c>
      <c r="EF73">
        <f>_xlfn.XLOOKUP(B73,'[6]august-2025'!$A:$A,'[6]august-2025'!$J:$J,0,0)</f>
        <v>0</v>
      </c>
      <c r="EG73">
        <f>_xlfn.XLOOKUP(B73,'[7]september-2025'!$A:$A,'[7]september-2025'!$J:$J,0,0)</f>
        <v>0</v>
      </c>
      <c r="EH73">
        <f>_xlfn.XLOOKUP(B73,'[8]october-2025'!$A:$A,'[8]october-2025'!$J:$J,0,0)</f>
        <v>0</v>
      </c>
      <c r="EI73">
        <f>_xlfn.XLOOKUP(C73,'[9]november-2025'!$A:$A,'[9]november-2025'!$J:$J,0,0)</f>
        <v>0</v>
      </c>
      <c r="EJ73">
        <f>_xlfn.XLOOKUP(B73,'[10]december-2025'!$A:$A,'[10]december-2025'!$J:$J,0,0)</f>
        <v>0</v>
      </c>
      <c r="EK73">
        <f>_xlfn.XLOOKUP(B73,'[11]january-2026'!$A:$A,'[11]january-2026'!$J:$J,0,0)</f>
        <v>0</v>
      </c>
      <c r="EL73">
        <f>_xlfn.XLOOKUP(B73,'[12]february-2026'!$A:$A,'[12]february-2026'!$J:$J,0,0)</f>
        <v>0</v>
      </c>
      <c r="EM73">
        <f t="shared" si="260"/>
        <v>0</v>
      </c>
      <c r="EN73">
        <f t="shared" si="204"/>
        <v>554860</v>
      </c>
      <c r="EO73">
        <f t="shared" si="205"/>
        <v>2400</v>
      </c>
      <c r="EP73">
        <f t="shared" si="261"/>
        <v>50000</v>
      </c>
      <c r="EQ73">
        <v>0</v>
      </c>
      <c r="ER73">
        <f t="shared" si="262"/>
        <v>502460</v>
      </c>
      <c r="ES73">
        <f t="shared" si="206"/>
        <v>30000</v>
      </c>
      <c r="ET73">
        <f t="shared" si="207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263"/>
        <v>30000</v>
      </c>
      <c r="FF73">
        <f t="shared" si="264"/>
        <v>30000</v>
      </c>
      <c r="FG73">
        <f t="shared" si="265"/>
        <v>472460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208"/>
        <v>0</v>
      </c>
      <c r="FP73">
        <f t="shared" si="266"/>
        <v>472460</v>
      </c>
      <c r="FQ73">
        <f t="shared" si="267"/>
        <v>11123</v>
      </c>
      <c r="FR73">
        <f t="shared" si="268"/>
        <v>0</v>
      </c>
      <c r="FS73">
        <f t="shared" si="269"/>
        <v>11123</v>
      </c>
      <c r="FT73">
        <f t="shared" si="270"/>
        <v>0</v>
      </c>
      <c r="FU73">
        <f t="shared" si="271"/>
        <v>0</v>
      </c>
      <c r="FV73">
        <f t="shared" si="272"/>
        <v>0</v>
      </c>
      <c r="FW73">
        <v>0</v>
      </c>
      <c r="FX73">
        <f t="shared" si="273"/>
        <v>0</v>
      </c>
      <c r="FY73" t="b">
        <f t="shared" si="274"/>
        <v>1</v>
      </c>
      <c r="FZ73">
        <f t="shared" ca="1" si="275"/>
        <v>716</v>
      </c>
      <c r="GA73">
        <f t="shared" ca="1" si="276"/>
        <v>555576</v>
      </c>
      <c r="GB73">
        <f t="shared" si="277"/>
        <v>75000</v>
      </c>
      <c r="GC73">
        <f t="shared" ca="1" si="278"/>
        <v>480576</v>
      </c>
      <c r="GD73">
        <f t="shared" ca="1" si="279"/>
        <v>0</v>
      </c>
      <c r="GE73">
        <f t="shared" ca="1" si="280"/>
        <v>0</v>
      </c>
      <c r="GF73">
        <f t="shared" ca="1" si="281"/>
        <v>0</v>
      </c>
      <c r="GG73">
        <f t="shared" ca="1" si="282"/>
        <v>0</v>
      </c>
      <c r="GH73">
        <f t="shared" ca="1" si="283"/>
        <v>0</v>
      </c>
      <c r="GI73">
        <f t="shared" ca="1" si="284"/>
        <v>0</v>
      </c>
      <c r="GJ73">
        <f t="shared" ca="1" si="209"/>
        <v>0</v>
      </c>
      <c r="GK73">
        <f t="shared" ca="1" si="285"/>
        <v>0</v>
      </c>
      <c r="GL73">
        <f t="shared" ca="1" si="286"/>
        <v>0</v>
      </c>
      <c r="GM73">
        <f t="shared" ca="1" si="287"/>
        <v>0</v>
      </c>
      <c r="GN73">
        <f t="shared" ca="1" si="288"/>
        <v>80576</v>
      </c>
      <c r="GO73">
        <f t="shared" ca="1" si="289"/>
        <v>4028.8</v>
      </c>
      <c r="GP73">
        <f t="shared" ca="1" si="290"/>
        <v>4029</v>
      </c>
      <c r="GQ73">
        <f t="shared" ca="1" si="291"/>
        <v>0</v>
      </c>
      <c r="GR73">
        <f t="shared" ca="1" si="292"/>
        <v>0</v>
      </c>
      <c r="GS73">
        <f t="shared" ca="1" si="293"/>
        <v>4029</v>
      </c>
      <c r="GT73">
        <f t="shared" ca="1" si="294"/>
        <v>0</v>
      </c>
      <c r="GU73" t="b">
        <f t="shared" ca="1" si="295"/>
        <v>0</v>
      </c>
      <c r="GV73">
        <f t="shared" ca="1" si="296"/>
        <v>0</v>
      </c>
      <c r="GW73">
        <f t="shared" ca="1" si="297"/>
        <v>4029</v>
      </c>
      <c r="GX73">
        <f t="shared" ca="1" si="298"/>
        <v>0</v>
      </c>
      <c r="GY73">
        <f t="shared" ca="1" si="299"/>
        <v>0</v>
      </c>
      <c r="GZ73">
        <f t="shared" ca="1" si="300"/>
        <v>0</v>
      </c>
    </row>
    <row r="74" spans="1:208" x14ac:dyDescent="0.3">
      <c r="A74">
        <f>_xlfn.AGGREGATE(3,5,$B$2:B74)</f>
        <v>73</v>
      </c>
      <c r="B74" t="s">
        <v>263</v>
      </c>
      <c r="C74" t="s">
        <v>264</v>
      </c>
      <c r="D74" t="s">
        <v>768</v>
      </c>
      <c r="E74" t="s">
        <v>831</v>
      </c>
      <c r="F74" t="s">
        <v>956</v>
      </c>
      <c r="G74" t="s">
        <v>898</v>
      </c>
      <c r="H74">
        <f t="shared" si="210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1"/>
        <v>6818.0000000000009</v>
      </c>
      <c r="L74">
        <f t="shared" si="212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194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01"/>
        <v>200</v>
      </c>
      <c r="S74">
        <f t="shared" si="213"/>
        <v>56062</v>
      </c>
      <c r="T74">
        <f>_xlfn.XLOOKUP(B74,'[2]april-2025'!$A:$A,'[2]april-2025'!$C:$C,0,0)</f>
        <v>48700</v>
      </c>
      <c r="U74">
        <f t="shared" si="214"/>
        <v>8766</v>
      </c>
      <c r="V74">
        <f t="shared" si="215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16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17"/>
        <v>200</v>
      </c>
      <c r="AC74">
        <f t="shared" si="218"/>
        <v>58010</v>
      </c>
      <c r="AD74">
        <f>_xlfn.XLOOKUP(B74,'[3]may-2025'!$A:$A,'[3]may-2025'!$C:$C,0,0)</f>
        <v>48700</v>
      </c>
      <c r="AE74">
        <f t="shared" si="219"/>
        <v>8766</v>
      </c>
      <c r="AF74">
        <f t="shared" si="220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1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2"/>
        <v>200</v>
      </c>
      <c r="AM74">
        <f t="shared" si="223"/>
        <v>58010</v>
      </c>
      <c r="AN74">
        <f>_xlfn.XLOOKUP(B74,'[4]june-2025'!$A:$A,'[4]june-2025'!$C:$C,0,0)</f>
        <v>48700</v>
      </c>
      <c r="AO74">
        <f t="shared" si="224"/>
        <v>8766</v>
      </c>
      <c r="AP74">
        <f t="shared" si="225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26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27"/>
        <v>200</v>
      </c>
      <c r="AW74">
        <f t="shared" si="228"/>
        <v>58010</v>
      </c>
      <c r="AX74">
        <f>_xlfn.XLOOKUP(B74,'[5]july-2025'!$A:$A,'[5]july-2025'!$C:$C,0,0)</f>
        <v>51700</v>
      </c>
      <c r="AY74">
        <f t="shared" si="229"/>
        <v>9306</v>
      </c>
      <c r="AZ74">
        <v>0</v>
      </c>
      <c r="BA74">
        <f t="shared" si="230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195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1"/>
        <v>200</v>
      </c>
      <c r="BH74">
        <f t="shared" si="232"/>
        <v>61910</v>
      </c>
      <c r="BI74">
        <f>_xlfn.XLOOKUP(B74,'[6]august-2025'!$A:$A,'[6]august-2025'!$C:$C,0,0)</f>
        <v>51700</v>
      </c>
      <c r="BJ74">
        <f t="shared" si="233"/>
        <v>9306</v>
      </c>
      <c r="BK74">
        <f t="shared" si="234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35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196"/>
        <v>200</v>
      </c>
      <c r="BR74">
        <f t="shared" si="197"/>
        <v>61910</v>
      </c>
      <c r="BS74">
        <f>_xlfn.XLOOKUP(B74,'[7]september-2025'!$A:$A,'[7]september-2025'!$C:$C,0,0)</f>
        <v>51700</v>
      </c>
      <c r="BT74">
        <f t="shared" si="236"/>
        <v>9306</v>
      </c>
      <c r="BU74">
        <f t="shared" si="237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198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38"/>
        <v>200</v>
      </c>
      <c r="CB74">
        <f t="shared" si="239"/>
        <v>61910</v>
      </c>
      <c r="CC74">
        <f>_xlfn.XLOOKUP(B74,'[8]october-2025'!$A:$A,'[8]october-2025'!$C:$C,0,0)</f>
        <v>51700</v>
      </c>
      <c r="CD74">
        <f t="shared" si="240"/>
        <v>9306</v>
      </c>
      <c r="CE74">
        <f t="shared" si="241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199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42"/>
        <v>200</v>
      </c>
      <c r="CL74">
        <f t="shared" si="243"/>
        <v>61910</v>
      </c>
      <c r="CM74">
        <f>_xlfn.XLOOKUP(B74,'[9]november-2025'!$A:$A,'[9]november-2025'!$C:$C,0,0)</f>
        <v>51700</v>
      </c>
      <c r="CN74">
        <f t="shared" si="244"/>
        <v>9306</v>
      </c>
      <c r="CO74">
        <f t="shared" si="24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00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46"/>
        <v>200</v>
      </c>
      <c r="CV74">
        <f t="shared" si="247"/>
        <v>61910</v>
      </c>
      <c r="CW74">
        <f>_xlfn.XLOOKUP(B74,'[10]december-2025'!$A:$A,'[10]december-2025'!$C:$C,0,0)</f>
        <v>51700</v>
      </c>
      <c r="CX74">
        <f t="shared" si="248"/>
        <v>9306</v>
      </c>
      <c r="CY74">
        <f t="shared" si="249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0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50"/>
        <v>200</v>
      </c>
      <c r="DF74">
        <f t="shared" si="251"/>
        <v>61910</v>
      </c>
      <c r="DG74">
        <f>_xlfn.XLOOKUP(B74,'[11]january-2026'!$A:$A,'[11]january-2026'!$C:$C,0,0)</f>
        <v>51700</v>
      </c>
      <c r="DH74">
        <f t="shared" si="252"/>
        <v>9306</v>
      </c>
      <c r="DI74">
        <f t="shared" si="253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02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54"/>
        <v>200</v>
      </c>
      <c r="DP74">
        <f t="shared" si="255"/>
        <v>61910</v>
      </c>
      <c r="DQ74">
        <f>_xlfn.XLOOKUP(B74,'[12]february-2026'!$A:$A,'[12]february-2026'!$C:$C,0,0)</f>
        <v>51700</v>
      </c>
      <c r="DR74">
        <f t="shared" si="256"/>
        <v>9306</v>
      </c>
      <c r="DS74">
        <f t="shared" si="257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03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58"/>
        <v>200</v>
      </c>
      <c r="DZ74">
        <f t="shared" si="259"/>
        <v>61910</v>
      </c>
      <c r="EA74">
        <f>_xlfn.XLOOKUP(B74,'[1]march-2025'!$A:$A,'[1]march-2025'!$J:$J,0,0)</f>
        <v>0</v>
      </c>
      <c r="EB74">
        <f>_xlfn.XLOOKUP(B74,'[2]april-2025'!$A:$A,'[2]april-2025'!$J:$J,0,0)</f>
        <v>0</v>
      </c>
      <c r="EC74">
        <f>_xlfn.XLOOKUP(B74,'[3]may-2025'!$A:$A,'[3]may-2025'!$J:$J,0,0)</f>
        <v>0</v>
      </c>
      <c r="ED74">
        <f>_xlfn.XLOOKUP(B74,'[4]june-2025'!$A:$A,'[4]june-2025'!$J:$J,0,0)</f>
        <v>0</v>
      </c>
      <c r="EE74">
        <f>_xlfn.XLOOKUP(B74,'[5]july-2025'!$A:$A,'[5]july-2025'!$J:$J,0,0)</f>
        <v>0</v>
      </c>
      <c r="EF74">
        <f>_xlfn.XLOOKUP(B74,'[6]august-2025'!$A:$A,'[6]august-2025'!$J:$J,0,0)</f>
        <v>0</v>
      </c>
      <c r="EG74">
        <f>_xlfn.XLOOKUP(B74,'[7]september-2025'!$A:$A,'[7]september-2025'!$J:$J,0,0)</f>
        <v>0</v>
      </c>
      <c r="EH74">
        <f>_xlfn.XLOOKUP(B74,'[8]october-2025'!$A:$A,'[8]october-2025'!$J:$J,0,0)</f>
        <v>0</v>
      </c>
      <c r="EI74">
        <f>_xlfn.XLOOKUP(C74,'[9]november-2025'!$A:$A,'[9]november-2025'!$J:$J,0,0)</f>
        <v>0</v>
      </c>
      <c r="EJ74">
        <f>_xlfn.XLOOKUP(B74,'[10]december-2025'!$A:$A,'[10]december-2025'!$J:$J,0,0)</f>
        <v>0</v>
      </c>
      <c r="EK74">
        <f>_xlfn.XLOOKUP(B74,'[11]january-2026'!$A:$A,'[11]january-2026'!$J:$J,0,0)</f>
        <v>0</v>
      </c>
      <c r="EL74">
        <f>_xlfn.XLOOKUP(B74,'[12]february-2026'!$A:$A,'[12]february-2026'!$J:$J,0,0)</f>
        <v>0</v>
      </c>
      <c r="EM74">
        <f t="shared" si="260"/>
        <v>0</v>
      </c>
      <c r="EN74">
        <f t="shared" si="204"/>
        <v>806572</v>
      </c>
      <c r="EO74">
        <f t="shared" si="205"/>
        <v>2400</v>
      </c>
      <c r="EP74">
        <f t="shared" si="261"/>
        <v>50000</v>
      </c>
      <c r="EQ74">
        <v>0</v>
      </c>
      <c r="ER74">
        <f t="shared" si="262"/>
        <v>754172</v>
      </c>
      <c r="ES74">
        <f t="shared" si="206"/>
        <v>72000</v>
      </c>
      <c r="ET74">
        <f t="shared" si="207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263"/>
        <v>72000</v>
      </c>
      <c r="FF74">
        <f t="shared" si="264"/>
        <v>72000</v>
      </c>
      <c r="FG74">
        <f t="shared" si="265"/>
        <v>682172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208"/>
        <v>0</v>
      </c>
      <c r="FP74">
        <f t="shared" si="266"/>
        <v>682172</v>
      </c>
      <c r="FQ74">
        <f t="shared" si="267"/>
        <v>12500</v>
      </c>
      <c r="FR74">
        <f t="shared" si="268"/>
        <v>36434</v>
      </c>
      <c r="FS74">
        <f t="shared" si="269"/>
        <v>48934</v>
      </c>
      <c r="FT74">
        <f t="shared" si="270"/>
        <v>48934</v>
      </c>
      <c r="FU74">
        <f t="shared" si="271"/>
        <v>1957.3600000000001</v>
      </c>
      <c r="FV74">
        <f t="shared" si="272"/>
        <v>50891</v>
      </c>
      <c r="FW74">
        <v>0</v>
      </c>
      <c r="FX74">
        <f t="shared" si="273"/>
        <v>50891</v>
      </c>
      <c r="FY74" t="b">
        <f t="shared" si="274"/>
        <v>1</v>
      </c>
      <c r="FZ74">
        <f t="shared" ca="1" si="275"/>
        <v>537</v>
      </c>
      <c r="GA74">
        <f t="shared" ca="1" si="276"/>
        <v>807109</v>
      </c>
      <c r="GB74">
        <f t="shared" si="277"/>
        <v>75000</v>
      </c>
      <c r="GC74">
        <f t="shared" ca="1" si="278"/>
        <v>732109</v>
      </c>
      <c r="GD74">
        <f t="shared" ca="1" si="279"/>
        <v>0</v>
      </c>
      <c r="GE74">
        <f t="shared" ca="1" si="280"/>
        <v>0</v>
      </c>
      <c r="GF74">
        <f t="shared" ca="1" si="281"/>
        <v>0</v>
      </c>
      <c r="GG74">
        <f t="shared" ca="1" si="282"/>
        <v>0</v>
      </c>
      <c r="GH74">
        <f t="shared" ca="1" si="283"/>
        <v>0</v>
      </c>
      <c r="GI74">
        <f t="shared" ca="1" si="284"/>
        <v>0</v>
      </c>
      <c r="GJ74">
        <f t="shared" ca="1" si="209"/>
        <v>0</v>
      </c>
      <c r="GK74">
        <f t="shared" ca="1" si="285"/>
        <v>0</v>
      </c>
      <c r="GL74">
        <f t="shared" ca="1" si="286"/>
        <v>0</v>
      </c>
      <c r="GM74">
        <f t="shared" ca="1" si="287"/>
        <v>0</v>
      </c>
      <c r="GN74">
        <f t="shared" ca="1" si="288"/>
        <v>332109</v>
      </c>
      <c r="GO74">
        <f t="shared" ca="1" si="289"/>
        <v>16605.45</v>
      </c>
      <c r="GP74">
        <f t="shared" ca="1" si="290"/>
        <v>16605</v>
      </c>
      <c r="GQ74">
        <f t="shared" ca="1" si="291"/>
        <v>0</v>
      </c>
      <c r="GR74">
        <f t="shared" ca="1" si="292"/>
        <v>0</v>
      </c>
      <c r="GS74">
        <f t="shared" ca="1" si="293"/>
        <v>16605</v>
      </c>
      <c r="GT74">
        <f t="shared" ca="1" si="294"/>
        <v>0</v>
      </c>
      <c r="GU74" t="b">
        <f t="shared" ca="1" si="295"/>
        <v>0</v>
      </c>
      <c r="GV74">
        <f t="shared" ca="1" si="296"/>
        <v>0</v>
      </c>
      <c r="GW74">
        <f t="shared" ca="1" si="297"/>
        <v>16605</v>
      </c>
      <c r="GX74">
        <f t="shared" ca="1" si="298"/>
        <v>0</v>
      </c>
      <c r="GY74">
        <f t="shared" ca="1" si="299"/>
        <v>0</v>
      </c>
      <c r="GZ74">
        <f t="shared" ca="1" si="300"/>
        <v>0</v>
      </c>
    </row>
    <row r="75" spans="1:208" x14ac:dyDescent="0.3">
      <c r="A75">
        <f>_xlfn.AGGREGATE(3,5,$B$2:B75)</f>
        <v>74</v>
      </c>
      <c r="B75" t="s">
        <v>265</v>
      </c>
      <c r="C75" t="s">
        <v>266</v>
      </c>
      <c r="D75" t="s">
        <v>768</v>
      </c>
      <c r="E75" t="s">
        <v>830</v>
      </c>
      <c r="F75" t="s">
        <v>956</v>
      </c>
      <c r="G75" t="s">
        <v>907</v>
      </c>
      <c r="H75">
        <f t="shared" si="210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1"/>
        <v>6622.0000000000009</v>
      </c>
      <c r="L75">
        <f t="shared" si="212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194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01"/>
        <v>200</v>
      </c>
      <c r="S75">
        <f t="shared" si="213"/>
        <v>56398</v>
      </c>
      <c r="T75">
        <f>_xlfn.XLOOKUP(B75,'[2]april-2025'!$A:$A,'[2]april-2025'!$C:$C,0,0)</f>
        <v>47300</v>
      </c>
      <c r="U75">
        <f t="shared" si="214"/>
        <v>8514</v>
      </c>
      <c r="V75">
        <f t="shared" si="215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16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17"/>
        <v>200</v>
      </c>
      <c r="AC75">
        <f t="shared" si="218"/>
        <v>58290</v>
      </c>
      <c r="AD75">
        <f>_xlfn.XLOOKUP(B75,'[3]may-2025'!$A:$A,'[3]may-2025'!$C:$C,0,0)</f>
        <v>47300</v>
      </c>
      <c r="AE75">
        <f t="shared" si="219"/>
        <v>8514</v>
      </c>
      <c r="AF75">
        <f t="shared" si="220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1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2"/>
        <v>200</v>
      </c>
      <c r="AM75">
        <f t="shared" si="223"/>
        <v>58290</v>
      </c>
      <c r="AN75">
        <f>_xlfn.XLOOKUP(B75,'[4]june-2025'!$A:$A,'[4]june-2025'!$C:$C,0,0)</f>
        <v>47300</v>
      </c>
      <c r="AO75">
        <f t="shared" si="224"/>
        <v>8514</v>
      </c>
      <c r="AP75">
        <f t="shared" si="225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26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27"/>
        <v>200</v>
      </c>
      <c r="AW75">
        <f t="shared" si="228"/>
        <v>58290</v>
      </c>
      <c r="AX75">
        <f>_xlfn.XLOOKUP(B75,'[5]july-2025'!$A:$A,'[5]july-2025'!$C:$C,0,0)</f>
        <v>48700</v>
      </c>
      <c r="AY75">
        <f t="shared" si="229"/>
        <v>8766</v>
      </c>
      <c r="AZ75">
        <v>0</v>
      </c>
      <c r="BA75">
        <f t="shared" si="230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195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1"/>
        <v>200</v>
      </c>
      <c r="BH75">
        <f t="shared" si="232"/>
        <v>60110</v>
      </c>
      <c r="BI75">
        <f>_xlfn.XLOOKUP(B75,'[6]august-2025'!$A:$A,'[6]august-2025'!$C:$C,0,0)</f>
        <v>48700</v>
      </c>
      <c r="BJ75">
        <f t="shared" si="233"/>
        <v>8766</v>
      </c>
      <c r="BK75">
        <f t="shared" si="234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35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196"/>
        <v>200</v>
      </c>
      <c r="BR75">
        <f t="shared" si="197"/>
        <v>60110</v>
      </c>
      <c r="BS75">
        <f>_xlfn.XLOOKUP(B75,'[7]september-2025'!$A:$A,'[7]september-2025'!$C:$C,0,0)</f>
        <v>48700</v>
      </c>
      <c r="BT75">
        <f t="shared" si="236"/>
        <v>8766</v>
      </c>
      <c r="BU75">
        <f t="shared" si="237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198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38"/>
        <v>200</v>
      </c>
      <c r="CB75">
        <f t="shared" si="239"/>
        <v>60110</v>
      </c>
      <c r="CC75">
        <f>_xlfn.XLOOKUP(B75,'[8]october-2025'!$A:$A,'[8]october-2025'!$C:$C,0,0)</f>
        <v>48700</v>
      </c>
      <c r="CD75">
        <f t="shared" si="240"/>
        <v>8766</v>
      </c>
      <c r="CE75">
        <f t="shared" si="241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199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42"/>
        <v>200</v>
      </c>
      <c r="CL75">
        <f t="shared" si="243"/>
        <v>60110</v>
      </c>
      <c r="CM75">
        <f>_xlfn.XLOOKUP(B75,'[9]november-2025'!$A:$A,'[9]november-2025'!$C:$C,0,0)</f>
        <v>48700</v>
      </c>
      <c r="CN75">
        <f t="shared" si="244"/>
        <v>8766</v>
      </c>
      <c r="CO75">
        <f t="shared" si="24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00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46"/>
        <v>200</v>
      </c>
      <c r="CV75">
        <f t="shared" si="247"/>
        <v>60110</v>
      </c>
      <c r="CW75">
        <f>_xlfn.XLOOKUP(B75,'[10]december-2025'!$A:$A,'[10]december-2025'!$C:$C,0,0)</f>
        <v>48700</v>
      </c>
      <c r="CX75">
        <f t="shared" si="248"/>
        <v>8766</v>
      </c>
      <c r="CY75">
        <f t="shared" si="249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0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50"/>
        <v>200</v>
      </c>
      <c r="DF75">
        <f t="shared" si="251"/>
        <v>60110</v>
      </c>
      <c r="DG75">
        <f>_xlfn.XLOOKUP(B75,'[11]january-2026'!$A:$A,'[11]january-2026'!$C:$C,0,0)</f>
        <v>48700</v>
      </c>
      <c r="DH75">
        <f t="shared" si="252"/>
        <v>8766</v>
      </c>
      <c r="DI75">
        <f t="shared" si="253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02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54"/>
        <v>200</v>
      </c>
      <c r="DP75">
        <f t="shared" si="255"/>
        <v>60110</v>
      </c>
      <c r="DQ75">
        <f>_xlfn.XLOOKUP(B75,'[12]february-2026'!$A:$A,'[12]february-2026'!$C:$C,0,0)</f>
        <v>48700</v>
      </c>
      <c r="DR75">
        <f t="shared" si="256"/>
        <v>8766</v>
      </c>
      <c r="DS75">
        <f t="shared" si="257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03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58"/>
        <v>200</v>
      </c>
      <c r="DZ75">
        <f t="shared" si="259"/>
        <v>60110</v>
      </c>
      <c r="EA75">
        <f>_xlfn.XLOOKUP(B75,'[1]march-2025'!$A:$A,'[1]march-2025'!$J:$J,0,0)</f>
        <v>0</v>
      </c>
      <c r="EB75">
        <f>_xlfn.XLOOKUP(B75,'[2]april-2025'!$A:$A,'[2]april-2025'!$J:$J,0,0)</f>
        <v>0</v>
      </c>
      <c r="EC75">
        <f>_xlfn.XLOOKUP(B75,'[3]may-2025'!$A:$A,'[3]may-2025'!$J:$J,0,0)</f>
        <v>0</v>
      </c>
      <c r="ED75">
        <f>_xlfn.XLOOKUP(B75,'[4]june-2025'!$A:$A,'[4]june-2025'!$J:$J,0,0)</f>
        <v>0</v>
      </c>
      <c r="EE75">
        <f>_xlfn.XLOOKUP(B75,'[5]july-2025'!$A:$A,'[5]july-2025'!$J:$J,0,0)</f>
        <v>0</v>
      </c>
      <c r="EF75">
        <f>_xlfn.XLOOKUP(B75,'[6]august-2025'!$A:$A,'[6]august-2025'!$J:$J,0,0)</f>
        <v>0</v>
      </c>
      <c r="EG75">
        <f>_xlfn.XLOOKUP(B75,'[7]september-2025'!$A:$A,'[7]september-2025'!$J:$J,0,0)</f>
        <v>0</v>
      </c>
      <c r="EH75">
        <f>_xlfn.XLOOKUP(B75,'[8]october-2025'!$A:$A,'[8]october-2025'!$J:$J,0,0)</f>
        <v>0</v>
      </c>
      <c r="EI75">
        <f>_xlfn.XLOOKUP(C75,'[9]november-2025'!$A:$A,'[9]november-2025'!$J:$J,0,0)</f>
        <v>0</v>
      </c>
      <c r="EJ75">
        <f>_xlfn.XLOOKUP(B75,'[10]december-2025'!$A:$A,'[10]december-2025'!$J:$J,0,0)</f>
        <v>0</v>
      </c>
      <c r="EK75">
        <f>_xlfn.XLOOKUP(B75,'[11]january-2026'!$A:$A,'[11]january-2026'!$J:$J,0,0)</f>
        <v>0</v>
      </c>
      <c r="EL75">
        <f>_xlfn.XLOOKUP(B75,'[12]february-2026'!$A:$A,'[12]february-2026'!$J:$J,0,0)</f>
        <v>0</v>
      </c>
      <c r="EM75">
        <f t="shared" si="260"/>
        <v>0</v>
      </c>
      <c r="EN75">
        <f t="shared" si="204"/>
        <v>757348</v>
      </c>
      <c r="EO75">
        <f t="shared" si="205"/>
        <v>2400</v>
      </c>
      <c r="EP75">
        <f t="shared" si="261"/>
        <v>50000</v>
      </c>
      <c r="EQ75">
        <v>0</v>
      </c>
      <c r="ER75">
        <f t="shared" si="262"/>
        <v>704948</v>
      </c>
      <c r="ES75">
        <f t="shared" si="206"/>
        <v>36000</v>
      </c>
      <c r="ET75">
        <f t="shared" si="207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263"/>
        <v>36000</v>
      </c>
      <c r="FF75">
        <f t="shared" si="264"/>
        <v>36000</v>
      </c>
      <c r="FG75">
        <f t="shared" si="265"/>
        <v>668948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208"/>
        <v>0</v>
      </c>
      <c r="FP75">
        <f t="shared" si="266"/>
        <v>668948</v>
      </c>
      <c r="FQ75">
        <f t="shared" si="267"/>
        <v>12500</v>
      </c>
      <c r="FR75">
        <f t="shared" si="268"/>
        <v>33790</v>
      </c>
      <c r="FS75">
        <f t="shared" si="269"/>
        <v>46290</v>
      </c>
      <c r="FT75">
        <f t="shared" si="270"/>
        <v>46290</v>
      </c>
      <c r="FU75">
        <f t="shared" si="271"/>
        <v>1851.6000000000001</v>
      </c>
      <c r="FV75">
        <f t="shared" si="272"/>
        <v>48142</v>
      </c>
      <c r="FW75">
        <v>0</v>
      </c>
      <c r="FX75">
        <f t="shared" si="273"/>
        <v>48142</v>
      </c>
      <c r="FY75" t="b">
        <f t="shared" si="274"/>
        <v>1</v>
      </c>
      <c r="FZ75">
        <f t="shared" ca="1" si="275"/>
        <v>882</v>
      </c>
      <c r="GA75">
        <f t="shared" ca="1" si="276"/>
        <v>758230</v>
      </c>
      <c r="GB75">
        <f t="shared" si="277"/>
        <v>75000</v>
      </c>
      <c r="GC75">
        <f t="shared" ca="1" si="278"/>
        <v>683230</v>
      </c>
      <c r="GD75">
        <f t="shared" ca="1" si="279"/>
        <v>0</v>
      </c>
      <c r="GE75">
        <f t="shared" ca="1" si="280"/>
        <v>0</v>
      </c>
      <c r="GF75">
        <f t="shared" ca="1" si="281"/>
        <v>0</v>
      </c>
      <c r="GG75">
        <f t="shared" ca="1" si="282"/>
        <v>0</v>
      </c>
      <c r="GH75">
        <f t="shared" ca="1" si="283"/>
        <v>0</v>
      </c>
      <c r="GI75">
        <f t="shared" ca="1" si="284"/>
        <v>0</v>
      </c>
      <c r="GJ75">
        <f t="shared" ca="1" si="209"/>
        <v>0</v>
      </c>
      <c r="GK75">
        <f t="shared" ca="1" si="285"/>
        <v>0</v>
      </c>
      <c r="GL75">
        <f t="shared" ca="1" si="286"/>
        <v>0</v>
      </c>
      <c r="GM75">
        <f t="shared" ca="1" si="287"/>
        <v>0</v>
      </c>
      <c r="GN75">
        <f t="shared" ca="1" si="288"/>
        <v>283230</v>
      </c>
      <c r="GO75">
        <f t="shared" ca="1" si="289"/>
        <v>14161.5</v>
      </c>
      <c r="GP75">
        <f t="shared" ca="1" si="290"/>
        <v>14162</v>
      </c>
      <c r="GQ75">
        <f t="shared" ca="1" si="291"/>
        <v>0</v>
      </c>
      <c r="GR75">
        <f t="shared" ca="1" si="292"/>
        <v>0</v>
      </c>
      <c r="GS75">
        <f t="shared" ca="1" si="293"/>
        <v>14162</v>
      </c>
      <c r="GT75">
        <f t="shared" ca="1" si="294"/>
        <v>0</v>
      </c>
      <c r="GU75" t="b">
        <f t="shared" ca="1" si="295"/>
        <v>0</v>
      </c>
      <c r="GV75">
        <f t="shared" ca="1" si="296"/>
        <v>0</v>
      </c>
      <c r="GW75">
        <f t="shared" ca="1" si="297"/>
        <v>14162</v>
      </c>
      <c r="GX75">
        <f t="shared" ca="1" si="298"/>
        <v>0</v>
      </c>
      <c r="GY75">
        <f t="shared" ca="1" si="299"/>
        <v>0</v>
      </c>
      <c r="GZ75">
        <f t="shared" ca="1" si="300"/>
        <v>0</v>
      </c>
    </row>
    <row r="76" spans="1:208" x14ac:dyDescent="0.3">
      <c r="A76">
        <f>_xlfn.AGGREGATE(3,5,$B$2:B76)</f>
        <v>75</v>
      </c>
      <c r="B76" t="s">
        <v>267</v>
      </c>
      <c r="C76" t="s">
        <v>268</v>
      </c>
      <c r="D76" t="s">
        <v>768</v>
      </c>
      <c r="E76" t="s">
        <v>830</v>
      </c>
      <c r="F76" t="s">
        <v>956</v>
      </c>
      <c r="G76" t="s">
        <v>882</v>
      </c>
      <c r="H76">
        <f t="shared" si="210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1"/>
        <v>4046.0000000000005</v>
      </c>
      <c r="L76">
        <f t="shared" si="212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194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01"/>
        <v>150</v>
      </c>
      <c r="S76">
        <f t="shared" si="213"/>
        <v>36764</v>
      </c>
      <c r="T76">
        <f>_xlfn.XLOOKUP(B76,'[2]april-2025'!$A:$A,'[2]april-2025'!$C:$C,0,0)</f>
        <v>28900</v>
      </c>
      <c r="U76">
        <f t="shared" si="214"/>
        <v>5202</v>
      </c>
      <c r="V76">
        <f t="shared" si="215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16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17"/>
        <v>150</v>
      </c>
      <c r="AC76">
        <f t="shared" si="218"/>
        <v>37920</v>
      </c>
      <c r="AD76">
        <f>_xlfn.XLOOKUP(B76,'[3]may-2025'!$A:$A,'[3]may-2025'!$C:$C,0,0)</f>
        <v>28900</v>
      </c>
      <c r="AE76">
        <f t="shared" si="219"/>
        <v>5202</v>
      </c>
      <c r="AF76">
        <f t="shared" si="220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1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2"/>
        <v>150</v>
      </c>
      <c r="AM76">
        <f t="shared" si="223"/>
        <v>37920</v>
      </c>
      <c r="AN76">
        <f>_xlfn.XLOOKUP(B76,'[4]june-2025'!$A:$A,'[4]june-2025'!$C:$C,0,0)</f>
        <v>28900</v>
      </c>
      <c r="AO76">
        <f t="shared" si="224"/>
        <v>5202</v>
      </c>
      <c r="AP76">
        <f t="shared" si="225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26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27"/>
        <v>150</v>
      </c>
      <c r="AW76">
        <f t="shared" si="228"/>
        <v>37920</v>
      </c>
      <c r="AX76">
        <f>_xlfn.XLOOKUP(B76,'[5]july-2025'!$A:$A,'[5]july-2025'!$C:$C,0,0)</f>
        <v>29800</v>
      </c>
      <c r="AY76">
        <f t="shared" si="229"/>
        <v>5364</v>
      </c>
      <c r="AZ76">
        <v>0</v>
      </c>
      <c r="BA76">
        <f t="shared" si="230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195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1"/>
        <v>150</v>
      </c>
      <c r="BH76">
        <f t="shared" si="232"/>
        <v>39090</v>
      </c>
      <c r="BI76">
        <f>_xlfn.XLOOKUP(B76,'[6]august-2025'!$A:$A,'[6]august-2025'!$C:$C,0,0)</f>
        <v>29800</v>
      </c>
      <c r="BJ76">
        <f t="shared" si="233"/>
        <v>5364</v>
      </c>
      <c r="BK76">
        <f t="shared" si="234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35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196"/>
        <v>150</v>
      </c>
      <c r="BR76">
        <f t="shared" si="197"/>
        <v>39090</v>
      </c>
      <c r="BS76">
        <f>_xlfn.XLOOKUP(B76,'[7]september-2025'!$A:$A,'[7]september-2025'!$C:$C,0,0)</f>
        <v>29800</v>
      </c>
      <c r="BT76">
        <f t="shared" si="236"/>
        <v>5364</v>
      </c>
      <c r="BU76">
        <f t="shared" si="237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198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38"/>
        <v>150</v>
      </c>
      <c r="CB76">
        <f t="shared" si="239"/>
        <v>37090</v>
      </c>
      <c r="CC76">
        <f>_xlfn.XLOOKUP(B76,'[8]october-2025'!$A:$A,'[8]october-2025'!$C:$C,0,0)</f>
        <v>29800</v>
      </c>
      <c r="CD76">
        <f t="shared" si="240"/>
        <v>5364</v>
      </c>
      <c r="CE76">
        <f t="shared" si="241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199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42"/>
        <v>150</v>
      </c>
      <c r="CL76">
        <f t="shared" si="243"/>
        <v>37090</v>
      </c>
      <c r="CM76">
        <f>_xlfn.XLOOKUP(B76,'[9]november-2025'!$A:$A,'[9]november-2025'!$C:$C,0,0)</f>
        <v>29800</v>
      </c>
      <c r="CN76">
        <f t="shared" si="244"/>
        <v>5364</v>
      </c>
      <c r="CO76">
        <f t="shared" si="24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00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46"/>
        <v>150</v>
      </c>
      <c r="CV76">
        <f t="shared" si="247"/>
        <v>37090</v>
      </c>
      <c r="CW76">
        <f>_xlfn.XLOOKUP(B76,'[10]december-2025'!$A:$A,'[10]december-2025'!$C:$C,0,0)</f>
        <v>29800</v>
      </c>
      <c r="CX76">
        <f t="shared" si="248"/>
        <v>5364</v>
      </c>
      <c r="CY76">
        <f t="shared" si="249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0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50"/>
        <v>150</v>
      </c>
      <c r="DF76">
        <f t="shared" si="251"/>
        <v>37090</v>
      </c>
      <c r="DG76">
        <f>_xlfn.XLOOKUP(B76,'[11]january-2026'!$A:$A,'[11]january-2026'!$C:$C,0,0)</f>
        <v>29800</v>
      </c>
      <c r="DH76">
        <f t="shared" si="252"/>
        <v>5364</v>
      </c>
      <c r="DI76">
        <f t="shared" si="253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02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54"/>
        <v>150</v>
      </c>
      <c r="DP76">
        <f t="shared" si="255"/>
        <v>37090</v>
      </c>
      <c r="DQ76">
        <f>_xlfn.XLOOKUP(B76,'[12]february-2026'!$A:$A,'[12]february-2026'!$C:$C,0,0)</f>
        <v>29800</v>
      </c>
      <c r="DR76">
        <f t="shared" si="256"/>
        <v>5364</v>
      </c>
      <c r="DS76">
        <f t="shared" si="257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03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58"/>
        <v>150</v>
      </c>
      <c r="DZ76">
        <f t="shared" si="259"/>
        <v>37090</v>
      </c>
      <c r="EA76">
        <f>_xlfn.XLOOKUP(B76,'[1]march-2025'!$A:$A,'[1]march-2025'!$J:$J,0,0)</f>
        <v>0</v>
      </c>
      <c r="EB76">
        <f>_xlfn.XLOOKUP(B76,'[2]april-2025'!$A:$A,'[2]april-2025'!$J:$J,0,0)</f>
        <v>0</v>
      </c>
      <c r="EC76">
        <f>_xlfn.XLOOKUP(B76,'[3]may-2025'!$A:$A,'[3]may-2025'!$J:$J,0,0)</f>
        <v>71100</v>
      </c>
      <c r="ED76">
        <f>_xlfn.XLOOKUP(B76,'[4]june-2025'!$A:$A,'[4]june-2025'!$J:$J,0,0)</f>
        <v>0</v>
      </c>
      <c r="EE76">
        <f>_xlfn.XLOOKUP(B76,'[5]july-2025'!$A:$A,'[5]july-2025'!$J:$J,0,0)</f>
        <v>0</v>
      </c>
      <c r="EF76">
        <f>_xlfn.XLOOKUP(B76,'[6]august-2025'!$A:$A,'[6]august-2025'!$J:$J,0,0)</f>
        <v>0</v>
      </c>
      <c r="EG76">
        <f>_xlfn.XLOOKUP(B76,'[7]september-2025'!$A:$A,'[7]september-2025'!$J:$J,0,0)</f>
        <v>0</v>
      </c>
      <c r="EH76">
        <f>_xlfn.XLOOKUP(B76,'[8]october-2025'!$A:$A,'[8]october-2025'!$J:$J,0,0)</f>
        <v>0</v>
      </c>
      <c r="EI76">
        <f>_xlfn.XLOOKUP(C76,'[9]november-2025'!$A:$A,'[9]november-2025'!$J:$J,0,0)</f>
        <v>0</v>
      </c>
      <c r="EJ76">
        <f>_xlfn.XLOOKUP(B76,'[10]december-2025'!$A:$A,'[10]december-2025'!$J:$J,0,0)</f>
        <v>0</v>
      </c>
      <c r="EK76">
        <f>_xlfn.XLOOKUP(B76,'[11]january-2026'!$A:$A,'[11]january-2026'!$J:$J,0,0)</f>
        <v>0</v>
      </c>
      <c r="EL76">
        <f>_xlfn.XLOOKUP(B76,'[12]february-2026'!$A:$A,'[12]february-2026'!$J:$J,0,0)</f>
        <v>0</v>
      </c>
      <c r="EM76">
        <f t="shared" si="260"/>
        <v>71100</v>
      </c>
      <c r="EN76">
        <f t="shared" si="204"/>
        <v>471844</v>
      </c>
      <c r="EO76">
        <f t="shared" si="205"/>
        <v>1800</v>
      </c>
      <c r="EP76">
        <f t="shared" si="261"/>
        <v>50000</v>
      </c>
      <c r="EQ76">
        <v>0</v>
      </c>
      <c r="ER76">
        <f t="shared" si="262"/>
        <v>491144</v>
      </c>
      <c r="ES76">
        <f t="shared" si="206"/>
        <v>12000</v>
      </c>
      <c r="ET76">
        <f t="shared" si="207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263"/>
        <v>12000</v>
      </c>
      <c r="FF76">
        <f t="shared" si="264"/>
        <v>12000</v>
      </c>
      <c r="FG76">
        <f t="shared" si="265"/>
        <v>479144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208"/>
        <v>0</v>
      </c>
      <c r="FP76">
        <f t="shared" si="266"/>
        <v>479144</v>
      </c>
      <c r="FQ76">
        <f t="shared" si="267"/>
        <v>11457</v>
      </c>
      <c r="FR76">
        <f t="shared" si="268"/>
        <v>0</v>
      </c>
      <c r="FS76">
        <f t="shared" si="269"/>
        <v>11457</v>
      </c>
      <c r="FT76">
        <f t="shared" si="270"/>
        <v>0</v>
      </c>
      <c r="FU76">
        <f t="shared" si="271"/>
        <v>0</v>
      </c>
      <c r="FV76">
        <f t="shared" si="272"/>
        <v>0</v>
      </c>
      <c r="FW76">
        <v>0</v>
      </c>
      <c r="FX76">
        <f t="shared" si="273"/>
        <v>0</v>
      </c>
      <c r="FY76" t="b">
        <f t="shared" si="274"/>
        <v>0</v>
      </c>
      <c r="FZ76">
        <f t="shared" ca="1" si="275"/>
        <v>1936</v>
      </c>
      <c r="GA76">
        <f t="shared" ca="1" si="276"/>
        <v>473780</v>
      </c>
      <c r="GB76">
        <f t="shared" si="277"/>
        <v>75000</v>
      </c>
      <c r="GC76">
        <f t="shared" ca="1" si="278"/>
        <v>398780</v>
      </c>
      <c r="GD76">
        <f t="shared" ca="1" si="279"/>
        <v>0</v>
      </c>
      <c r="GE76">
        <f t="shared" ca="1" si="280"/>
        <v>0</v>
      </c>
      <c r="GF76">
        <f t="shared" ca="1" si="281"/>
        <v>0</v>
      </c>
      <c r="GG76">
        <f t="shared" ca="1" si="282"/>
        <v>0</v>
      </c>
      <c r="GH76">
        <f t="shared" ca="1" si="283"/>
        <v>0</v>
      </c>
      <c r="GI76">
        <f t="shared" ca="1" si="284"/>
        <v>0</v>
      </c>
      <c r="GJ76">
        <f t="shared" ca="1" si="209"/>
        <v>0</v>
      </c>
      <c r="GK76">
        <f t="shared" ca="1" si="285"/>
        <v>0</v>
      </c>
      <c r="GL76">
        <f t="shared" ca="1" si="286"/>
        <v>0</v>
      </c>
      <c r="GM76">
        <f t="shared" ca="1" si="287"/>
        <v>0</v>
      </c>
      <c r="GN76">
        <f t="shared" ca="1" si="288"/>
        <v>0</v>
      </c>
      <c r="GO76">
        <f t="shared" ca="1" si="289"/>
        <v>0</v>
      </c>
      <c r="GP76">
        <f t="shared" ca="1" si="290"/>
        <v>0</v>
      </c>
      <c r="GQ76">
        <f t="shared" ca="1" si="291"/>
        <v>0</v>
      </c>
      <c r="GR76">
        <f t="shared" ca="1" si="292"/>
        <v>0</v>
      </c>
      <c r="GS76">
        <f t="shared" ca="1" si="293"/>
        <v>0</v>
      </c>
      <c r="GT76">
        <f t="shared" ca="1" si="294"/>
        <v>0</v>
      </c>
      <c r="GU76" t="b">
        <f t="shared" ca="1" si="295"/>
        <v>0</v>
      </c>
      <c r="GV76">
        <f t="shared" ca="1" si="296"/>
        <v>0</v>
      </c>
      <c r="GW76">
        <f t="shared" ca="1" si="297"/>
        <v>0</v>
      </c>
      <c r="GX76">
        <f t="shared" ca="1" si="298"/>
        <v>0</v>
      </c>
      <c r="GY76">
        <f t="shared" ca="1" si="299"/>
        <v>0</v>
      </c>
      <c r="GZ76">
        <f t="shared" ca="1" si="300"/>
        <v>0</v>
      </c>
    </row>
    <row r="77" spans="1:208" x14ac:dyDescent="0.3">
      <c r="A77">
        <f>_xlfn.AGGREGATE(3,5,$B$2:B77)</f>
        <v>76</v>
      </c>
      <c r="B77" t="s">
        <v>269</v>
      </c>
      <c r="C77" t="s">
        <v>270</v>
      </c>
      <c r="D77" t="s">
        <v>769</v>
      </c>
      <c r="E77" t="s">
        <v>832</v>
      </c>
      <c r="F77" t="s">
        <v>956</v>
      </c>
      <c r="G77" t="s">
        <v>890</v>
      </c>
      <c r="H77">
        <f t="shared" si="210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1"/>
        <v>4690</v>
      </c>
      <c r="L77">
        <f t="shared" si="212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194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01"/>
        <v>200</v>
      </c>
      <c r="S77">
        <f t="shared" si="213"/>
        <v>37910</v>
      </c>
      <c r="T77">
        <f>_xlfn.XLOOKUP(B77,'[2]april-2025'!$A:$A,'[2]april-2025'!$C:$C,0,0)</f>
        <v>33500</v>
      </c>
      <c r="U77">
        <f t="shared" si="214"/>
        <v>6030</v>
      </c>
      <c r="V77">
        <f t="shared" si="215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16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17"/>
        <v>200</v>
      </c>
      <c r="AC77">
        <f t="shared" si="218"/>
        <v>39250</v>
      </c>
      <c r="AD77">
        <f>_xlfn.XLOOKUP(B77,'[3]may-2025'!$A:$A,'[3]may-2025'!$C:$C,0,0)</f>
        <v>33500</v>
      </c>
      <c r="AE77">
        <f t="shared" si="219"/>
        <v>6030</v>
      </c>
      <c r="AF77">
        <f t="shared" si="220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1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2"/>
        <v>200</v>
      </c>
      <c r="AM77">
        <f t="shared" si="223"/>
        <v>39250</v>
      </c>
      <c r="AN77">
        <f>_xlfn.XLOOKUP(B77,'[4]june-2025'!$A:$A,'[4]june-2025'!$C:$C,0,0)</f>
        <v>33500</v>
      </c>
      <c r="AO77">
        <f t="shared" si="224"/>
        <v>6030</v>
      </c>
      <c r="AP77">
        <f t="shared" si="225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26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27"/>
        <v>200</v>
      </c>
      <c r="AW77">
        <f t="shared" si="228"/>
        <v>39250</v>
      </c>
      <c r="AX77">
        <f>_xlfn.XLOOKUP(B77,'[5]july-2025'!$A:$A,'[5]july-2025'!$C:$C,0,0)</f>
        <v>35500</v>
      </c>
      <c r="AY77">
        <f t="shared" si="229"/>
        <v>6390</v>
      </c>
      <c r="AZ77">
        <v>0</v>
      </c>
      <c r="BA77">
        <f t="shared" si="230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195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1"/>
        <v>200</v>
      </c>
      <c r="BH77">
        <f t="shared" si="232"/>
        <v>41850</v>
      </c>
      <c r="BI77">
        <f>_xlfn.XLOOKUP(B77,'[6]august-2025'!$A:$A,'[6]august-2025'!$C:$C,0,0)</f>
        <v>35500</v>
      </c>
      <c r="BJ77">
        <f t="shared" si="233"/>
        <v>6390</v>
      </c>
      <c r="BK77">
        <f t="shared" si="234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35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196"/>
        <v>200</v>
      </c>
      <c r="BR77">
        <f t="shared" si="197"/>
        <v>41850</v>
      </c>
      <c r="BS77">
        <f>_xlfn.XLOOKUP(B77,'[7]september-2025'!$A:$A,'[7]september-2025'!$C:$C,0,0)</f>
        <v>35500</v>
      </c>
      <c r="BT77">
        <f t="shared" si="236"/>
        <v>6390</v>
      </c>
      <c r="BU77">
        <f t="shared" si="237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198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38"/>
        <v>200</v>
      </c>
      <c r="CB77">
        <f t="shared" si="239"/>
        <v>41850</v>
      </c>
      <c r="CC77">
        <f>_xlfn.XLOOKUP(B77,'[8]october-2025'!$A:$A,'[8]october-2025'!$C:$C,0,0)</f>
        <v>35500</v>
      </c>
      <c r="CD77">
        <f t="shared" si="240"/>
        <v>6390</v>
      </c>
      <c r="CE77">
        <f t="shared" si="241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199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42"/>
        <v>200</v>
      </c>
      <c r="CL77">
        <f t="shared" si="243"/>
        <v>41850</v>
      </c>
      <c r="CM77">
        <f>_xlfn.XLOOKUP(B77,'[9]november-2025'!$A:$A,'[9]november-2025'!$C:$C,0,0)</f>
        <v>35500</v>
      </c>
      <c r="CN77">
        <f t="shared" si="244"/>
        <v>6390</v>
      </c>
      <c r="CO77">
        <f t="shared" si="24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00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46"/>
        <v>200</v>
      </c>
      <c r="CV77">
        <f t="shared" si="247"/>
        <v>41850</v>
      </c>
      <c r="CW77">
        <f>_xlfn.XLOOKUP(B77,'[10]december-2025'!$A:$A,'[10]december-2025'!$C:$C,0,0)</f>
        <v>35500</v>
      </c>
      <c r="CX77">
        <f t="shared" si="248"/>
        <v>6390</v>
      </c>
      <c r="CY77">
        <f t="shared" si="249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0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50"/>
        <v>200</v>
      </c>
      <c r="DF77">
        <f t="shared" si="251"/>
        <v>41850</v>
      </c>
      <c r="DG77">
        <f>_xlfn.XLOOKUP(B77,'[11]january-2026'!$A:$A,'[11]january-2026'!$C:$C,0,0)</f>
        <v>35500</v>
      </c>
      <c r="DH77">
        <f t="shared" si="252"/>
        <v>6390</v>
      </c>
      <c r="DI77">
        <f t="shared" si="253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02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54"/>
        <v>200</v>
      </c>
      <c r="DP77">
        <f t="shared" si="255"/>
        <v>41850</v>
      </c>
      <c r="DQ77">
        <f>_xlfn.XLOOKUP(B77,'[12]february-2026'!$A:$A,'[12]february-2026'!$C:$C,0,0)</f>
        <v>35500</v>
      </c>
      <c r="DR77">
        <f t="shared" si="256"/>
        <v>6390</v>
      </c>
      <c r="DS77">
        <f t="shared" si="257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03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58"/>
        <v>200</v>
      </c>
      <c r="DZ77">
        <f t="shared" si="259"/>
        <v>41850</v>
      </c>
      <c r="EA77">
        <f>_xlfn.XLOOKUP(B77,'[1]march-2025'!$A:$A,'[1]march-2025'!$J:$J,0,0)</f>
        <v>0</v>
      </c>
      <c r="EB77">
        <f>_xlfn.XLOOKUP(B77,'[2]april-2025'!$A:$A,'[2]april-2025'!$J:$J,0,0)</f>
        <v>0</v>
      </c>
      <c r="EC77">
        <f>_xlfn.XLOOKUP(B77,'[3]may-2025'!$A:$A,'[3]may-2025'!$J:$J,0,0)</f>
        <v>0</v>
      </c>
      <c r="ED77">
        <f>_xlfn.XLOOKUP(B77,'[4]june-2025'!$A:$A,'[4]june-2025'!$J:$J,0,0)</f>
        <v>0</v>
      </c>
      <c r="EE77">
        <f>_xlfn.XLOOKUP(B77,'[5]july-2025'!$A:$A,'[5]july-2025'!$J:$J,0,0)</f>
        <v>0</v>
      </c>
      <c r="EF77">
        <f>_xlfn.XLOOKUP(B77,'[6]august-2025'!$A:$A,'[6]august-2025'!$J:$J,0,0)</f>
        <v>0</v>
      </c>
      <c r="EG77">
        <f>_xlfn.XLOOKUP(B77,'[7]september-2025'!$A:$A,'[7]september-2025'!$J:$J,0,0)</f>
        <v>0</v>
      </c>
      <c r="EH77">
        <f>_xlfn.XLOOKUP(B77,'[8]october-2025'!$A:$A,'[8]october-2025'!$J:$J,0,0)</f>
        <v>0</v>
      </c>
      <c r="EI77">
        <f>_xlfn.XLOOKUP(C77,'[9]november-2025'!$A:$A,'[9]november-2025'!$J:$J,0,0)</f>
        <v>0</v>
      </c>
      <c r="EJ77">
        <f>_xlfn.XLOOKUP(B77,'[10]december-2025'!$A:$A,'[10]december-2025'!$J:$J,0,0)</f>
        <v>0</v>
      </c>
      <c r="EK77">
        <f>_xlfn.XLOOKUP(B77,'[11]january-2026'!$A:$A,'[11]january-2026'!$J:$J,0,0)</f>
        <v>0</v>
      </c>
      <c r="EL77">
        <f>_xlfn.XLOOKUP(B77,'[12]february-2026'!$A:$A,'[12]february-2026'!$J:$J,0,0)</f>
        <v>0</v>
      </c>
      <c r="EM77">
        <f t="shared" si="260"/>
        <v>0</v>
      </c>
      <c r="EN77">
        <f t="shared" si="204"/>
        <v>559660</v>
      </c>
      <c r="EO77">
        <f t="shared" si="205"/>
        <v>2400</v>
      </c>
      <c r="EP77">
        <f t="shared" si="261"/>
        <v>50000</v>
      </c>
      <c r="EQ77">
        <v>0</v>
      </c>
      <c r="ER77">
        <f t="shared" si="262"/>
        <v>507260</v>
      </c>
      <c r="ES77">
        <f t="shared" si="206"/>
        <v>60000</v>
      </c>
      <c r="ET77">
        <f t="shared" si="207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263"/>
        <v>60000</v>
      </c>
      <c r="FF77">
        <f t="shared" si="264"/>
        <v>60000</v>
      </c>
      <c r="FG77">
        <f t="shared" si="265"/>
        <v>447260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208"/>
        <v>0</v>
      </c>
      <c r="FP77">
        <f t="shared" si="266"/>
        <v>447260</v>
      </c>
      <c r="FQ77">
        <f t="shared" si="267"/>
        <v>9863</v>
      </c>
      <c r="FR77">
        <f t="shared" si="268"/>
        <v>0</v>
      </c>
      <c r="FS77">
        <f t="shared" si="269"/>
        <v>9863</v>
      </c>
      <c r="FT77">
        <f t="shared" si="270"/>
        <v>0</v>
      </c>
      <c r="FU77">
        <f t="shared" si="271"/>
        <v>0</v>
      </c>
      <c r="FV77">
        <f t="shared" si="272"/>
        <v>0</v>
      </c>
      <c r="FW77">
        <v>0</v>
      </c>
      <c r="FX77">
        <f t="shared" si="273"/>
        <v>0</v>
      </c>
      <c r="FY77" t="b">
        <f t="shared" si="274"/>
        <v>1</v>
      </c>
      <c r="FZ77">
        <f t="shared" ca="1" si="275"/>
        <v>574</v>
      </c>
      <c r="GA77">
        <f t="shared" ca="1" si="276"/>
        <v>560234</v>
      </c>
      <c r="GB77">
        <f t="shared" si="277"/>
        <v>75000</v>
      </c>
      <c r="GC77">
        <f t="shared" ca="1" si="278"/>
        <v>485234</v>
      </c>
      <c r="GD77">
        <f t="shared" ca="1" si="279"/>
        <v>0</v>
      </c>
      <c r="GE77">
        <f t="shared" ca="1" si="280"/>
        <v>0</v>
      </c>
      <c r="GF77">
        <f t="shared" ca="1" si="281"/>
        <v>0</v>
      </c>
      <c r="GG77">
        <f t="shared" ca="1" si="282"/>
        <v>0</v>
      </c>
      <c r="GH77">
        <f t="shared" ca="1" si="283"/>
        <v>0</v>
      </c>
      <c r="GI77">
        <f t="shared" ca="1" si="284"/>
        <v>0</v>
      </c>
      <c r="GJ77">
        <f t="shared" ca="1" si="209"/>
        <v>0</v>
      </c>
      <c r="GK77">
        <f t="shared" ca="1" si="285"/>
        <v>0</v>
      </c>
      <c r="GL77">
        <f t="shared" ca="1" si="286"/>
        <v>0</v>
      </c>
      <c r="GM77">
        <f t="shared" ca="1" si="287"/>
        <v>0</v>
      </c>
      <c r="GN77">
        <f t="shared" ca="1" si="288"/>
        <v>85234</v>
      </c>
      <c r="GO77">
        <f t="shared" ca="1" si="289"/>
        <v>4261.7</v>
      </c>
      <c r="GP77">
        <f t="shared" ca="1" si="290"/>
        <v>4262</v>
      </c>
      <c r="GQ77">
        <f t="shared" ca="1" si="291"/>
        <v>0</v>
      </c>
      <c r="GR77">
        <f t="shared" ca="1" si="292"/>
        <v>0</v>
      </c>
      <c r="GS77">
        <f t="shared" ca="1" si="293"/>
        <v>4262</v>
      </c>
      <c r="GT77">
        <f t="shared" ca="1" si="294"/>
        <v>0</v>
      </c>
      <c r="GU77" t="b">
        <f t="shared" ca="1" si="295"/>
        <v>0</v>
      </c>
      <c r="GV77">
        <f t="shared" ca="1" si="296"/>
        <v>0</v>
      </c>
      <c r="GW77">
        <f t="shared" ca="1" si="297"/>
        <v>4262</v>
      </c>
      <c r="GX77">
        <f t="shared" ca="1" si="298"/>
        <v>0</v>
      </c>
      <c r="GY77">
        <f t="shared" ca="1" si="299"/>
        <v>0</v>
      </c>
      <c r="GZ77">
        <f t="shared" ca="1" si="300"/>
        <v>0</v>
      </c>
    </row>
    <row r="78" spans="1:208" x14ac:dyDescent="0.3">
      <c r="A78">
        <f>_xlfn.AGGREGATE(3,5,$B$2:B78)</f>
        <v>77</v>
      </c>
      <c r="B78" t="s">
        <v>271</v>
      </c>
      <c r="C78" t="s">
        <v>272</v>
      </c>
      <c r="D78" t="s">
        <v>769</v>
      </c>
      <c r="E78" t="s">
        <v>830</v>
      </c>
      <c r="F78" t="s">
        <v>956</v>
      </c>
      <c r="G78" t="s">
        <v>892</v>
      </c>
      <c r="H78">
        <f t="shared" si="210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1"/>
        <v>4830.0000000000009</v>
      </c>
      <c r="L78">
        <f t="shared" si="212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194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01"/>
        <v>200</v>
      </c>
      <c r="S78">
        <f t="shared" si="213"/>
        <v>41270</v>
      </c>
      <c r="T78">
        <f>_xlfn.XLOOKUP(B78,'[2]april-2025'!$A:$A,'[2]april-2025'!$C:$C,0,0)</f>
        <v>34500</v>
      </c>
      <c r="U78">
        <f t="shared" si="214"/>
        <v>6210</v>
      </c>
      <c r="V78">
        <f t="shared" si="215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16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17"/>
        <v>200</v>
      </c>
      <c r="AC78">
        <f t="shared" si="218"/>
        <v>42650</v>
      </c>
      <c r="AD78">
        <f>_xlfn.XLOOKUP(B78,'[3]may-2025'!$A:$A,'[3]may-2025'!$C:$C,0,0)</f>
        <v>34500</v>
      </c>
      <c r="AE78">
        <f t="shared" si="219"/>
        <v>6210</v>
      </c>
      <c r="AF78">
        <f t="shared" si="220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1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2"/>
        <v>200</v>
      </c>
      <c r="AM78">
        <f t="shared" si="223"/>
        <v>42650</v>
      </c>
      <c r="AN78">
        <f>_xlfn.XLOOKUP(B78,'[4]june-2025'!$A:$A,'[4]june-2025'!$C:$C,0,0)</f>
        <v>34500</v>
      </c>
      <c r="AO78">
        <f t="shared" si="224"/>
        <v>6210</v>
      </c>
      <c r="AP78">
        <f t="shared" si="225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26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27"/>
        <v>200</v>
      </c>
      <c r="AW78">
        <f t="shared" si="228"/>
        <v>42650</v>
      </c>
      <c r="AX78">
        <f>_xlfn.XLOOKUP(B78,'[5]july-2025'!$A:$A,'[5]july-2025'!$C:$C,0,0)</f>
        <v>35500</v>
      </c>
      <c r="AY78">
        <f t="shared" si="229"/>
        <v>6390</v>
      </c>
      <c r="AZ78">
        <v>0</v>
      </c>
      <c r="BA78">
        <f t="shared" si="230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195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1"/>
        <v>200</v>
      </c>
      <c r="BH78">
        <f t="shared" si="232"/>
        <v>43950</v>
      </c>
      <c r="BI78">
        <f>_xlfn.XLOOKUP(B78,'[6]august-2025'!$A:$A,'[6]august-2025'!$C:$C,0,0)</f>
        <v>35500</v>
      </c>
      <c r="BJ78">
        <f t="shared" si="233"/>
        <v>6390</v>
      </c>
      <c r="BK78">
        <f t="shared" si="234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35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196"/>
        <v>200</v>
      </c>
      <c r="BR78">
        <f t="shared" si="197"/>
        <v>43950</v>
      </c>
      <c r="BS78">
        <f>_xlfn.XLOOKUP(B78,'[7]september-2025'!$A:$A,'[7]september-2025'!$C:$C,0,0)</f>
        <v>35500</v>
      </c>
      <c r="BT78">
        <f t="shared" si="236"/>
        <v>6390</v>
      </c>
      <c r="BU78">
        <f t="shared" si="237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198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38"/>
        <v>200</v>
      </c>
      <c r="CB78">
        <f t="shared" si="239"/>
        <v>43950</v>
      </c>
      <c r="CC78">
        <f>_xlfn.XLOOKUP(B78,'[8]october-2025'!$A:$A,'[8]october-2025'!$C:$C,0,0)</f>
        <v>35500</v>
      </c>
      <c r="CD78">
        <f t="shared" si="240"/>
        <v>6390</v>
      </c>
      <c r="CE78">
        <f t="shared" si="241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199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42"/>
        <v>200</v>
      </c>
      <c r="CL78">
        <f t="shared" si="243"/>
        <v>43950</v>
      </c>
      <c r="CM78">
        <f>_xlfn.XLOOKUP(B78,'[9]november-2025'!$A:$A,'[9]november-2025'!$C:$C,0,0)</f>
        <v>35500</v>
      </c>
      <c r="CN78">
        <f t="shared" si="244"/>
        <v>6390</v>
      </c>
      <c r="CO78">
        <f t="shared" si="24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00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46"/>
        <v>200</v>
      </c>
      <c r="CV78">
        <f t="shared" si="247"/>
        <v>43950</v>
      </c>
      <c r="CW78">
        <f>_xlfn.XLOOKUP(B78,'[10]december-2025'!$A:$A,'[10]december-2025'!$C:$C,0,0)</f>
        <v>35500</v>
      </c>
      <c r="CX78">
        <f t="shared" si="248"/>
        <v>6390</v>
      </c>
      <c r="CY78">
        <f t="shared" si="249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0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50"/>
        <v>200</v>
      </c>
      <c r="DF78">
        <f t="shared" si="251"/>
        <v>43950</v>
      </c>
      <c r="DG78">
        <f>_xlfn.XLOOKUP(B78,'[11]january-2026'!$A:$A,'[11]january-2026'!$C:$C,0,0)</f>
        <v>35500</v>
      </c>
      <c r="DH78">
        <f t="shared" si="252"/>
        <v>6390</v>
      </c>
      <c r="DI78">
        <f t="shared" si="253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02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54"/>
        <v>200</v>
      </c>
      <c r="DP78">
        <f t="shared" si="255"/>
        <v>43950</v>
      </c>
      <c r="DQ78">
        <f>_xlfn.XLOOKUP(B78,'[12]february-2026'!$A:$A,'[12]february-2026'!$C:$C,0,0)</f>
        <v>35500</v>
      </c>
      <c r="DR78">
        <f t="shared" si="256"/>
        <v>6390</v>
      </c>
      <c r="DS78">
        <f t="shared" si="257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03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58"/>
        <v>200</v>
      </c>
      <c r="DZ78">
        <f t="shared" si="259"/>
        <v>43950</v>
      </c>
      <c r="EA78">
        <f>_xlfn.XLOOKUP(B78,'[1]march-2025'!$A:$A,'[1]march-2025'!$J:$J,0,0)</f>
        <v>0</v>
      </c>
      <c r="EB78">
        <f>_xlfn.XLOOKUP(B78,'[2]april-2025'!$A:$A,'[2]april-2025'!$J:$J,0,0)</f>
        <v>0</v>
      </c>
      <c r="EC78">
        <f>_xlfn.XLOOKUP(B78,'[3]may-2025'!$A:$A,'[3]may-2025'!$J:$J,0,0)</f>
        <v>0</v>
      </c>
      <c r="ED78">
        <f>_xlfn.XLOOKUP(B78,'[4]june-2025'!$A:$A,'[4]june-2025'!$J:$J,0,0)</f>
        <v>0</v>
      </c>
      <c r="EE78">
        <f>_xlfn.XLOOKUP(B78,'[5]july-2025'!$A:$A,'[5]july-2025'!$J:$J,0,0)</f>
        <v>0</v>
      </c>
      <c r="EF78">
        <f>_xlfn.XLOOKUP(B78,'[6]august-2025'!$A:$A,'[6]august-2025'!$J:$J,0,0)</f>
        <v>0</v>
      </c>
      <c r="EG78">
        <f>_xlfn.XLOOKUP(B78,'[7]september-2025'!$A:$A,'[7]september-2025'!$J:$J,0,0)</f>
        <v>0</v>
      </c>
      <c r="EH78">
        <f>_xlfn.XLOOKUP(B78,'[8]october-2025'!$A:$A,'[8]october-2025'!$J:$J,0,0)</f>
        <v>0</v>
      </c>
      <c r="EI78">
        <f>_xlfn.XLOOKUP(C78,'[9]november-2025'!$A:$A,'[9]november-2025'!$J:$J,0,0)</f>
        <v>0</v>
      </c>
      <c r="EJ78">
        <f>_xlfn.XLOOKUP(B78,'[10]december-2025'!$A:$A,'[10]december-2025'!$J:$J,0,0)</f>
        <v>0</v>
      </c>
      <c r="EK78">
        <f>_xlfn.XLOOKUP(B78,'[11]january-2026'!$A:$A,'[11]january-2026'!$J:$J,0,0)</f>
        <v>0</v>
      </c>
      <c r="EL78">
        <f>_xlfn.XLOOKUP(B78,'[12]february-2026'!$A:$A,'[12]february-2026'!$J:$J,0,0)</f>
        <v>0</v>
      </c>
      <c r="EM78">
        <f t="shared" si="260"/>
        <v>0</v>
      </c>
      <c r="EN78">
        <f t="shared" si="204"/>
        <v>560020</v>
      </c>
      <c r="EO78">
        <f t="shared" si="205"/>
        <v>2400</v>
      </c>
      <c r="EP78">
        <f t="shared" si="261"/>
        <v>50000</v>
      </c>
      <c r="EQ78">
        <v>0</v>
      </c>
      <c r="ER78">
        <f t="shared" si="262"/>
        <v>507620</v>
      </c>
      <c r="ES78">
        <f t="shared" si="206"/>
        <v>30000</v>
      </c>
      <c r="ET78">
        <f t="shared" si="207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263"/>
        <v>30000</v>
      </c>
      <c r="FF78">
        <f t="shared" si="264"/>
        <v>30000</v>
      </c>
      <c r="FG78">
        <f t="shared" si="265"/>
        <v>477620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208"/>
        <v>0</v>
      </c>
      <c r="FP78">
        <f t="shared" si="266"/>
        <v>477620</v>
      </c>
      <c r="FQ78">
        <f t="shared" si="267"/>
        <v>11381</v>
      </c>
      <c r="FR78">
        <f t="shared" si="268"/>
        <v>0</v>
      </c>
      <c r="FS78">
        <f t="shared" si="269"/>
        <v>11381</v>
      </c>
      <c r="FT78">
        <f t="shared" si="270"/>
        <v>0</v>
      </c>
      <c r="FU78">
        <f t="shared" si="271"/>
        <v>0</v>
      </c>
      <c r="FV78">
        <f t="shared" si="272"/>
        <v>0</v>
      </c>
      <c r="FW78">
        <v>0</v>
      </c>
      <c r="FX78">
        <f t="shared" si="273"/>
        <v>0</v>
      </c>
      <c r="FY78" t="b">
        <f t="shared" si="274"/>
        <v>1</v>
      </c>
      <c r="FZ78">
        <f t="shared" ca="1" si="275"/>
        <v>944</v>
      </c>
      <c r="GA78">
        <f t="shared" ca="1" si="276"/>
        <v>560964</v>
      </c>
      <c r="GB78">
        <f t="shared" si="277"/>
        <v>75000</v>
      </c>
      <c r="GC78">
        <f t="shared" ca="1" si="278"/>
        <v>485964</v>
      </c>
      <c r="GD78">
        <f t="shared" ca="1" si="279"/>
        <v>0</v>
      </c>
      <c r="GE78">
        <f t="shared" ca="1" si="280"/>
        <v>0</v>
      </c>
      <c r="GF78">
        <f t="shared" ca="1" si="281"/>
        <v>0</v>
      </c>
      <c r="GG78">
        <f t="shared" ca="1" si="282"/>
        <v>0</v>
      </c>
      <c r="GH78">
        <f t="shared" ca="1" si="283"/>
        <v>0</v>
      </c>
      <c r="GI78">
        <f t="shared" ca="1" si="284"/>
        <v>0</v>
      </c>
      <c r="GJ78">
        <f t="shared" ca="1" si="209"/>
        <v>0</v>
      </c>
      <c r="GK78">
        <f t="shared" ca="1" si="285"/>
        <v>0</v>
      </c>
      <c r="GL78">
        <f t="shared" ca="1" si="286"/>
        <v>0</v>
      </c>
      <c r="GM78">
        <f t="shared" ca="1" si="287"/>
        <v>0</v>
      </c>
      <c r="GN78">
        <f t="shared" ca="1" si="288"/>
        <v>85964</v>
      </c>
      <c r="GO78">
        <f t="shared" ca="1" si="289"/>
        <v>4298.2</v>
      </c>
      <c r="GP78">
        <f t="shared" ca="1" si="290"/>
        <v>4298</v>
      </c>
      <c r="GQ78">
        <f t="shared" ca="1" si="291"/>
        <v>0</v>
      </c>
      <c r="GR78">
        <f t="shared" ca="1" si="292"/>
        <v>0</v>
      </c>
      <c r="GS78">
        <f t="shared" ca="1" si="293"/>
        <v>4298</v>
      </c>
      <c r="GT78">
        <f t="shared" ca="1" si="294"/>
        <v>0</v>
      </c>
      <c r="GU78" t="b">
        <f t="shared" ca="1" si="295"/>
        <v>0</v>
      </c>
      <c r="GV78">
        <f t="shared" ca="1" si="296"/>
        <v>0</v>
      </c>
      <c r="GW78">
        <f t="shared" ca="1" si="297"/>
        <v>4298</v>
      </c>
      <c r="GX78">
        <f t="shared" ca="1" si="298"/>
        <v>0</v>
      </c>
      <c r="GY78">
        <f t="shared" ca="1" si="299"/>
        <v>0</v>
      </c>
      <c r="GZ78">
        <f t="shared" ca="1" si="300"/>
        <v>0</v>
      </c>
    </row>
    <row r="79" spans="1:208" x14ac:dyDescent="0.3">
      <c r="A79">
        <f>_xlfn.AGGREGATE(3,5,$B$2:B79)</f>
        <v>78</v>
      </c>
      <c r="B79" t="s">
        <v>273</v>
      </c>
      <c r="C79" t="s">
        <v>274</v>
      </c>
      <c r="D79" t="s">
        <v>769</v>
      </c>
      <c r="E79" t="s">
        <v>830</v>
      </c>
      <c r="F79" t="s">
        <v>956</v>
      </c>
      <c r="G79" t="s">
        <v>878</v>
      </c>
      <c r="H79">
        <f t="shared" si="210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1"/>
        <v>3780.0000000000005</v>
      </c>
      <c r="L79">
        <f t="shared" si="212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194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01"/>
        <v>150</v>
      </c>
      <c r="S79">
        <f t="shared" si="213"/>
        <v>32370</v>
      </c>
      <c r="T79">
        <f>_xlfn.XLOOKUP(B79,'[2]april-2025'!$A:$A,'[2]april-2025'!$C:$C,0,0)</f>
        <v>27000</v>
      </c>
      <c r="U79">
        <f t="shared" si="214"/>
        <v>4860</v>
      </c>
      <c r="V79">
        <f t="shared" si="215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16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17"/>
        <v>150</v>
      </c>
      <c r="AC79">
        <f t="shared" si="218"/>
        <v>33450</v>
      </c>
      <c r="AD79">
        <f>_xlfn.XLOOKUP(B79,'[3]may-2025'!$A:$A,'[3]may-2025'!$C:$C,0,0)</f>
        <v>31600</v>
      </c>
      <c r="AE79">
        <f t="shared" si="219"/>
        <v>5688</v>
      </c>
      <c r="AF79">
        <f t="shared" si="220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1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2"/>
        <v>200</v>
      </c>
      <c r="AM79">
        <f t="shared" si="223"/>
        <v>39380</v>
      </c>
      <c r="AN79">
        <f>_xlfn.XLOOKUP(B79,'[4]june-2025'!$A:$A,'[4]june-2025'!$C:$C,0,0)</f>
        <v>31600</v>
      </c>
      <c r="AO79">
        <f t="shared" si="224"/>
        <v>5688</v>
      </c>
      <c r="AP79">
        <f t="shared" si="225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26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27"/>
        <v>200</v>
      </c>
      <c r="AW79">
        <f t="shared" si="228"/>
        <v>39380</v>
      </c>
      <c r="AX79">
        <f>_xlfn.XLOOKUP(B79,'[5]july-2025'!$A:$A,'[5]july-2025'!$C:$C,0,0)</f>
        <v>32500</v>
      </c>
      <c r="AY79">
        <f t="shared" si="229"/>
        <v>5850</v>
      </c>
      <c r="AZ79">
        <v>0</v>
      </c>
      <c r="BA79">
        <f t="shared" si="230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195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1"/>
        <v>200</v>
      </c>
      <c r="BH79">
        <f t="shared" si="232"/>
        <v>40550</v>
      </c>
      <c r="BI79">
        <f>_xlfn.XLOOKUP(B79,'[6]august-2025'!$A:$A,'[6]august-2025'!$C:$C,0,0)</f>
        <v>32500</v>
      </c>
      <c r="BJ79">
        <f t="shared" si="233"/>
        <v>5850</v>
      </c>
      <c r="BK79">
        <f t="shared" si="234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35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196"/>
        <v>200</v>
      </c>
      <c r="BR79">
        <f t="shared" si="197"/>
        <v>40550</v>
      </c>
      <c r="BS79">
        <f>_xlfn.XLOOKUP(B79,'[7]september-2025'!$A:$A,'[7]september-2025'!$C:$C,0,0)</f>
        <v>32500</v>
      </c>
      <c r="BT79">
        <f t="shared" si="236"/>
        <v>5850</v>
      </c>
      <c r="BU79">
        <f t="shared" si="237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198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38"/>
        <v>200</v>
      </c>
      <c r="CB79">
        <f t="shared" si="239"/>
        <v>40550</v>
      </c>
      <c r="CC79">
        <f>_xlfn.XLOOKUP(B79,'[8]october-2025'!$A:$A,'[8]october-2025'!$C:$C,0,0)</f>
        <v>32500</v>
      </c>
      <c r="CD79">
        <f t="shared" si="240"/>
        <v>5850</v>
      </c>
      <c r="CE79">
        <f t="shared" si="241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199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42"/>
        <v>200</v>
      </c>
      <c r="CL79">
        <f t="shared" si="243"/>
        <v>40550</v>
      </c>
      <c r="CM79">
        <f>_xlfn.XLOOKUP(B79,'[9]november-2025'!$A:$A,'[9]november-2025'!$C:$C,0,0)</f>
        <v>32500</v>
      </c>
      <c r="CN79">
        <f t="shared" si="244"/>
        <v>5850</v>
      </c>
      <c r="CO79">
        <f t="shared" si="24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00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46"/>
        <v>200</v>
      </c>
      <c r="CV79">
        <f t="shared" si="247"/>
        <v>40550</v>
      </c>
      <c r="CW79">
        <f>_xlfn.XLOOKUP(B79,'[10]december-2025'!$A:$A,'[10]december-2025'!$C:$C,0,0)</f>
        <v>32500</v>
      </c>
      <c r="CX79">
        <f t="shared" si="248"/>
        <v>5850</v>
      </c>
      <c r="CY79">
        <f t="shared" si="249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0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50"/>
        <v>200</v>
      </c>
      <c r="DF79">
        <f t="shared" si="251"/>
        <v>40550</v>
      </c>
      <c r="DG79">
        <f>_xlfn.XLOOKUP(B79,'[11]january-2026'!$A:$A,'[11]january-2026'!$C:$C,0,0)</f>
        <v>32500</v>
      </c>
      <c r="DH79">
        <f t="shared" si="252"/>
        <v>5850</v>
      </c>
      <c r="DI79">
        <f t="shared" si="253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02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54"/>
        <v>200</v>
      </c>
      <c r="DP79">
        <f t="shared" si="255"/>
        <v>40550</v>
      </c>
      <c r="DQ79">
        <f>_xlfn.XLOOKUP(B79,'[12]february-2026'!$A:$A,'[12]february-2026'!$C:$C,0,0)</f>
        <v>32500</v>
      </c>
      <c r="DR79">
        <f t="shared" si="256"/>
        <v>5850</v>
      </c>
      <c r="DS79">
        <f t="shared" si="257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03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58"/>
        <v>200</v>
      </c>
      <c r="DZ79">
        <f t="shared" si="259"/>
        <v>40550</v>
      </c>
      <c r="EA79">
        <f>_xlfn.XLOOKUP(B79,'[1]march-2025'!$A:$A,'[1]march-2025'!$J:$J,0,0)</f>
        <v>0</v>
      </c>
      <c r="EB79">
        <f>_xlfn.XLOOKUP(B79,'[2]april-2025'!$A:$A,'[2]april-2025'!$J:$J,0,0)</f>
        <v>0</v>
      </c>
      <c r="EC79">
        <f>_xlfn.XLOOKUP(B79,'[3]may-2025'!$A:$A,'[3]may-2025'!$J:$J,0,0)</f>
        <v>0</v>
      </c>
      <c r="ED79">
        <f>_xlfn.XLOOKUP(B79,'[4]june-2025'!$A:$A,'[4]june-2025'!$J:$J,0,0)</f>
        <v>0</v>
      </c>
      <c r="EE79">
        <f>_xlfn.XLOOKUP(B79,'[5]july-2025'!$A:$A,'[5]july-2025'!$J:$J,0,0)</f>
        <v>0</v>
      </c>
      <c r="EF79">
        <f>_xlfn.XLOOKUP(B79,'[6]august-2025'!$A:$A,'[6]august-2025'!$J:$J,0,0)</f>
        <v>0</v>
      </c>
      <c r="EG79">
        <f>_xlfn.XLOOKUP(B79,'[7]september-2025'!$A:$A,'[7]september-2025'!$J:$J,0,0)</f>
        <v>0</v>
      </c>
      <c r="EH79">
        <f>_xlfn.XLOOKUP(B79,'[8]october-2025'!$A:$A,'[8]october-2025'!$J:$J,0,0)</f>
        <v>0</v>
      </c>
      <c r="EI79">
        <f>_xlfn.XLOOKUP(C79,'[9]november-2025'!$A:$A,'[9]november-2025'!$J:$J,0,0)</f>
        <v>0</v>
      </c>
      <c r="EJ79">
        <f>_xlfn.XLOOKUP(B79,'[10]december-2025'!$A:$A,'[10]december-2025'!$J:$J,0,0)</f>
        <v>0</v>
      </c>
      <c r="EK79">
        <f>_xlfn.XLOOKUP(B79,'[11]january-2026'!$A:$A,'[11]january-2026'!$J:$J,0,0)</f>
        <v>0</v>
      </c>
      <c r="EL79">
        <f>_xlfn.XLOOKUP(B79,'[12]february-2026'!$A:$A,'[12]february-2026'!$J:$J,0,0)</f>
        <v>0</v>
      </c>
      <c r="EM79">
        <f t="shared" si="260"/>
        <v>0</v>
      </c>
      <c r="EN79">
        <f t="shared" si="204"/>
        <v>502080</v>
      </c>
      <c r="EO79">
        <f t="shared" si="205"/>
        <v>2300</v>
      </c>
      <c r="EP79">
        <f t="shared" si="261"/>
        <v>50000</v>
      </c>
      <c r="EQ79">
        <v>0</v>
      </c>
      <c r="ER79">
        <f t="shared" si="262"/>
        <v>449780</v>
      </c>
      <c r="ES79">
        <f t="shared" si="206"/>
        <v>24000</v>
      </c>
      <c r="ET79">
        <f t="shared" si="207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263"/>
        <v>24000</v>
      </c>
      <c r="FF79">
        <f t="shared" si="264"/>
        <v>24000</v>
      </c>
      <c r="FG79">
        <f t="shared" si="265"/>
        <v>425780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208"/>
        <v>0</v>
      </c>
      <c r="FP79">
        <f t="shared" si="266"/>
        <v>425780</v>
      </c>
      <c r="FQ79">
        <f t="shared" si="267"/>
        <v>8789</v>
      </c>
      <c r="FR79">
        <f t="shared" si="268"/>
        <v>0</v>
      </c>
      <c r="FS79">
        <f t="shared" si="269"/>
        <v>8789</v>
      </c>
      <c r="FT79">
        <f t="shared" si="270"/>
        <v>0</v>
      </c>
      <c r="FU79">
        <f t="shared" si="271"/>
        <v>0</v>
      </c>
      <c r="FV79">
        <f t="shared" si="272"/>
        <v>0</v>
      </c>
      <c r="FW79">
        <v>0</v>
      </c>
      <c r="FX79">
        <f t="shared" si="273"/>
        <v>0</v>
      </c>
      <c r="FY79" t="b">
        <f t="shared" si="274"/>
        <v>1</v>
      </c>
      <c r="FZ79">
        <f t="shared" ca="1" si="275"/>
        <v>588</v>
      </c>
      <c r="GA79">
        <f t="shared" ca="1" si="276"/>
        <v>502668</v>
      </c>
      <c r="GB79">
        <f t="shared" si="277"/>
        <v>75000</v>
      </c>
      <c r="GC79">
        <f t="shared" ca="1" si="278"/>
        <v>427668</v>
      </c>
      <c r="GD79">
        <f t="shared" ca="1" si="279"/>
        <v>0</v>
      </c>
      <c r="GE79">
        <f t="shared" ca="1" si="280"/>
        <v>0</v>
      </c>
      <c r="GF79">
        <f t="shared" ca="1" si="281"/>
        <v>0</v>
      </c>
      <c r="GG79">
        <f t="shared" ca="1" si="282"/>
        <v>0</v>
      </c>
      <c r="GH79">
        <f t="shared" ca="1" si="283"/>
        <v>0</v>
      </c>
      <c r="GI79">
        <f t="shared" ca="1" si="284"/>
        <v>0</v>
      </c>
      <c r="GJ79">
        <f t="shared" ca="1" si="209"/>
        <v>0</v>
      </c>
      <c r="GK79">
        <f t="shared" ca="1" si="285"/>
        <v>0</v>
      </c>
      <c r="GL79">
        <f t="shared" ca="1" si="286"/>
        <v>0</v>
      </c>
      <c r="GM79">
        <f t="shared" ca="1" si="287"/>
        <v>0</v>
      </c>
      <c r="GN79">
        <f t="shared" ca="1" si="288"/>
        <v>27668</v>
      </c>
      <c r="GO79">
        <f t="shared" ca="1" si="289"/>
        <v>1383.4</v>
      </c>
      <c r="GP79">
        <f t="shared" ca="1" si="290"/>
        <v>1383</v>
      </c>
      <c r="GQ79">
        <f t="shared" ca="1" si="291"/>
        <v>0</v>
      </c>
      <c r="GR79">
        <f t="shared" ca="1" si="292"/>
        <v>0</v>
      </c>
      <c r="GS79">
        <f t="shared" ca="1" si="293"/>
        <v>1383</v>
      </c>
      <c r="GT79">
        <f t="shared" ca="1" si="294"/>
        <v>0</v>
      </c>
      <c r="GU79" t="b">
        <f t="shared" ca="1" si="295"/>
        <v>0</v>
      </c>
      <c r="GV79">
        <f t="shared" ca="1" si="296"/>
        <v>0</v>
      </c>
      <c r="GW79">
        <f t="shared" ca="1" si="297"/>
        <v>1383</v>
      </c>
      <c r="GX79">
        <f t="shared" ca="1" si="298"/>
        <v>0</v>
      </c>
      <c r="GY79">
        <f t="shared" ca="1" si="299"/>
        <v>0</v>
      </c>
      <c r="GZ79">
        <f t="shared" ca="1" si="300"/>
        <v>0</v>
      </c>
    </row>
    <row r="80" spans="1:208" x14ac:dyDescent="0.3">
      <c r="A80">
        <f>_xlfn.AGGREGATE(3,5,$B$2:B80)</f>
        <v>79</v>
      </c>
      <c r="B80" t="s">
        <v>275</v>
      </c>
      <c r="C80" t="s">
        <v>276</v>
      </c>
      <c r="D80" t="s">
        <v>769</v>
      </c>
      <c r="E80" t="s">
        <v>830</v>
      </c>
      <c r="F80" t="s">
        <v>956</v>
      </c>
      <c r="G80" t="s">
        <v>878</v>
      </c>
      <c r="H80">
        <f t="shared" si="210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1"/>
        <v>3780.0000000000005</v>
      </c>
      <c r="L80">
        <f t="shared" si="212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194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01"/>
        <v>150</v>
      </c>
      <c r="S80">
        <f t="shared" si="213"/>
        <v>32370</v>
      </c>
      <c r="T80">
        <f>_xlfn.XLOOKUP(B80,'[2]april-2025'!$A:$A,'[2]april-2025'!$C:$C,0,0)</f>
        <v>27000</v>
      </c>
      <c r="U80">
        <f t="shared" si="214"/>
        <v>4860</v>
      </c>
      <c r="V80">
        <f t="shared" si="215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16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17"/>
        <v>150</v>
      </c>
      <c r="AC80">
        <f t="shared" si="218"/>
        <v>33450</v>
      </c>
      <c r="AD80">
        <f>_xlfn.XLOOKUP(B80,'[3]may-2025'!$A:$A,'[3]may-2025'!$C:$C,0,0)</f>
        <v>31600</v>
      </c>
      <c r="AE80">
        <f t="shared" si="219"/>
        <v>5688</v>
      </c>
      <c r="AF80">
        <f t="shared" si="220"/>
        <v>3792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1"/>
        <v>41580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2"/>
        <v>200</v>
      </c>
      <c r="AM80">
        <f t="shared" si="223"/>
        <v>39380</v>
      </c>
      <c r="AN80">
        <f>_xlfn.XLOOKUP(B80,'[4]june-2025'!$A:$A,'[4]june-2025'!$C:$C,0,0)</f>
        <v>31600</v>
      </c>
      <c r="AO80">
        <f t="shared" si="224"/>
        <v>5688</v>
      </c>
      <c r="AP80">
        <f t="shared" si="225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26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27"/>
        <v>200</v>
      </c>
      <c r="AW80">
        <f t="shared" si="228"/>
        <v>39380</v>
      </c>
      <c r="AX80">
        <f>_xlfn.XLOOKUP(B80,'[5]july-2025'!$A:$A,'[5]july-2025'!$C:$C,0,0)</f>
        <v>32500</v>
      </c>
      <c r="AY80">
        <f t="shared" si="229"/>
        <v>5850</v>
      </c>
      <c r="AZ80">
        <v>0</v>
      </c>
      <c r="BA80">
        <f t="shared" si="230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195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1"/>
        <v>200</v>
      </c>
      <c r="BH80">
        <f t="shared" si="232"/>
        <v>40550</v>
      </c>
      <c r="BI80">
        <f>_xlfn.XLOOKUP(B80,'[6]august-2025'!$A:$A,'[6]august-2025'!$C:$C,0,0)</f>
        <v>32500</v>
      </c>
      <c r="BJ80">
        <f t="shared" si="233"/>
        <v>5850</v>
      </c>
      <c r="BK80">
        <f t="shared" si="234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35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196"/>
        <v>200</v>
      </c>
      <c r="BR80">
        <f t="shared" si="197"/>
        <v>40550</v>
      </c>
      <c r="BS80">
        <f>_xlfn.XLOOKUP(B80,'[7]september-2025'!$A:$A,'[7]september-2025'!$C:$C,0,0)</f>
        <v>32500</v>
      </c>
      <c r="BT80">
        <f t="shared" si="236"/>
        <v>5850</v>
      </c>
      <c r="BU80">
        <f t="shared" si="237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198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38"/>
        <v>200</v>
      </c>
      <c r="CB80">
        <f t="shared" si="239"/>
        <v>40550</v>
      </c>
      <c r="CC80">
        <f>_xlfn.XLOOKUP(B80,'[8]october-2025'!$A:$A,'[8]october-2025'!$C:$C,0,0)</f>
        <v>32500</v>
      </c>
      <c r="CD80">
        <f t="shared" si="240"/>
        <v>5850</v>
      </c>
      <c r="CE80">
        <f t="shared" si="241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199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42"/>
        <v>200</v>
      </c>
      <c r="CL80">
        <f t="shared" si="243"/>
        <v>40550</v>
      </c>
      <c r="CM80">
        <f>_xlfn.XLOOKUP(B80,'[9]november-2025'!$A:$A,'[9]november-2025'!$C:$C,0,0)</f>
        <v>32500</v>
      </c>
      <c r="CN80">
        <f t="shared" si="244"/>
        <v>5850</v>
      </c>
      <c r="CO80">
        <f t="shared" si="24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00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46"/>
        <v>200</v>
      </c>
      <c r="CV80">
        <f t="shared" si="247"/>
        <v>40550</v>
      </c>
      <c r="CW80">
        <f>_xlfn.XLOOKUP(B80,'[10]december-2025'!$A:$A,'[10]december-2025'!$C:$C,0,0)</f>
        <v>32500</v>
      </c>
      <c r="CX80">
        <f t="shared" si="248"/>
        <v>5850</v>
      </c>
      <c r="CY80">
        <f t="shared" si="249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0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50"/>
        <v>200</v>
      </c>
      <c r="DF80">
        <f t="shared" si="251"/>
        <v>40550</v>
      </c>
      <c r="DG80">
        <f>_xlfn.XLOOKUP(B80,'[11]january-2026'!$A:$A,'[11]january-2026'!$C:$C,0,0)</f>
        <v>32500</v>
      </c>
      <c r="DH80">
        <f t="shared" si="252"/>
        <v>5850</v>
      </c>
      <c r="DI80">
        <f t="shared" si="253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02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54"/>
        <v>200</v>
      </c>
      <c r="DP80">
        <f t="shared" si="255"/>
        <v>40550</v>
      </c>
      <c r="DQ80">
        <f>_xlfn.XLOOKUP(B80,'[12]february-2026'!$A:$A,'[12]february-2026'!$C:$C,0,0)</f>
        <v>32500</v>
      </c>
      <c r="DR80">
        <f t="shared" si="256"/>
        <v>5850</v>
      </c>
      <c r="DS80">
        <f t="shared" si="257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03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58"/>
        <v>200</v>
      </c>
      <c r="DZ80">
        <f t="shared" si="259"/>
        <v>40550</v>
      </c>
      <c r="EA80">
        <f>_xlfn.XLOOKUP(B80,'[1]march-2025'!$A:$A,'[1]march-2025'!$J:$J,0,0)</f>
        <v>0</v>
      </c>
      <c r="EB80">
        <f>_xlfn.XLOOKUP(B80,'[2]april-2025'!$A:$A,'[2]april-2025'!$J:$J,0,0)</f>
        <v>0</v>
      </c>
      <c r="EC80">
        <f>_xlfn.XLOOKUP(B80,'[3]may-2025'!$A:$A,'[3]may-2025'!$J:$J,0,0)</f>
        <v>0</v>
      </c>
      <c r="ED80">
        <f>_xlfn.XLOOKUP(B80,'[4]june-2025'!$A:$A,'[4]june-2025'!$J:$J,0,0)</f>
        <v>0</v>
      </c>
      <c r="EE80">
        <f>_xlfn.XLOOKUP(B80,'[5]july-2025'!$A:$A,'[5]july-2025'!$J:$J,0,0)</f>
        <v>0</v>
      </c>
      <c r="EF80">
        <f>_xlfn.XLOOKUP(B80,'[6]august-2025'!$A:$A,'[6]august-2025'!$J:$J,0,0)</f>
        <v>0</v>
      </c>
      <c r="EG80">
        <f>_xlfn.XLOOKUP(B80,'[7]september-2025'!$A:$A,'[7]september-2025'!$J:$J,0,0)</f>
        <v>0</v>
      </c>
      <c r="EH80">
        <f>_xlfn.XLOOKUP(B80,'[8]october-2025'!$A:$A,'[8]october-2025'!$J:$J,0,0)</f>
        <v>0</v>
      </c>
      <c r="EI80">
        <f>_xlfn.XLOOKUP(C80,'[9]november-2025'!$A:$A,'[9]november-2025'!$J:$J,0,0)</f>
        <v>0</v>
      </c>
      <c r="EJ80">
        <f>_xlfn.XLOOKUP(B80,'[10]december-2025'!$A:$A,'[10]december-2025'!$J:$J,0,0)</f>
        <v>0</v>
      </c>
      <c r="EK80">
        <f>_xlfn.XLOOKUP(B80,'[11]january-2026'!$A:$A,'[11]january-2026'!$J:$J,0,0)</f>
        <v>0</v>
      </c>
      <c r="EL80">
        <f>_xlfn.XLOOKUP(B80,'[12]february-2026'!$A:$A,'[12]february-2026'!$J:$J,0,0)</f>
        <v>0</v>
      </c>
      <c r="EM80">
        <f t="shared" si="260"/>
        <v>0</v>
      </c>
      <c r="EN80">
        <f t="shared" si="204"/>
        <v>502080</v>
      </c>
      <c r="EO80">
        <f t="shared" si="205"/>
        <v>2300</v>
      </c>
      <c r="EP80">
        <f t="shared" si="261"/>
        <v>50000</v>
      </c>
      <c r="EQ80">
        <v>0</v>
      </c>
      <c r="ER80">
        <f t="shared" si="262"/>
        <v>449780</v>
      </c>
      <c r="ES80">
        <f t="shared" si="206"/>
        <v>24000</v>
      </c>
      <c r="ET80">
        <f t="shared" si="207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263"/>
        <v>24000</v>
      </c>
      <c r="FF80">
        <f t="shared" si="264"/>
        <v>24000</v>
      </c>
      <c r="FG80">
        <f t="shared" si="265"/>
        <v>425780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208"/>
        <v>0</v>
      </c>
      <c r="FP80">
        <f t="shared" si="266"/>
        <v>425780</v>
      </c>
      <c r="FQ80">
        <f t="shared" si="267"/>
        <v>8789</v>
      </c>
      <c r="FR80">
        <f t="shared" si="268"/>
        <v>0</v>
      </c>
      <c r="FS80">
        <f t="shared" si="269"/>
        <v>8789</v>
      </c>
      <c r="FT80">
        <f t="shared" si="270"/>
        <v>0</v>
      </c>
      <c r="FU80">
        <f t="shared" si="271"/>
        <v>0</v>
      </c>
      <c r="FV80">
        <f t="shared" si="272"/>
        <v>0</v>
      </c>
      <c r="FW80">
        <v>0</v>
      </c>
      <c r="FX80">
        <f t="shared" si="273"/>
        <v>0</v>
      </c>
      <c r="FY80" t="b">
        <f t="shared" si="274"/>
        <v>1</v>
      </c>
      <c r="FZ80">
        <f t="shared" ca="1" si="275"/>
        <v>781</v>
      </c>
      <c r="GA80">
        <f t="shared" ca="1" si="276"/>
        <v>502861</v>
      </c>
      <c r="GB80">
        <f t="shared" si="277"/>
        <v>75000</v>
      </c>
      <c r="GC80">
        <f t="shared" ca="1" si="278"/>
        <v>427861</v>
      </c>
      <c r="GD80">
        <f t="shared" ca="1" si="279"/>
        <v>0</v>
      </c>
      <c r="GE80">
        <f t="shared" ca="1" si="280"/>
        <v>0</v>
      </c>
      <c r="GF80">
        <f t="shared" ca="1" si="281"/>
        <v>0</v>
      </c>
      <c r="GG80">
        <f t="shared" ca="1" si="282"/>
        <v>0</v>
      </c>
      <c r="GH80">
        <f t="shared" ca="1" si="283"/>
        <v>0</v>
      </c>
      <c r="GI80">
        <f t="shared" ca="1" si="284"/>
        <v>0</v>
      </c>
      <c r="GJ80">
        <f t="shared" ca="1" si="209"/>
        <v>0</v>
      </c>
      <c r="GK80">
        <f t="shared" ca="1" si="285"/>
        <v>0</v>
      </c>
      <c r="GL80">
        <f t="shared" ca="1" si="286"/>
        <v>0</v>
      </c>
      <c r="GM80">
        <f t="shared" ca="1" si="287"/>
        <v>0</v>
      </c>
      <c r="GN80">
        <f t="shared" ca="1" si="288"/>
        <v>27861</v>
      </c>
      <c r="GO80">
        <f t="shared" ca="1" si="289"/>
        <v>1393.0500000000002</v>
      </c>
      <c r="GP80">
        <f t="shared" ca="1" si="290"/>
        <v>1393</v>
      </c>
      <c r="GQ80">
        <f t="shared" ca="1" si="291"/>
        <v>0</v>
      </c>
      <c r="GR80">
        <f t="shared" ca="1" si="292"/>
        <v>0</v>
      </c>
      <c r="GS80">
        <f t="shared" ca="1" si="293"/>
        <v>1393</v>
      </c>
      <c r="GT80">
        <f t="shared" ca="1" si="294"/>
        <v>0</v>
      </c>
      <c r="GU80" t="b">
        <f t="shared" ca="1" si="295"/>
        <v>0</v>
      </c>
      <c r="GV80">
        <f t="shared" ca="1" si="296"/>
        <v>0</v>
      </c>
      <c r="GW80">
        <f t="shared" ca="1" si="297"/>
        <v>1393</v>
      </c>
      <c r="GX80">
        <f t="shared" ca="1" si="298"/>
        <v>0</v>
      </c>
      <c r="GY80">
        <f t="shared" ca="1" si="299"/>
        <v>0</v>
      </c>
      <c r="GZ80">
        <f t="shared" ca="1" si="300"/>
        <v>0</v>
      </c>
    </row>
    <row r="81" spans="1:208" x14ac:dyDescent="0.3">
      <c r="A81">
        <f>_xlfn.AGGREGATE(3,5,$B$2:B81)</f>
        <v>80</v>
      </c>
      <c r="B81" t="s">
        <v>277</v>
      </c>
      <c r="C81" t="s">
        <v>278</v>
      </c>
      <c r="D81" t="s">
        <v>769</v>
      </c>
      <c r="E81" t="s">
        <v>830</v>
      </c>
      <c r="F81" t="s">
        <v>956</v>
      </c>
      <c r="G81" t="s">
        <v>888</v>
      </c>
      <c r="H81">
        <f t="shared" si="210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1"/>
        <v>4046.0000000000005</v>
      </c>
      <c r="L81">
        <f t="shared" si="212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194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01"/>
        <v>150</v>
      </c>
      <c r="S81">
        <f t="shared" si="213"/>
        <v>34264</v>
      </c>
      <c r="T81">
        <f>_xlfn.XLOOKUP(B81,'[2]april-2025'!$A:$A,'[2]april-2025'!$C:$C,0,0)</f>
        <v>28900</v>
      </c>
      <c r="U81">
        <f t="shared" si="214"/>
        <v>5202</v>
      </c>
      <c r="V81">
        <f t="shared" si="215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16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17"/>
        <v>150</v>
      </c>
      <c r="AC81">
        <f t="shared" si="218"/>
        <v>35420</v>
      </c>
      <c r="AD81">
        <f>_xlfn.XLOOKUP(B81,'[3]may-2025'!$A:$A,'[3]may-2025'!$C:$C,0,0)</f>
        <v>28900</v>
      </c>
      <c r="AE81">
        <f t="shared" si="219"/>
        <v>5202</v>
      </c>
      <c r="AF81">
        <f t="shared" si="220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1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2"/>
        <v>150</v>
      </c>
      <c r="AM81">
        <f t="shared" si="223"/>
        <v>35420</v>
      </c>
      <c r="AN81">
        <f>_xlfn.XLOOKUP(B81,'[4]june-2025'!$A:$A,'[4]june-2025'!$C:$C,0,0)</f>
        <v>28900</v>
      </c>
      <c r="AO81">
        <f t="shared" si="224"/>
        <v>5202</v>
      </c>
      <c r="AP81">
        <f t="shared" si="225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26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27"/>
        <v>150</v>
      </c>
      <c r="AW81">
        <f t="shared" si="228"/>
        <v>35420</v>
      </c>
      <c r="AX81">
        <f>_xlfn.XLOOKUP(B81,'[5]july-2025'!$A:$A,'[5]july-2025'!$C:$C,0,0)</f>
        <v>29800</v>
      </c>
      <c r="AY81">
        <f t="shared" si="229"/>
        <v>5364</v>
      </c>
      <c r="AZ81">
        <v>0</v>
      </c>
      <c r="BA81">
        <f t="shared" si="230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195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1"/>
        <v>150</v>
      </c>
      <c r="BH81">
        <f t="shared" si="232"/>
        <v>36590</v>
      </c>
      <c r="BI81">
        <f>_xlfn.XLOOKUP(B81,'[6]august-2025'!$A:$A,'[6]august-2025'!$C:$C,0,0)</f>
        <v>29800</v>
      </c>
      <c r="BJ81">
        <f t="shared" si="233"/>
        <v>5364</v>
      </c>
      <c r="BK81">
        <f t="shared" si="234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35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196"/>
        <v>150</v>
      </c>
      <c r="BR81">
        <f t="shared" si="197"/>
        <v>36590</v>
      </c>
      <c r="BS81">
        <f>_xlfn.XLOOKUP(B81,'[7]september-2025'!$A:$A,'[7]september-2025'!$C:$C,0,0)</f>
        <v>29800</v>
      </c>
      <c r="BT81">
        <f t="shared" si="236"/>
        <v>5364</v>
      </c>
      <c r="BU81">
        <f t="shared" si="237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198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38"/>
        <v>150</v>
      </c>
      <c r="CB81">
        <f t="shared" si="239"/>
        <v>36590</v>
      </c>
      <c r="CC81">
        <f>_xlfn.XLOOKUP(B81,'[8]october-2025'!$A:$A,'[8]october-2025'!$C:$C,0,0)</f>
        <v>29800</v>
      </c>
      <c r="CD81">
        <f t="shared" si="240"/>
        <v>5364</v>
      </c>
      <c r="CE81">
        <f t="shared" si="241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199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42"/>
        <v>150</v>
      </c>
      <c r="CL81">
        <f t="shared" si="243"/>
        <v>36590</v>
      </c>
      <c r="CM81">
        <f>_xlfn.XLOOKUP(B81,'[9]november-2025'!$A:$A,'[9]november-2025'!$C:$C,0,0)</f>
        <v>29800</v>
      </c>
      <c r="CN81">
        <f t="shared" si="244"/>
        <v>5364</v>
      </c>
      <c r="CO81">
        <f t="shared" si="24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00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46"/>
        <v>150</v>
      </c>
      <c r="CV81">
        <f t="shared" si="247"/>
        <v>36590</v>
      </c>
      <c r="CW81">
        <f>_xlfn.XLOOKUP(B81,'[10]december-2025'!$A:$A,'[10]december-2025'!$C:$C,0,0)</f>
        <v>29800</v>
      </c>
      <c r="CX81">
        <f t="shared" si="248"/>
        <v>5364</v>
      </c>
      <c r="CY81">
        <f t="shared" si="249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0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50"/>
        <v>150</v>
      </c>
      <c r="DF81">
        <f t="shared" si="251"/>
        <v>36590</v>
      </c>
      <c r="DG81">
        <f>_xlfn.XLOOKUP(B81,'[11]january-2026'!$A:$A,'[11]january-2026'!$C:$C,0,0)</f>
        <v>29800</v>
      </c>
      <c r="DH81">
        <f t="shared" si="252"/>
        <v>5364</v>
      </c>
      <c r="DI81">
        <f t="shared" si="253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02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54"/>
        <v>150</v>
      </c>
      <c r="DP81">
        <f t="shared" si="255"/>
        <v>36590</v>
      </c>
      <c r="DQ81">
        <f>_xlfn.XLOOKUP(B81,'[12]february-2026'!$A:$A,'[12]february-2026'!$C:$C,0,0)</f>
        <v>29800</v>
      </c>
      <c r="DR81">
        <f t="shared" si="256"/>
        <v>5364</v>
      </c>
      <c r="DS81">
        <f t="shared" si="257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03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58"/>
        <v>150</v>
      </c>
      <c r="DZ81">
        <f t="shared" si="259"/>
        <v>36590</v>
      </c>
      <c r="EA81">
        <f>_xlfn.XLOOKUP(B81,'[1]march-2025'!$A:$A,'[1]march-2025'!$J:$J,0,0)</f>
        <v>0</v>
      </c>
      <c r="EB81">
        <f>_xlfn.XLOOKUP(B81,'[2]april-2025'!$A:$A,'[2]april-2025'!$J:$J,0,0)</f>
        <v>0</v>
      </c>
      <c r="EC81">
        <f>_xlfn.XLOOKUP(B81,'[3]may-2025'!$A:$A,'[3]may-2025'!$J:$J,0,0)</f>
        <v>60294</v>
      </c>
      <c r="ED81">
        <f>_xlfn.XLOOKUP(B81,'[4]june-2025'!$A:$A,'[4]june-2025'!$J:$J,0,0)</f>
        <v>0</v>
      </c>
      <c r="EE81">
        <f>_xlfn.XLOOKUP(B81,'[5]july-2025'!$A:$A,'[5]july-2025'!$J:$J,0,0)</f>
        <v>0</v>
      </c>
      <c r="EF81">
        <f>_xlfn.XLOOKUP(B81,'[6]august-2025'!$A:$A,'[6]august-2025'!$J:$J,0,0)</f>
        <v>0</v>
      </c>
      <c r="EG81">
        <f>_xlfn.XLOOKUP(B81,'[7]september-2025'!$A:$A,'[7]september-2025'!$J:$J,0,0)</f>
        <v>0</v>
      </c>
      <c r="EH81">
        <f>_xlfn.XLOOKUP(B81,'[8]october-2025'!$A:$A,'[8]october-2025'!$J:$J,0,0)</f>
        <v>0</v>
      </c>
      <c r="EI81">
        <f>_xlfn.XLOOKUP(C81,'[9]november-2025'!$A:$A,'[9]november-2025'!$J:$J,0,0)</f>
        <v>0</v>
      </c>
      <c r="EJ81">
        <f>_xlfn.XLOOKUP(B81,'[10]december-2025'!$A:$A,'[10]december-2025'!$J:$J,0,0)</f>
        <v>0</v>
      </c>
      <c r="EK81">
        <f>_xlfn.XLOOKUP(B81,'[11]january-2026'!$A:$A,'[11]january-2026'!$J:$J,0,0)</f>
        <v>0</v>
      </c>
      <c r="EL81">
        <f>_xlfn.XLOOKUP(B81,'[12]february-2026'!$A:$A,'[12]february-2026'!$J:$J,0,0)</f>
        <v>0</v>
      </c>
      <c r="EM81">
        <f t="shared" si="260"/>
        <v>60294</v>
      </c>
      <c r="EN81">
        <f t="shared" si="204"/>
        <v>465844</v>
      </c>
      <c r="EO81">
        <f t="shared" si="205"/>
        <v>1800</v>
      </c>
      <c r="EP81">
        <f t="shared" si="261"/>
        <v>50000</v>
      </c>
      <c r="EQ81">
        <v>0</v>
      </c>
      <c r="ER81">
        <f t="shared" si="262"/>
        <v>474338</v>
      </c>
      <c r="ES81">
        <f t="shared" si="206"/>
        <v>24000</v>
      </c>
      <c r="ET81">
        <f t="shared" si="207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263"/>
        <v>24000</v>
      </c>
      <c r="FF81">
        <f t="shared" si="264"/>
        <v>24000</v>
      </c>
      <c r="FG81">
        <f t="shared" si="265"/>
        <v>450338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208"/>
        <v>0</v>
      </c>
      <c r="FP81">
        <f t="shared" si="266"/>
        <v>450338</v>
      </c>
      <c r="FQ81">
        <f t="shared" si="267"/>
        <v>10017</v>
      </c>
      <c r="FR81">
        <f t="shared" si="268"/>
        <v>0</v>
      </c>
      <c r="FS81">
        <f t="shared" si="269"/>
        <v>10017</v>
      </c>
      <c r="FT81">
        <f t="shared" si="270"/>
        <v>0</v>
      </c>
      <c r="FU81">
        <f t="shared" si="271"/>
        <v>0</v>
      </c>
      <c r="FV81">
        <f t="shared" si="272"/>
        <v>0</v>
      </c>
      <c r="FW81">
        <v>0</v>
      </c>
      <c r="FX81">
        <f t="shared" si="273"/>
        <v>0</v>
      </c>
      <c r="FY81" t="b">
        <f t="shared" si="274"/>
        <v>0</v>
      </c>
      <c r="FZ81">
        <f t="shared" ca="1" si="275"/>
        <v>2905</v>
      </c>
      <c r="GA81">
        <f t="shared" ca="1" si="276"/>
        <v>468749</v>
      </c>
      <c r="GB81">
        <f t="shared" si="277"/>
        <v>75000</v>
      </c>
      <c r="GC81">
        <f t="shared" ca="1" si="278"/>
        <v>393749</v>
      </c>
      <c r="GD81">
        <f t="shared" ca="1" si="279"/>
        <v>0</v>
      </c>
      <c r="GE81">
        <f t="shared" ca="1" si="280"/>
        <v>0</v>
      </c>
      <c r="GF81">
        <f t="shared" ca="1" si="281"/>
        <v>0</v>
      </c>
      <c r="GG81">
        <f t="shared" ca="1" si="282"/>
        <v>0</v>
      </c>
      <c r="GH81">
        <f t="shared" ca="1" si="283"/>
        <v>0</v>
      </c>
      <c r="GI81">
        <f t="shared" ca="1" si="284"/>
        <v>0</v>
      </c>
      <c r="GJ81">
        <f t="shared" ca="1" si="209"/>
        <v>0</v>
      </c>
      <c r="GK81">
        <f t="shared" ca="1" si="285"/>
        <v>0</v>
      </c>
      <c r="GL81">
        <f t="shared" ca="1" si="286"/>
        <v>0</v>
      </c>
      <c r="GM81">
        <f t="shared" ca="1" si="287"/>
        <v>0</v>
      </c>
      <c r="GN81">
        <f t="shared" ca="1" si="288"/>
        <v>0</v>
      </c>
      <c r="GO81">
        <f t="shared" ca="1" si="289"/>
        <v>0</v>
      </c>
      <c r="GP81">
        <f t="shared" ca="1" si="290"/>
        <v>0</v>
      </c>
      <c r="GQ81">
        <f t="shared" ca="1" si="291"/>
        <v>0</v>
      </c>
      <c r="GR81">
        <f t="shared" ca="1" si="292"/>
        <v>0</v>
      </c>
      <c r="GS81">
        <f t="shared" ca="1" si="293"/>
        <v>0</v>
      </c>
      <c r="GT81">
        <f t="shared" ca="1" si="294"/>
        <v>0</v>
      </c>
      <c r="GU81" t="b">
        <f t="shared" ca="1" si="295"/>
        <v>0</v>
      </c>
      <c r="GV81">
        <f t="shared" ca="1" si="296"/>
        <v>0</v>
      </c>
      <c r="GW81">
        <f t="shared" ca="1" si="297"/>
        <v>0</v>
      </c>
      <c r="GX81">
        <f t="shared" ca="1" si="298"/>
        <v>0</v>
      </c>
      <c r="GY81">
        <f t="shared" ca="1" si="299"/>
        <v>0</v>
      </c>
      <c r="GZ81">
        <f t="shared" ca="1" si="300"/>
        <v>0</v>
      </c>
    </row>
    <row r="82" spans="1:208" x14ac:dyDescent="0.3">
      <c r="A82">
        <f>_xlfn.AGGREGATE(3,5,$B$2:B82)</f>
        <v>81</v>
      </c>
      <c r="B82" t="s">
        <v>279</v>
      </c>
      <c r="C82" t="s">
        <v>280</v>
      </c>
      <c r="D82" t="s">
        <v>770</v>
      </c>
      <c r="E82" t="s">
        <v>830</v>
      </c>
      <c r="F82" t="s">
        <v>956</v>
      </c>
      <c r="G82" t="s">
        <v>908</v>
      </c>
      <c r="H82">
        <f t="shared" si="210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1"/>
        <v>4690</v>
      </c>
      <c r="L82">
        <f t="shared" si="212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194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01"/>
        <v>200</v>
      </c>
      <c r="S82">
        <f t="shared" si="213"/>
        <v>40410</v>
      </c>
      <c r="T82">
        <f>_xlfn.XLOOKUP(B82,'[2]april-2025'!$A:$A,'[2]april-2025'!$C:$C,0,0)</f>
        <v>33500</v>
      </c>
      <c r="U82">
        <f t="shared" si="214"/>
        <v>6030</v>
      </c>
      <c r="V82">
        <f t="shared" si="215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16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17"/>
        <v>200</v>
      </c>
      <c r="AC82">
        <f t="shared" si="218"/>
        <v>41750</v>
      </c>
      <c r="AD82">
        <f>_xlfn.XLOOKUP(B82,'[3]may-2025'!$A:$A,'[3]may-2025'!$C:$C,0,0)</f>
        <v>33500</v>
      </c>
      <c r="AE82">
        <f t="shared" si="219"/>
        <v>6030</v>
      </c>
      <c r="AF82">
        <f t="shared" si="220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1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2"/>
        <v>200</v>
      </c>
      <c r="AM82">
        <f t="shared" si="223"/>
        <v>41750</v>
      </c>
      <c r="AN82">
        <f>_xlfn.XLOOKUP(B82,'[4]june-2025'!$A:$A,'[4]june-2025'!$C:$C,0,0)</f>
        <v>33500</v>
      </c>
      <c r="AO82">
        <f t="shared" si="224"/>
        <v>6030</v>
      </c>
      <c r="AP82">
        <f t="shared" si="225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26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27"/>
        <v>200</v>
      </c>
      <c r="AW82">
        <f t="shared" si="228"/>
        <v>41750</v>
      </c>
      <c r="AX82">
        <f>_xlfn.XLOOKUP(B82,'[5]july-2025'!$A:$A,'[5]july-2025'!$C:$C,0,0)</f>
        <v>35500</v>
      </c>
      <c r="AY82">
        <f t="shared" si="229"/>
        <v>6390</v>
      </c>
      <c r="AZ82">
        <v>0</v>
      </c>
      <c r="BA82">
        <f t="shared" si="230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195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1"/>
        <v>200</v>
      </c>
      <c r="BH82">
        <f t="shared" si="232"/>
        <v>44350</v>
      </c>
      <c r="BI82">
        <f>_xlfn.XLOOKUP(B82,'[6]august-2025'!$A:$A,'[6]august-2025'!$C:$C,0,0)</f>
        <v>35500</v>
      </c>
      <c r="BJ82">
        <f t="shared" si="233"/>
        <v>6390</v>
      </c>
      <c r="BK82">
        <f t="shared" si="234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35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196"/>
        <v>200</v>
      </c>
      <c r="BR82">
        <f t="shared" si="197"/>
        <v>44350</v>
      </c>
      <c r="BS82">
        <f>_xlfn.XLOOKUP(B82,'[7]september-2025'!$A:$A,'[7]september-2025'!$C:$C,0,0)</f>
        <v>35500</v>
      </c>
      <c r="BT82">
        <f t="shared" si="236"/>
        <v>6390</v>
      </c>
      <c r="BU82">
        <f t="shared" si="237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198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38"/>
        <v>200</v>
      </c>
      <c r="CB82">
        <f t="shared" si="239"/>
        <v>44350</v>
      </c>
      <c r="CC82">
        <f>_xlfn.XLOOKUP(B82,'[8]october-2025'!$A:$A,'[8]october-2025'!$C:$C,0,0)</f>
        <v>35500</v>
      </c>
      <c r="CD82">
        <f t="shared" si="240"/>
        <v>6390</v>
      </c>
      <c r="CE82">
        <f t="shared" si="241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199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42"/>
        <v>200</v>
      </c>
      <c r="CL82">
        <f t="shared" si="243"/>
        <v>44350</v>
      </c>
      <c r="CM82">
        <f>_xlfn.XLOOKUP(B82,'[9]november-2025'!$A:$A,'[9]november-2025'!$C:$C,0,0)</f>
        <v>35500</v>
      </c>
      <c r="CN82">
        <f t="shared" si="244"/>
        <v>6390</v>
      </c>
      <c r="CO82">
        <f t="shared" si="24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00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46"/>
        <v>200</v>
      </c>
      <c r="CV82">
        <f t="shared" si="247"/>
        <v>44350</v>
      </c>
      <c r="CW82">
        <f>_xlfn.XLOOKUP(B82,'[10]december-2025'!$A:$A,'[10]december-2025'!$C:$C,0,0)</f>
        <v>35500</v>
      </c>
      <c r="CX82">
        <f t="shared" si="248"/>
        <v>6390</v>
      </c>
      <c r="CY82">
        <f t="shared" si="249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0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50"/>
        <v>200</v>
      </c>
      <c r="DF82">
        <f t="shared" si="251"/>
        <v>44350</v>
      </c>
      <c r="DG82">
        <f>_xlfn.XLOOKUP(B82,'[11]january-2026'!$A:$A,'[11]january-2026'!$C:$C,0,0)</f>
        <v>35500</v>
      </c>
      <c r="DH82">
        <f t="shared" si="252"/>
        <v>6390</v>
      </c>
      <c r="DI82">
        <f t="shared" si="253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02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54"/>
        <v>200</v>
      </c>
      <c r="DP82">
        <f t="shared" si="255"/>
        <v>44350</v>
      </c>
      <c r="DQ82">
        <f>_xlfn.XLOOKUP(B82,'[12]february-2026'!$A:$A,'[12]february-2026'!$C:$C,0,0)</f>
        <v>35500</v>
      </c>
      <c r="DR82">
        <f t="shared" si="256"/>
        <v>6390</v>
      </c>
      <c r="DS82">
        <f t="shared" si="257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03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58"/>
        <v>200</v>
      </c>
      <c r="DZ82">
        <f t="shared" si="259"/>
        <v>44350</v>
      </c>
      <c r="EA82">
        <f>_xlfn.XLOOKUP(B82,'[1]march-2025'!$A:$A,'[1]march-2025'!$J:$J,0,0)</f>
        <v>0</v>
      </c>
      <c r="EB82">
        <f>_xlfn.XLOOKUP(B82,'[2]april-2025'!$A:$A,'[2]april-2025'!$J:$J,0,0)</f>
        <v>0</v>
      </c>
      <c r="EC82">
        <f>_xlfn.XLOOKUP(B82,'[3]may-2025'!$A:$A,'[3]may-2025'!$J:$J,0,0)</f>
        <v>0</v>
      </c>
      <c r="ED82">
        <f>_xlfn.XLOOKUP(B82,'[4]june-2025'!$A:$A,'[4]june-2025'!$J:$J,0,0)</f>
        <v>0</v>
      </c>
      <c r="EE82">
        <f>_xlfn.XLOOKUP(B82,'[5]july-2025'!$A:$A,'[5]july-2025'!$J:$J,0,0)</f>
        <v>0</v>
      </c>
      <c r="EF82">
        <f>_xlfn.XLOOKUP(B82,'[6]august-2025'!$A:$A,'[6]august-2025'!$J:$J,0,0)</f>
        <v>0</v>
      </c>
      <c r="EG82">
        <f>_xlfn.XLOOKUP(B82,'[7]september-2025'!$A:$A,'[7]september-2025'!$J:$J,0,0)</f>
        <v>0</v>
      </c>
      <c r="EH82">
        <f>_xlfn.XLOOKUP(B82,'[8]october-2025'!$A:$A,'[8]october-2025'!$J:$J,0,0)</f>
        <v>0</v>
      </c>
      <c r="EI82">
        <f>_xlfn.XLOOKUP(C82,'[9]november-2025'!$A:$A,'[9]november-2025'!$J:$J,0,0)</f>
        <v>0</v>
      </c>
      <c r="EJ82">
        <f>_xlfn.XLOOKUP(B82,'[10]december-2025'!$A:$A,'[10]december-2025'!$J:$J,0,0)</f>
        <v>0</v>
      </c>
      <c r="EK82">
        <f>_xlfn.XLOOKUP(B82,'[11]january-2026'!$A:$A,'[11]january-2026'!$J:$J,0,0)</f>
        <v>0</v>
      </c>
      <c r="EL82">
        <f>_xlfn.XLOOKUP(B82,'[12]february-2026'!$A:$A,'[12]february-2026'!$J:$J,0,0)</f>
        <v>0</v>
      </c>
      <c r="EM82">
        <f t="shared" si="260"/>
        <v>0</v>
      </c>
      <c r="EN82">
        <f t="shared" si="204"/>
        <v>559660</v>
      </c>
      <c r="EO82">
        <f t="shared" si="205"/>
        <v>2400</v>
      </c>
      <c r="EP82">
        <f t="shared" si="261"/>
        <v>50000</v>
      </c>
      <c r="EQ82">
        <v>0</v>
      </c>
      <c r="ER82">
        <f t="shared" si="262"/>
        <v>507260</v>
      </c>
      <c r="ES82">
        <f t="shared" si="206"/>
        <v>30000</v>
      </c>
      <c r="ET82">
        <f t="shared" si="207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263"/>
        <v>30000</v>
      </c>
      <c r="FF82">
        <f t="shared" si="264"/>
        <v>30000</v>
      </c>
      <c r="FG82">
        <f t="shared" si="265"/>
        <v>477260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208"/>
        <v>0</v>
      </c>
      <c r="FP82">
        <f t="shared" si="266"/>
        <v>477260</v>
      </c>
      <c r="FQ82">
        <f t="shared" si="267"/>
        <v>11363</v>
      </c>
      <c r="FR82">
        <f t="shared" si="268"/>
        <v>0</v>
      </c>
      <c r="FS82">
        <f t="shared" si="269"/>
        <v>11363</v>
      </c>
      <c r="FT82">
        <f t="shared" si="270"/>
        <v>0</v>
      </c>
      <c r="FU82">
        <f t="shared" si="271"/>
        <v>0</v>
      </c>
      <c r="FV82">
        <f t="shared" si="272"/>
        <v>0</v>
      </c>
      <c r="FW82">
        <v>0</v>
      </c>
      <c r="FX82">
        <f t="shared" si="273"/>
        <v>0</v>
      </c>
      <c r="FY82" t="b">
        <f t="shared" si="274"/>
        <v>1</v>
      </c>
      <c r="FZ82">
        <f t="shared" ca="1" si="275"/>
        <v>899</v>
      </c>
      <c r="GA82">
        <f t="shared" ca="1" si="276"/>
        <v>560559</v>
      </c>
      <c r="GB82">
        <f t="shared" si="277"/>
        <v>75000</v>
      </c>
      <c r="GC82">
        <f t="shared" ca="1" si="278"/>
        <v>485559</v>
      </c>
      <c r="GD82">
        <f t="shared" ca="1" si="279"/>
        <v>0</v>
      </c>
      <c r="GE82">
        <f t="shared" ca="1" si="280"/>
        <v>0</v>
      </c>
      <c r="GF82">
        <f t="shared" ca="1" si="281"/>
        <v>0</v>
      </c>
      <c r="GG82">
        <f t="shared" ca="1" si="282"/>
        <v>0</v>
      </c>
      <c r="GH82">
        <f t="shared" ca="1" si="283"/>
        <v>0</v>
      </c>
      <c r="GI82">
        <f t="shared" ca="1" si="284"/>
        <v>0</v>
      </c>
      <c r="GJ82">
        <f t="shared" ca="1" si="209"/>
        <v>0</v>
      </c>
      <c r="GK82">
        <f t="shared" ca="1" si="285"/>
        <v>0</v>
      </c>
      <c r="GL82">
        <f t="shared" ca="1" si="286"/>
        <v>0</v>
      </c>
      <c r="GM82">
        <f t="shared" ca="1" si="287"/>
        <v>0</v>
      </c>
      <c r="GN82">
        <f t="shared" ca="1" si="288"/>
        <v>85559</v>
      </c>
      <c r="GO82">
        <f t="shared" ca="1" si="289"/>
        <v>4277.95</v>
      </c>
      <c r="GP82">
        <f t="shared" ca="1" si="290"/>
        <v>4278</v>
      </c>
      <c r="GQ82">
        <f t="shared" ca="1" si="291"/>
        <v>0</v>
      </c>
      <c r="GR82">
        <f t="shared" ca="1" si="292"/>
        <v>0</v>
      </c>
      <c r="GS82">
        <f t="shared" ca="1" si="293"/>
        <v>4278</v>
      </c>
      <c r="GT82">
        <f t="shared" ca="1" si="294"/>
        <v>0</v>
      </c>
      <c r="GU82" t="b">
        <f t="shared" ca="1" si="295"/>
        <v>0</v>
      </c>
      <c r="GV82">
        <f t="shared" ca="1" si="296"/>
        <v>0</v>
      </c>
      <c r="GW82">
        <f t="shared" ca="1" si="297"/>
        <v>4278</v>
      </c>
      <c r="GX82">
        <f t="shared" ca="1" si="298"/>
        <v>0</v>
      </c>
      <c r="GY82">
        <f t="shared" ca="1" si="299"/>
        <v>0</v>
      </c>
      <c r="GZ82">
        <f t="shared" ca="1" si="300"/>
        <v>0</v>
      </c>
    </row>
    <row r="83" spans="1:208" x14ac:dyDescent="0.3">
      <c r="A83">
        <f>_xlfn.AGGREGATE(3,5,$B$2:B83)</f>
        <v>82</v>
      </c>
      <c r="B83" t="s">
        <v>281</v>
      </c>
      <c r="C83" t="s">
        <v>282</v>
      </c>
      <c r="D83" t="s">
        <v>770</v>
      </c>
      <c r="E83" t="s">
        <v>830</v>
      </c>
      <c r="F83" t="s">
        <v>956</v>
      </c>
      <c r="G83" t="s">
        <v>909</v>
      </c>
      <c r="H83">
        <f t="shared" si="210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1"/>
        <v>4690</v>
      </c>
      <c r="L83">
        <f t="shared" si="212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194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01"/>
        <v>200</v>
      </c>
      <c r="S83">
        <f t="shared" si="213"/>
        <v>39510</v>
      </c>
      <c r="T83">
        <f>_xlfn.XLOOKUP(B83,'[2]april-2025'!$A:$A,'[2]april-2025'!$C:$C,0,0)</f>
        <v>33500</v>
      </c>
      <c r="U83">
        <f t="shared" si="214"/>
        <v>6030</v>
      </c>
      <c r="V83">
        <f t="shared" si="215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16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17"/>
        <v>200</v>
      </c>
      <c r="AC83">
        <f t="shared" si="218"/>
        <v>40850</v>
      </c>
      <c r="AD83">
        <f>_xlfn.XLOOKUP(B83,'[3]may-2025'!$A:$A,'[3]may-2025'!$C:$C,0,0)</f>
        <v>33500</v>
      </c>
      <c r="AE83">
        <f t="shared" si="219"/>
        <v>6030</v>
      </c>
      <c r="AF83">
        <f t="shared" si="220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1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2"/>
        <v>200</v>
      </c>
      <c r="AM83">
        <f t="shared" si="223"/>
        <v>40850</v>
      </c>
      <c r="AN83">
        <f>_xlfn.XLOOKUP(B83,'[4]june-2025'!$A:$A,'[4]june-2025'!$C:$C,0,0)</f>
        <v>33500</v>
      </c>
      <c r="AO83">
        <f t="shared" si="224"/>
        <v>6030</v>
      </c>
      <c r="AP83">
        <f t="shared" si="225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26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27"/>
        <v>200</v>
      </c>
      <c r="AW83">
        <f t="shared" si="228"/>
        <v>40850</v>
      </c>
      <c r="AX83">
        <f>_xlfn.XLOOKUP(B83,'[5]july-2025'!$A:$A,'[5]july-2025'!$C:$C,0,0)</f>
        <v>34500</v>
      </c>
      <c r="AY83">
        <f t="shared" si="229"/>
        <v>6210</v>
      </c>
      <c r="AZ83">
        <v>0</v>
      </c>
      <c r="BA83">
        <f t="shared" si="230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195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1"/>
        <v>200</v>
      </c>
      <c r="BH83">
        <f t="shared" si="232"/>
        <v>42150</v>
      </c>
      <c r="BI83">
        <f>_xlfn.XLOOKUP(B83,'[6]august-2025'!$A:$A,'[6]august-2025'!$C:$C,0,0)</f>
        <v>34500</v>
      </c>
      <c r="BJ83">
        <f t="shared" si="233"/>
        <v>6210</v>
      </c>
      <c r="BK83">
        <f t="shared" si="234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35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196"/>
        <v>200</v>
      </c>
      <c r="BR83">
        <f t="shared" si="197"/>
        <v>42150</v>
      </c>
      <c r="BS83">
        <f>_xlfn.XLOOKUP(B83,'[7]september-2025'!$A:$A,'[7]september-2025'!$C:$C,0,0)</f>
        <v>34500</v>
      </c>
      <c r="BT83">
        <f t="shared" si="236"/>
        <v>6210</v>
      </c>
      <c r="BU83">
        <f t="shared" si="237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198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38"/>
        <v>200</v>
      </c>
      <c r="CB83">
        <f t="shared" si="239"/>
        <v>42150</v>
      </c>
      <c r="CC83">
        <f>_xlfn.XLOOKUP(B83,'[8]october-2025'!$A:$A,'[8]october-2025'!$C:$C,0,0)</f>
        <v>34500</v>
      </c>
      <c r="CD83">
        <f t="shared" si="240"/>
        <v>6210</v>
      </c>
      <c r="CE83">
        <f t="shared" si="241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199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42"/>
        <v>200</v>
      </c>
      <c r="CL83">
        <f t="shared" si="243"/>
        <v>42150</v>
      </c>
      <c r="CM83">
        <f>_xlfn.XLOOKUP(B83,'[9]november-2025'!$A:$A,'[9]november-2025'!$C:$C,0,0)</f>
        <v>34500</v>
      </c>
      <c r="CN83">
        <f t="shared" si="244"/>
        <v>6210</v>
      </c>
      <c r="CO83">
        <f t="shared" si="24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00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46"/>
        <v>200</v>
      </c>
      <c r="CV83">
        <f t="shared" si="247"/>
        <v>42150</v>
      </c>
      <c r="CW83">
        <f>_xlfn.XLOOKUP(B83,'[10]december-2025'!$A:$A,'[10]december-2025'!$C:$C,0,0)</f>
        <v>34500</v>
      </c>
      <c r="CX83">
        <f t="shared" si="248"/>
        <v>6210</v>
      </c>
      <c r="CY83">
        <f t="shared" si="249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0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50"/>
        <v>200</v>
      </c>
      <c r="DF83">
        <f t="shared" si="251"/>
        <v>42150</v>
      </c>
      <c r="DG83">
        <f>_xlfn.XLOOKUP(B83,'[11]january-2026'!$A:$A,'[11]january-2026'!$C:$C,0,0)</f>
        <v>34500</v>
      </c>
      <c r="DH83">
        <f t="shared" si="252"/>
        <v>6210</v>
      </c>
      <c r="DI83">
        <f t="shared" si="253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02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54"/>
        <v>200</v>
      </c>
      <c r="DP83">
        <f t="shared" si="255"/>
        <v>42150</v>
      </c>
      <c r="DQ83">
        <f>_xlfn.XLOOKUP(B83,'[12]february-2026'!$A:$A,'[12]february-2026'!$C:$C,0,0)</f>
        <v>34500</v>
      </c>
      <c r="DR83">
        <f t="shared" si="256"/>
        <v>6210</v>
      </c>
      <c r="DS83">
        <f t="shared" si="257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03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58"/>
        <v>200</v>
      </c>
      <c r="DZ83">
        <f t="shared" si="259"/>
        <v>42150</v>
      </c>
      <c r="EA83">
        <f>_xlfn.XLOOKUP(B83,'[1]march-2025'!$A:$A,'[1]march-2025'!$J:$J,0,0)</f>
        <v>0</v>
      </c>
      <c r="EB83">
        <f>_xlfn.XLOOKUP(B83,'[2]april-2025'!$A:$A,'[2]april-2025'!$J:$J,0,0)</f>
        <v>0</v>
      </c>
      <c r="EC83">
        <f>_xlfn.XLOOKUP(B83,'[3]may-2025'!$A:$A,'[3]may-2025'!$J:$J,0,0)</f>
        <v>0</v>
      </c>
      <c r="ED83">
        <f>_xlfn.XLOOKUP(B83,'[4]june-2025'!$A:$A,'[4]june-2025'!$J:$J,0,0)</f>
        <v>0</v>
      </c>
      <c r="EE83">
        <f>_xlfn.XLOOKUP(B83,'[5]july-2025'!$A:$A,'[5]july-2025'!$J:$J,0,0)</f>
        <v>0</v>
      </c>
      <c r="EF83">
        <f>_xlfn.XLOOKUP(B83,'[6]august-2025'!$A:$A,'[6]august-2025'!$J:$J,0,0)</f>
        <v>0</v>
      </c>
      <c r="EG83">
        <f>_xlfn.XLOOKUP(B83,'[7]september-2025'!$A:$A,'[7]september-2025'!$J:$J,0,0)</f>
        <v>0</v>
      </c>
      <c r="EH83">
        <f>_xlfn.XLOOKUP(B83,'[8]october-2025'!$A:$A,'[8]october-2025'!$J:$J,0,0)</f>
        <v>0</v>
      </c>
      <c r="EI83">
        <f>_xlfn.XLOOKUP(C83,'[9]november-2025'!$A:$A,'[9]november-2025'!$J:$J,0,0)</f>
        <v>0</v>
      </c>
      <c r="EJ83">
        <f>_xlfn.XLOOKUP(B83,'[10]december-2025'!$A:$A,'[10]december-2025'!$J:$J,0,0)</f>
        <v>0</v>
      </c>
      <c r="EK83">
        <f>_xlfn.XLOOKUP(B83,'[11]january-2026'!$A:$A,'[11]january-2026'!$J:$J,0,0)</f>
        <v>0</v>
      </c>
      <c r="EL83">
        <f>_xlfn.XLOOKUP(B83,'[12]february-2026'!$A:$A,'[12]february-2026'!$J:$J,0,0)</f>
        <v>0</v>
      </c>
      <c r="EM83">
        <f t="shared" si="260"/>
        <v>0</v>
      </c>
      <c r="EN83">
        <f t="shared" si="204"/>
        <v>538460</v>
      </c>
      <c r="EO83">
        <f t="shared" si="205"/>
        <v>2400</v>
      </c>
      <c r="EP83">
        <f t="shared" si="261"/>
        <v>50000</v>
      </c>
      <c r="EQ83">
        <v>0</v>
      </c>
      <c r="ER83">
        <f t="shared" si="262"/>
        <v>486060</v>
      </c>
      <c r="ES83">
        <f t="shared" si="206"/>
        <v>30000</v>
      </c>
      <c r="ET83">
        <f t="shared" si="207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263"/>
        <v>30000</v>
      </c>
      <c r="FF83">
        <f t="shared" si="264"/>
        <v>30000</v>
      </c>
      <c r="FG83">
        <f t="shared" si="265"/>
        <v>456060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208"/>
        <v>0</v>
      </c>
      <c r="FP83">
        <f t="shared" si="266"/>
        <v>456060</v>
      </c>
      <c r="FQ83">
        <f t="shared" si="267"/>
        <v>10303</v>
      </c>
      <c r="FR83">
        <f t="shared" si="268"/>
        <v>0</v>
      </c>
      <c r="FS83">
        <f t="shared" si="269"/>
        <v>10303</v>
      </c>
      <c r="FT83">
        <f t="shared" si="270"/>
        <v>0</v>
      </c>
      <c r="FU83">
        <f t="shared" si="271"/>
        <v>0</v>
      </c>
      <c r="FV83">
        <f t="shared" si="272"/>
        <v>0</v>
      </c>
      <c r="FW83">
        <v>0</v>
      </c>
      <c r="FX83">
        <f t="shared" si="273"/>
        <v>0</v>
      </c>
      <c r="FY83" t="b">
        <f t="shared" si="274"/>
        <v>1</v>
      </c>
      <c r="FZ83">
        <f t="shared" ca="1" si="275"/>
        <v>590</v>
      </c>
      <c r="GA83">
        <f t="shared" ca="1" si="276"/>
        <v>539050</v>
      </c>
      <c r="GB83">
        <f t="shared" si="277"/>
        <v>75000</v>
      </c>
      <c r="GC83">
        <f t="shared" ca="1" si="278"/>
        <v>464050</v>
      </c>
      <c r="GD83">
        <f t="shared" ca="1" si="279"/>
        <v>0</v>
      </c>
      <c r="GE83">
        <f t="shared" ca="1" si="280"/>
        <v>0</v>
      </c>
      <c r="GF83">
        <f t="shared" ca="1" si="281"/>
        <v>0</v>
      </c>
      <c r="GG83">
        <f t="shared" ca="1" si="282"/>
        <v>0</v>
      </c>
      <c r="GH83">
        <f t="shared" ca="1" si="283"/>
        <v>0</v>
      </c>
      <c r="GI83">
        <f t="shared" ca="1" si="284"/>
        <v>0</v>
      </c>
      <c r="GJ83">
        <f t="shared" ca="1" si="209"/>
        <v>0</v>
      </c>
      <c r="GK83">
        <f t="shared" ca="1" si="285"/>
        <v>0</v>
      </c>
      <c r="GL83">
        <f t="shared" ca="1" si="286"/>
        <v>0</v>
      </c>
      <c r="GM83">
        <f t="shared" ca="1" si="287"/>
        <v>0</v>
      </c>
      <c r="GN83">
        <f t="shared" ca="1" si="288"/>
        <v>64050</v>
      </c>
      <c r="GO83">
        <f t="shared" ca="1" si="289"/>
        <v>3202.5</v>
      </c>
      <c r="GP83">
        <f t="shared" ca="1" si="290"/>
        <v>3203</v>
      </c>
      <c r="GQ83">
        <f t="shared" ca="1" si="291"/>
        <v>0</v>
      </c>
      <c r="GR83">
        <f t="shared" ca="1" si="292"/>
        <v>0</v>
      </c>
      <c r="GS83">
        <f t="shared" ca="1" si="293"/>
        <v>3203</v>
      </c>
      <c r="GT83">
        <f t="shared" ca="1" si="294"/>
        <v>0</v>
      </c>
      <c r="GU83" t="b">
        <f t="shared" ca="1" si="295"/>
        <v>0</v>
      </c>
      <c r="GV83">
        <f t="shared" ca="1" si="296"/>
        <v>0</v>
      </c>
      <c r="GW83">
        <f t="shared" ca="1" si="297"/>
        <v>3203</v>
      </c>
      <c r="GX83">
        <f t="shared" ca="1" si="298"/>
        <v>0</v>
      </c>
      <c r="GY83">
        <f t="shared" ca="1" si="299"/>
        <v>0</v>
      </c>
      <c r="GZ83">
        <f t="shared" ca="1" si="300"/>
        <v>0</v>
      </c>
    </row>
    <row r="84" spans="1:208" x14ac:dyDescent="0.3">
      <c r="A84">
        <f>_xlfn.AGGREGATE(3,5,$B$2:B84)</f>
        <v>83</v>
      </c>
      <c r="B84" t="s">
        <v>283</v>
      </c>
      <c r="C84" t="s">
        <v>284</v>
      </c>
      <c r="D84" t="s">
        <v>771</v>
      </c>
      <c r="E84" t="s">
        <v>830</v>
      </c>
      <c r="F84" t="s">
        <v>956</v>
      </c>
      <c r="G84" t="s">
        <v>910</v>
      </c>
      <c r="H84">
        <f t="shared" si="210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1"/>
        <v>4690</v>
      </c>
      <c r="L84">
        <f t="shared" si="212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194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01"/>
        <v>200</v>
      </c>
      <c r="S84">
        <f t="shared" si="213"/>
        <v>39410</v>
      </c>
      <c r="T84">
        <f>_xlfn.XLOOKUP(B84,'[2]april-2025'!$A:$A,'[2]april-2025'!$C:$C,0,0)</f>
        <v>33500</v>
      </c>
      <c r="U84">
        <f t="shared" si="214"/>
        <v>6030</v>
      </c>
      <c r="V84">
        <f t="shared" si="215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16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17"/>
        <v>200</v>
      </c>
      <c r="AC84">
        <f t="shared" si="218"/>
        <v>41250</v>
      </c>
      <c r="AD84">
        <f>_xlfn.XLOOKUP(B84,'[3]may-2025'!$A:$A,'[3]may-2025'!$C:$C,0,0)</f>
        <v>33500</v>
      </c>
      <c r="AE84">
        <f t="shared" si="219"/>
        <v>6030</v>
      </c>
      <c r="AF84">
        <f t="shared" si="220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1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2"/>
        <v>200</v>
      </c>
      <c r="AM84">
        <f t="shared" si="223"/>
        <v>41250</v>
      </c>
      <c r="AN84">
        <f>_xlfn.XLOOKUP(B84,'[4]june-2025'!$A:$A,'[4]june-2025'!$C:$C,0,0)</f>
        <v>33500</v>
      </c>
      <c r="AO84">
        <f t="shared" si="224"/>
        <v>6030</v>
      </c>
      <c r="AP84">
        <f t="shared" si="225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26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27"/>
        <v>200</v>
      </c>
      <c r="AW84">
        <f t="shared" si="228"/>
        <v>41250</v>
      </c>
      <c r="AX84">
        <f>_xlfn.XLOOKUP(B84,'[5]july-2025'!$A:$A,'[5]july-2025'!$C:$C,0,0)</f>
        <v>34500</v>
      </c>
      <c r="AY84">
        <f t="shared" si="229"/>
        <v>6210</v>
      </c>
      <c r="AZ84">
        <v>0</v>
      </c>
      <c r="BA84">
        <f t="shared" si="230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195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1"/>
        <v>200</v>
      </c>
      <c r="BH84">
        <f t="shared" si="232"/>
        <v>42550</v>
      </c>
      <c r="BI84">
        <f>_xlfn.XLOOKUP(B84,'[6]august-2025'!$A:$A,'[6]august-2025'!$C:$C,0,0)</f>
        <v>34500</v>
      </c>
      <c r="BJ84">
        <f t="shared" si="233"/>
        <v>6210</v>
      </c>
      <c r="BK84">
        <f t="shared" si="234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35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196"/>
        <v>200</v>
      </c>
      <c r="BR84">
        <f t="shared" si="197"/>
        <v>42550</v>
      </c>
      <c r="BS84">
        <f>_xlfn.XLOOKUP(B84,'[7]september-2025'!$A:$A,'[7]september-2025'!$C:$C,0,0)</f>
        <v>34500</v>
      </c>
      <c r="BT84">
        <f t="shared" si="236"/>
        <v>6210</v>
      </c>
      <c r="BU84">
        <f t="shared" si="237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198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38"/>
        <v>200</v>
      </c>
      <c r="CB84">
        <f t="shared" si="239"/>
        <v>42550</v>
      </c>
      <c r="CC84">
        <f>_xlfn.XLOOKUP(B84,'[8]october-2025'!$A:$A,'[8]october-2025'!$C:$C,0,0)</f>
        <v>34500</v>
      </c>
      <c r="CD84">
        <f t="shared" si="240"/>
        <v>6210</v>
      </c>
      <c r="CE84">
        <f t="shared" si="241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199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42"/>
        <v>200</v>
      </c>
      <c r="CL84">
        <f t="shared" si="243"/>
        <v>42550</v>
      </c>
      <c r="CM84">
        <f>_xlfn.XLOOKUP(B84,'[9]november-2025'!$A:$A,'[9]november-2025'!$C:$C,0,0)</f>
        <v>34500</v>
      </c>
      <c r="CN84">
        <f t="shared" si="244"/>
        <v>6210</v>
      </c>
      <c r="CO84">
        <f t="shared" si="24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00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46"/>
        <v>200</v>
      </c>
      <c r="CV84">
        <f t="shared" si="247"/>
        <v>42550</v>
      </c>
      <c r="CW84">
        <f>_xlfn.XLOOKUP(B84,'[10]december-2025'!$A:$A,'[10]december-2025'!$C:$C,0,0)</f>
        <v>34500</v>
      </c>
      <c r="CX84">
        <f t="shared" si="248"/>
        <v>6210</v>
      </c>
      <c r="CY84">
        <f t="shared" si="249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0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50"/>
        <v>200</v>
      </c>
      <c r="DF84">
        <f t="shared" si="251"/>
        <v>42550</v>
      </c>
      <c r="DG84">
        <f>_xlfn.XLOOKUP(B84,'[11]january-2026'!$A:$A,'[11]january-2026'!$C:$C,0,0)</f>
        <v>34500</v>
      </c>
      <c r="DH84">
        <f t="shared" si="252"/>
        <v>6210</v>
      </c>
      <c r="DI84">
        <f t="shared" si="253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02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54"/>
        <v>200</v>
      </c>
      <c r="DP84">
        <f t="shared" si="255"/>
        <v>42550</v>
      </c>
      <c r="DQ84">
        <f>_xlfn.XLOOKUP(B84,'[12]february-2026'!$A:$A,'[12]february-2026'!$C:$C,0,0)</f>
        <v>34500</v>
      </c>
      <c r="DR84">
        <f t="shared" si="256"/>
        <v>6210</v>
      </c>
      <c r="DS84">
        <f t="shared" si="257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03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58"/>
        <v>200</v>
      </c>
      <c r="DZ84">
        <f t="shared" si="259"/>
        <v>42550</v>
      </c>
      <c r="EA84">
        <f>_xlfn.XLOOKUP(B84,'[1]march-2025'!$A:$A,'[1]march-2025'!$J:$J,0,0)</f>
        <v>0</v>
      </c>
      <c r="EB84">
        <f>_xlfn.XLOOKUP(B84,'[2]april-2025'!$A:$A,'[2]april-2025'!$J:$J,0,0)</f>
        <v>0</v>
      </c>
      <c r="EC84">
        <f>_xlfn.XLOOKUP(B84,'[3]may-2025'!$A:$A,'[3]may-2025'!$J:$J,0,0)</f>
        <v>0</v>
      </c>
      <c r="ED84">
        <f>_xlfn.XLOOKUP(B84,'[4]june-2025'!$A:$A,'[4]june-2025'!$J:$J,0,0)</f>
        <v>0</v>
      </c>
      <c r="EE84">
        <f>_xlfn.XLOOKUP(B84,'[5]july-2025'!$A:$A,'[5]july-2025'!$J:$J,0,0)</f>
        <v>0</v>
      </c>
      <c r="EF84">
        <f>_xlfn.XLOOKUP(B84,'[6]august-2025'!$A:$A,'[6]august-2025'!$J:$J,0,0)</f>
        <v>0</v>
      </c>
      <c r="EG84">
        <f>_xlfn.XLOOKUP(B84,'[7]september-2025'!$A:$A,'[7]september-2025'!$J:$J,0,0)</f>
        <v>0</v>
      </c>
      <c r="EH84">
        <f>_xlfn.XLOOKUP(B84,'[8]october-2025'!$A:$A,'[8]october-2025'!$J:$J,0,0)</f>
        <v>0</v>
      </c>
      <c r="EI84">
        <f>_xlfn.XLOOKUP(C84,'[9]november-2025'!$A:$A,'[9]november-2025'!$J:$J,0,0)</f>
        <v>0</v>
      </c>
      <c r="EJ84">
        <f>_xlfn.XLOOKUP(B84,'[10]december-2025'!$A:$A,'[10]december-2025'!$J:$J,0,0)</f>
        <v>0</v>
      </c>
      <c r="EK84">
        <f>_xlfn.XLOOKUP(B84,'[11]january-2026'!$A:$A,'[11]january-2026'!$J:$J,0,0)</f>
        <v>0</v>
      </c>
      <c r="EL84">
        <f>_xlfn.XLOOKUP(B84,'[12]february-2026'!$A:$A,'[12]february-2026'!$J:$J,0,0)</f>
        <v>0</v>
      </c>
      <c r="EM84">
        <f t="shared" si="260"/>
        <v>0</v>
      </c>
      <c r="EN84">
        <f t="shared" si="204"/>
        <v>548760</v>
      </c>
      <c r="EO84">
        <f t="shared" si="205"/>
        <v>2400</v>
      </c>
      <c r="EP84">
        <f t="shared" si="261"/>
        <v>50000</v>
      </c>
      <c r="EQ84">
        <v>0</v>
      </c>
      <c r="ER84">
        <f t="shared" si="262"/>
        <v>496360</v>
      </c>
      <c r="ES84">
        <f t="shared" si="206"/>
        <v>36000</v>
      </c>
      <c r="ET84">
        <f t="shared" si="207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263"/>
        <v>36000</v>
      </c>
      <c r="FF84">
        <f t="shared" si="264"/>
        <v>36000</v>
      </c>
      <c r="FG84">
        <f t="shared" si="265"/>
        <v>460360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208"/>
        <v>0</v>
      </c>
      <c r="FP84">
        <f t="shared" si="266"/>
        <v>460360</v>
      </c>
      <c r="FQ84">
        <f t="shared" si="267"/>
        <v>10518</v>
      </c>
      <c r="FR84">
        <f t="shared" si="268"/>
        <v>0</v>
      </c>
      <c r="FS84">
        <f t="shared" si="269"/>
        <v>10518</v>
      </c>
      <c r="FT84">
        <f t="shared" si="270"/>
        <v>0</v>
      </c>
      <c r="FU84">
        <f t="shared" si="271"/>
        <v>0</v>
      </c>
      <c r="FV84">
        <f t="shared" si="272"/>
        <v>0</v>
      </c>
      <c r="FW84">
        <v>0</v>
      </c>
      <c r="FX84">
        <f t="shared" si="273"/>
        <v>0</v>
      </c>
      <c r="FY84" t="b">
        <f t="shared" si="274"/>
        <v>1</v>
      </c>
      <c r="FZ84">
        <f t="shared" ca="1" si="275"/>
        <v>562</v>
      </c>
      <c r="GA84">
        <f t="shared" ca="1" si="276"/>
        <v>549322</v>
      </c>
      <c r="GB84">
        <f t="shared" si="277"/>
        <v>75000</v>
      </c>
      <c r="GC84">
        <f t="shared" ca="1" si="278"/>
        <v>474322</v>
      </c>
      <c r="GD84">
        <f t="shared" ca="1" si="279"/>
        <v>0</v>
      </c>
      <c r="GE84">
        <f t="shared" ca="1" si="280"/>
        <v>0</v>
      </c>
      <c r="GF84">
        <f t="shared" ca="1" si="281"/>
        <v>0</v>
      </c>
      <c r="GG84">
        <f t="shared" ca="1" si="282"/>
        <v>0</v>
      </c>
      <c r="GH84">
        <f t="shared" ca="1" si="283"/>
        <v>0</v>
      </c>
      <c r="GI84">
        <f t="shared" ca="1" si="284"/>
        <v>0</v>
      </c>
      <c r="GJ84">
        <f t="shared" ca="1" si="209"/>
        <v>0</v>
      </c>
      <c r="GK84">
        <f t="shared" ca="1" si="285"/>
        <v>0</v>
      </c>
      <c r="GL84">
        <f t="shared" ca="1" si="286"/>
        <v>0</v>
      </c>
      <c r="GM84">
        <f t="shared" ca="1" si="287"/>
        <v>0</v>
      </c>
      <c r="GN84">
        <f t="shared" ca="1" si="288"/>
        <v>74322</v>
      </c>
      <c r="GO84">
        <f t="shared" ca="1" si="289"/>
        <v>3716.1000000000004</v>
      </c>
      <c r="GP84">
        <f t="shared" ca="1" si="290"/>
        <v>3716</v>
      </c>
      <c r="GQ84">
        <f t="shared" ca="1" si="291"/>
        <v>0</v>
      </c>
      <c r="GR84">
        <f t="shared" ca="1" si="292"/>
        <v>0</v>
      </c>
      <c r="GS84">
        <f t="shared" ca="1" si="293"/>
        <v>3716</v>
      </c>
      <c r="GT84">
        <f t="shared" ca="1" si="294"/>
        <v>0</v>
      </c>
      <c r="GU84" t="b">
        <f t="shared" ca="1" si="295"/>
        <v>0</v>
      </c>
      <c r="GV84">
        <f t="shared" ca="1" si="296"/>
        <v>0</v>
      </c>
      <c r="GW84">
        <f t="shared" ca="1" si="297"/>
        <v>3716</v>
      </c>
      <c r="GX84">
        <f t="shared" ca="1" si="298"/>
        <v>0</v>
      </c>
      <c r="GY84">
        <f t="shared" ca="1" si="299"/>
        <v>0</v>
      </c>
      <c r="GZ84">
        <f t="shared" ca="1" si="300"/>
        <v>0</v>
      </c>
    </row>
    <row r="85" spans="1:208" x14ac:dyDescent="0.3">
      <c r="A85">
        <f>_xlfn.AGGREGATE(3,5,$B$2:B85)</f>
        <v>84</v>
      </c>
      <c r="B85" t="s">
        <v>285</v>
      </c>
      <c r="C85" t="s">
        <v>286</v>
      </c>
      <c r="D85" t="s">
        <v>771</v>
      </c>
      <c r="E85" t="s">
        <v>830</v>
      </c>
      <c r="F85" t="s">
        <v>956</v>
      </c>
      <c r="G85" t="s">
        <v>911</v>
      </c>
      <c r="H85">
        <f t="shared" si="210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1"/>
        <v>4172</v>
      </c>
      <c r="L85">
        <f t="shared" si="212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194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01"/>
        <v>150</v>
      </c>
      <c r="S85">
        <f t="shared" si="213"/>
        <v>35898</v>
      </c>
      <c r="T85">
        <f>_xlfn.XLOOKUP(B85,'[2]april-2025'!$A:$A,'[2]april-2025'!$C:$C,0,0)</f>
        <v>29800</v>
      </c>
      <c r="U85">
        <f t="shared" si="214"/>
        <v>5364</v>
      </c>
      <c r="V85">
        <f t="shared" si="215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16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17"/>
        <v>150</v>
      </c>
      <c r="AC85">
        <f t="shared" si="218"/>
        <v>37090</v>
      </c>
      <c r="AD85">
        <f>_xlfn.XLOOKUP(B85,'[3]may-2025'!$A:$A,'[3]may-2025'!$C:$C,0,0)</f>
        <v>29800</v>
      </c>
      <c r="AE85">
        <f t="shared" si="219"/>
        <v>5364</v>
      </c>
      <c r="AF85">
        <f t="shared" si="220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1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2"/>
        <v>150</v>
      </c>
      <c r="AM85">
        <f t="shared" si="223"/>
        <v>37090</v>
      </c>
      <c r="AN85">
        <f>_xlfn.XLOOKUP(B85,'[4]june-2025'!$A:$A,'[4]june-2025'!$C:$C,0,0)</f>
        <v>29800</v>
      </c>
      <c r="AO85">
        <f t="shared" si="224"/>
        <v>5364</v>
      </c>
      <c r="AP85">
        <f t="shared" si="225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26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27"/>
        <v>150</v>
      </c>
      <c r="AW85">
        <f t="shared" si="228"/>
        <v>37090</v>
      </c>
      <c r="AX85">
        <f>_xlfn.XLOOKUP(B85,'[5]july-2025'!$A:$A,'[5]july-2025'!$C:$C,0,0)</f>
        <v>30700</v>
      </c>
      <c r="AY85">
        <f t="shared" si="229"/>
        <v>5526</v>
      </c>
      <c r="AZ85">
        <v>0</v>
      </c>
      <c r="BA85">
        <f t="shared" si="230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195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1"/>
        <v>200</v>
      </c>
      <c r="BH85">
        <f t="shared" si="232"/>
        <v>38210</v>
      </c>
      <c r="BI85">
        <f>_xlfn.XLOOKUP(B85,'[6]august-2025'!$A:$A,'[6]august-2025'!$C:$C,0,0)</f>
        <v>30700</v>
      </c>
      <c r="BJ85">
        <f t="shared" si="233"/>
        <v>5526</v>
      </c>
      <c r="BK85">
        <f t="shared" si="234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35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196"/>
        <v>200</v>
      </c>
      <c r="BR85">
        <f t="shared" si="197"/>
        <v>38210</v>
      </c>
      <c r="BS85">
        <f>_xlfn.XLOOKUP(B85,'[7]september-2025'!$A:$A,'[7]september-2025'!$C:$C,0,0)</f>
        <v>30700</v>
      </c>
      <c r="BT85">
        <f t="shared" si="236"/>
        <v>5526</v>
      </c>
      <c r="BU85">
        <f t="shared" si="237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198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38"/>
        <v>200</v>
      </c>
      <c r="CB85">
        <f t="shared" si="239"/>
        <v>38210</v>
      </c>
      <c r="CC85">
        <f>_xlfn.XLOOKUP(B85,'[8]october-2025'!$A:$A,'[8]october-2025'!$C:$C,0,0)</f>
        <v>30700</v>
      </c>
      <c r="CD85">
        <f t="shared" si="240"/>
        <v>5526</v>
      </c>
      <c r="CE85">
        <f t="shared" si="241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199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42"/>
        <v>200</v>
      </c>
      <c r="CL85">
        <f t="shared" si="243"/>
        <v>38210</v>
      </c>
      <c r="CM85">
        <f>_xlfn.XLOOKUP(B85,'[9]november-2025'!$A:$A,'[9]november-2025'!$C:$C,0,0)</f>
        <v>30700</v>
      </c>
      <c r="CN85">
        <f t="shared" si="244"/>
        <v>5526</v>
      </c>
      <c r="CO85">
        <f t="shared" si="24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00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46"/>
        <v>200</v>
      </c>
      <c r="CV85">
        <f t="shared" si="247"/>
        <v>38210</v>
      </c>
      <c r="CW85">
        <f>_xlfn.XLOOKUP(B85,'[10]december-2025'!$A:$A,'[10]december-2025'!$C:$C,0,0)</f>
        <v>30700</v>
      </c>
      <c r="CX85">
        <f t="shared" si="248"/>
        <v>5526</v>
      </c>
      <c r="CY85">
        <f t="shared" si="249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0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50"/>
        <v>200</v>
      </c>
      <c r="DF85">
        <f t="shared" si="251"/>
        <v>38210</v>
      </c>
      <c r="DG85">
        <f>_xlfn.XLOOKUP(B85,'[11]january-2026'!$A:$A,'[11]january-2026'!$C:$C,0,0)</f>
        <v>30700</v>
      </c>
      <c r="DH85">
        <f t="shared" si="252"/>
        <v>5526</v>
      </c>
      <c r="DI85">
        <f t="shared" si="253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02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54"/>
        <v>200</v>
      </c>
      <c r="DP85">
        <f t="shared" si="255"/>
        <v>38210</v>
      </c>
      <c r="DQ85">
        <f>_xlfn.XLOOKUP(B85,'[12]february-2026'!$A:$A,'[12]february-2026'!$C:$C,0,0)</f>
        <v>30700</v>
      </c>
      <c r="DR85">
        <f t="shared" si="256"/>
        <v>5526</v>
      </c>
      <c r="DS85">
        <f t="shared" si="257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03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58"/>
        <v>200</v>
      </c>
      <c r="DZ85">
        <f t="shared" si="259"/>
        <v>38210</v>
      </c>
      <c r="EA85">
        <f>_xlfn.XLOOKUP(B85,'[1]march-2025'!$A:$A,'[1]march-2025'!$J:$J,0,0)</f>
        <v>0</v>
      </c>
      <c r="EB85">
        <f>_xlfn.XLOOKUP(B85,'[2]april-2025'!$A:$A,'[2]april-2025'!$J:$J,0,0)</f>
        <v>0</v>
      </c>
      <c r="EC85">
        <f>_xlfn.XLOOKUP(B85,'[3]may-2025'!$A:$A,'[3]may-2025'!$J:$J,0,0)</f>
        <v>0</v>
      </c>
      <c r="ED85">
        <f>_xlfn.XLOOKUP(B85,'[4]june-2025'!$A:$A,'[4]june-2025'!$J:$J,0,0)</f>
        <v>0</v>
      </c>
      <c r="EE85">
        <f>_xlfn.XLOOKUP(B85,'[5]july-2025'!$A:$A,'[5]july-2025'!$J:$J,0,0)</f>
        <v>0</v>
      </c>
      <c r="EF85">
        <f>_xlfn.XLOOKUP(B85,'[6]august-2025'!$A:$A,'[6]august-2025'!$J:$J,0,0)</f>
        <v>0</v>
      </c>
      <c r="EG85">
        <f>_xlfn.XLOOKUP(B85,'[7]september-2025'!$A:$A,'[7]september-2025'!$J:$J,0,0)</f>
        <v>0</v>
      </c>
      <c r="EH85">
        <f>_xlfn.XLOOKUP(B85,'[8]october-2025'!$A:$A,'[8]october-2025'!$J:$J,0,0)</f>
        <v>0</v>
      </c>
      <c r="EI85">
        <f>_xlfn.XLOOKUP(C85,'[9]november-2025'!$A:$A,'[9]november-2025'!$J:$J,0,0)</f>
        <v>0</v>
      </c>
      <c r="EJ85">
        <f>_xlfn.XLOOKUP(B85,'[10]december-2025'!$A:$A,'[10]december-2025'!$J:$J,0,0)</f>
        <v>0</v>
      </c>
      <c r="EK85">
        <f>_xlfn.XLOOKUP(B85,'[11]january-2026'!$A:$A,'[11]january-2026'!$J:$J,0,0)</f>
        <v>0</v>
      </c>
      <c r="EL85">
        <f>_xlfn.XLOOKUP(B85,'[12]february-2026'!$A:$A,'[12]february-2026'!$J:$J,0,0)</f>
        <v>0</v>
      </c>
      <c r="EM85">
        <f t="shared" si="260"/>
        <v>0</v>
      </c>
      <c r="EN85">
        <f t="shared" si="204"/>
        <v>485848</v>
      </c>
      <c r="EO85">
        <f t="shared" si="205"/>
        <v>2200</v>
      </c>
      <c r="EP85">
        <f t="shared" si="261"/>
        <v>50000</v>
      </c>
      <c r="EQ85">
        <v>0</v>
      </c>
      <c r="ER85">
        <f t="shared" si="262"/>
        <v>433648</v>
      </c>
      <c r="ES85">
        <f t="shared" si="206"/>
        <v>24000</v>
      </c>
      <c r="ET85">
        <f t="shared" si="207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263"/>
        <v>24000</v>
      </c>
      <c r="FF85">
        <f t="shared" si="264"/>
        <v>24000</v>
      </c>
      <c r="FG85">
        <f t="shared" si="265"/>
        <v>409648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208"/>
        <v>0</v>
      </c>
      <c r="FP85">
        <f t="shared" si="266"/>
        <v>409648</v>
      </c>
      <c r="FQ85">
        <f t="shared" si="267"/>
        <v>7982</v>
      </c>
      <c r="FR85">
        <f t="shared" si="268"/>
        <v>0</v>
      </c>
      <c r="FS85">
        <f t="shared" si="269"/>
        <v>7982</v>
      </c>
      <c r="FT85">
        <f t="shared" si="270"/>
        <v>0</v>
      </c>
      <c r="FU85">
        <f t="shared" si="271"/>
        <v>0</v>
      </c>
      <c r="FV85">
        <f t="shared" si="272"/>
        <v>0</v>
      </c>
      <c r="FW85">
        <v>0</v>
      </c>
      <c r="FX85">
        <f t="shared" si="273"/>
        <v>0</v>
      </c>
      <c r="FY85" t="b">
        <f t="shared" si="274"/>
        <v>0</v>
      </c>
      <c r="FZ85">
        <f t="shared" ca="1" si="275"/>
        <v>1465</v>
      </c>
      <c r="GA85">
        <f t="shared" ca="1" si="276"/>
        <v>487313</v>
      </c>
      <c r="GB85">
        <f t="shared" si="277"/>
        <v>75000</v>
      </c>
      <c r="GC85">
        <f t="shared" ca="1" si="278"/>
        <v>412313</v>
      </c>
      <c r="GD85">
        <f t="shared" ca="1" si="279"/>
        <v>0</v>
      </c>
      <c r="GE85">
        <f t="shared" ca="1" si="280"/>
        <v>0</v>
      </c>
      <c r="GF85">
        <f t="shared" ca="1" si="281"/>
        <v>0</v>
      </c>
      <c r="GG85">
        <f t="shared" ca="1" si="282"/>
        <v>0</v>
      </c>
      <c r="GH85">
        <f t="shared" ca="1" si="283"/>
        <v>0</v>
      </c>
      <c r="GI85">
        <f t="shared" ca="1" si="284"/>
        <v>0</v>
      </c>
      <c r="GJ85">
        <f t="shared" ca="1" si="209"/>
        <v>0</v>
      </c>
      <c r="GK85">
        <f t="shared" ca="1" si="285"/>
        <v>0</v>
      </c>
      <c r="GL85">
        <f t="shared" ca="1" si="286"/>
        <v>0</v>
      </c>
      <c r="GM85">
        <f t="shared" ca="1" si="287"/>
        <v>0</v>
      </c>
      <c r="GN85">
        <f t="shared" ca="1" si="288"/>
        <v>12313</v>
      </c>
      <c r="GO85">
        <f t="shared" ca="1" si="289"/>
        <v>615.65000000000009</v>
      </c>
      <c r="GP85">
        <f t="shared" ca="1" si="290"/>
        <v>616</v>
      </c>
      <c r="GQ85">
        <f t="shared" ca="1" si="291"/>
        <v>0</v>
      </c>
      <c r="GR85">
        <f t="shared" ca="1" si="292"/>
        <v>0</v>
      </c>
      <c r="GS85">
        <f t="shared" ca="1" si="293"/>
        <v>616</v>
      </c>
      <c r="GT85">
        <f t="shared" ca="1" si="294"/>
        <v>0</v>
      </c>
      <c r="GU85" t="b">
        <f t="shared" ca="1" si="295"/>
        <v>0</v>
      </c>
      <c r="GV85">
        <f t="shared" ca="1" si="296"/>
        <v>0</v>
      </c>
      <c r="GW85">
        <f t="shared" ca="1" si="297"/>
        <v>616</v>
      </c>
      <c r="GX85">
        <f t="shared" ca="1" si="298"/>
        <v>0</v>
      </c>
      <c r="GY85">
        <f t="shared" ca="1" si="299"/>
        <v>0</v>
      </c>
      <c r="GZ85">
        <f t="shared" ca="1" si="300"/>
        <v>0</v>
      </c>
    </row>
    <row r="86" spans="1:208" x14ac:dyDescent="0.3">
      <c r="A86">
        <f>_xlfn.AGGREGATE(3,5,$B$2:B86)</f>
        <v>85</v>
      </c>
      <c r="B86" t="s">
        <v>287</v>
      </c>
      <c r="C86" t="s">
        <v>288</v>
      </c>
      <c r="D86" t="s">
        <v>772</v>
      </c>
      <c r="E86" t="s">
        <v>832</v>
      </c>
      <c r="F86" t="s">
        <v>956</v>
      </c>
      <c r="G86" t="s">
        <v>884</v>
      </c>
      <c r="H86">
        <f t="shared" si="210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1"/>
        <v>6818.0000000000009</v>
      </c>
      <c r="L86">
        <f t="shared" si="212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194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01"/>
        <v>200</v>
      </c>
      <c r="S86">
        <f t="shared" si="213"/>
        <v>57062</v>
      </c>
      <c r="T86">
        <f>_xlfn.XLOOKUP(B86,'[2]april-2025'!$A:$A,'[2]april-2025'!$C:$C,0,0)</f>
        <v>48700</v>
      </c>
      <c r="U86">
        <f t="shared" si="214"/>
        <v>8766</v>
      </c>
      <c r="V86">
        <f t="shared" si="215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16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17"/>
        <v>200</v>
      </c>
      <c r="AC86">
        <f t="shared" si="218"/>
        <v>59010</v>
      </c>
      <c r="AD86">
        <f>_xlfn.XLOOKUP(B86,'[3]may-2025'!$A:$A,'[3]may-2025'!$C:$C,0,0)</f>
        <v>48700</v>
      </c>
      <c r="AE86">
        <f t="shared" si="219"/>
        <v>8766</v>
      </c>
      <c r="AF86">
        <f t="shared" si="220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1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2"/>
        <v>200</v>
      </c>
      <c r="AM86">
        <f t="shared" si="223"/>
        <v>59010</v>
      </c>
      <c r="AN86">
        <f>_xlfn.XLOOKUP(B86,'[4]june-2025'!$A:$A,'[4]june-2025'!$C:$C,0,0)</f>
        <v>48700</v>
      </c>
      <c r="AO86">
        <f t="shared" si="224"/>
        <v>8766</v>
      </c>
      <c r="AP86">
        <f t="shared" si="225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26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27"/>
        <v>200</v>
      </c>
      <c r="AW86">
        <f t="shared" si="228"/>
        <v>59010</v>
      </c>
      <c r="AX86">
        <f>_xlfn.XLOOKUP(B86,'[5]july-2025'!$A:$A,'[5]july-2025'!$C:$C,0,0)</f>
        <v>50200</v>
      </c>
      <c r="AY86">
        <f t="shared" si="229"/>
        <v>9036</v>
      </c>
      <c r="AZ86">
        <v>0</v>
      </c>
      <c r="BA86">
        <f t="shared" si="230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195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1"/>
        <v>200</v>
      </c>
      <c r="BH86">
        <f t="shared" si="232"/>
        <v>60960</v>
      </c>
      <c r="BI86">
        <f>_xlfn.XLOOKUP(B86,'[6]august-2025'!$A:$A,'[6]august-2025'!$C:$C,0,0)</f>
        <v>50200</v>
      </c>
      <c r="BJ86">
        <f t="shared" si="233"/>
        <v>9036</v>
      </c>
      <c r="BK86">
        <f t="shared" si="234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35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196"/>
        <v>200</v>
      </c>
      <c r="BR86">
        <f t="shared" si="197"/>
        <v>60960</v>
      </c>
      <c r="BS86">
        <f>_xlfn.XLOOKUP(B86,'[7]september-2025'!$A:$A,'[7]september-2025'!$C:$C,0,0)</f>
        <v>50200</v>
      </c>
      <c r="BT86">
        <f t="shared" si="236"/>
        <v>9036</v>
      </c>
      <c r="BU86">
        <f t="shared" si="237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198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38"/>
        <v>200</v>
      </c>
      <c r="CB86">
        <f t="shared" si="239"/>
        <v>60960</v>
      </c>
      <c r="CC86">
        <f>_xlfn.XLOOKUP(B86,'[8]october-2025'!$A:$A,'[8]october-2025'!$C:$C,0,0)</f>
        <v>50200</v>
      </c>
      <c r="CD86">
        <f t="shared" si="240"/>
        <v>9036</v>
      </c>
      <c r="CE86">
        <f t="shared" si="241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199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42"/>
        <v>200</v>
      </c>
      <c r="CL86">
        <f t="shared" si="243"/>
        <v>60960</v>
      </c>
      <c r="CM86">
        <f>_xlfn.XLOOKUP(B86,'[9]november-2025'!$A:$A,'[9]november-2025'!$C:$C,0,0)</f>
        <v>50200</v>
      </c>
      <c r="CN86">
        <f t="shared" si="244"/>
        <v>9036</v>
      </c>
      <c r="CO86">
        <f t="shared" si="24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00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46"/>
        <v>200</v>
      </c>
      <c r="CV86">
        <f t="shared" si="247"/>
        <v>60960</v>
      </c>
      <c r="CW86">
        <f>_xlfn.XLOOKUP(B86,'[10]december-2025'!$A:$A,'[10]december-2025'!$C:$C,0,0)</f>
        <v>50200</v>
      </c>
      <c r="CX86">
        <f t="shared" si="248"/>
        <v>9036</v>
      </c>
      <c r="CY86">
        <f t="shared" si="249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0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50"/>
        <v>200</v>
      </c>
      <c r="DF86">
        <f t="shared" si="251"/>
        <v>60960</v>
      </c>
      <c r="DG86">
        <f>_xlfn.XLOOKUP(B86,'[11]january-2026'!$A:$A,'[11]january-2026'!$C:$C,0,0)</f>
        <v>50200</v>
      </c>
      <c r="DH86">
        <f t="shared" si="252"/>
        <v>9036</v>
      </c>
      <c r="DI86">
        <f t="shared" si="253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02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54"/>
        <v>200</v>
      </c>
      <c r="DP86">
        <f t="shared" si="255"/>
        <v>60960</v>
      </c>
      <c r="DQ86">
        <f>_xlfn.XLOOKUP(B86,'[12]february-2026'!$A:$A,'[12]february-2026'!$C:$C,0,0)</f>
        <v>50200</v>
      </c>
      <c r="DR86">
        <f t="shared" si="256"/>
        <v>9036</v>
      </c>
      <c r="DS86">
        <f t="shared" si="257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03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58"/>
        <v>200</v>
      </c>
      <c r="DZ86">
        <f t="shared" si="259"/>
        <v>60960</v>
      </c>
      <c r="EA86">
        <f>_xlfn.XLOOKUP(B86,'[1]march-2025'!$A:$A,'[1]march-2025'!$J:$J,0,0)</f>
        <v>0</v>
      </c>
      <c r="EB86">
        <f>_xlfn.XLOOKUP(B86,'[2]april-2025'!$A:$A,'[2]april-2025'!$J:$J,0,0)</f>
        <v>0</v>
      </c>
      <c r="EC86">
        <f>_xlfn.XLOOKUP(B86,'[3]may-2025'!$A:$A,'[3]may-2025'!$J:$J,0,0)</f>
        <v>0</v>
      </c>
      <c r="ED86">
        <f>_xlfn.XLOOKUP(B86,'[4]june-2025'!$A:$A,'[4]june-2025'!$J:$J,0,0)</f>
        <v>0</v>
      </c>
      <c r="EE86">
        <f>_xlfn.XLOOKUP(B86,'[5]july-2025'!$A:$A,'[5]july-2025'!$J:$J,0,0)</f>
        <v>0</v>
      </c>
      <c r="EF86">
        <f>_xlfn.XLOOKUP(B86,'[6]august-2025'!$A:$A,'[6]august-2025'!$J:$J,0,0)</f>
        <v>0</v>
      </c>
      <c r="EG86">
        <f>_xlfn.XLOOKUP(B86,'[7]september-2025'!$A:$A,'[7]september-2025'!$J:$J,0,0)</f>
        <v>0</v>
      </c>
      <c r="EH86">
        <f>_xlfn.XLOOKUP(B86,'[8]october-2025'!$A:$A,'[8]october-2025'!$J:$J,0,0)</f>
        <v>0</v>
      </c>
      <c r="EI86">
        <f>_xlfn.XLOOKUP(C86,'[9]november-2025'!$A:$A,'[9]november-2025'!$J:$J,0,0)</f>
        <v>0</v>
      </c>
      <c r="EJ86">
        <f>_xlfn.XLOOKUP(B86,'[10]december-2025'!$A:$A,'[10]december-2025'!$J:$J,0,0)</f>
        <v>0</v>
      </c>
      <c r="EK86">
        <f>_xlfn.XLOOKUP(B86,'[11]january-2026'!$A:$A,'[11]january-2026'!$J:$J,0,0)</f>
        <v>0</v>
      </c>
      <c r="EL86">
        <f>_xlfn.XLOOKUP(B86,'[12]february-2026'!$A:$A,'[12]february-2026'!$J:$J,0,0)</f>
        <v>0</v>
      </c>
      <c r="EM86">
        <f t="shared" si="260"/>
        <v>0</v>
      </c>
      <c r="EN86">
        <f t="shared" si="204"/>
        <v>790972</v>
      </c>
      <c r="EO86">
        <f t="shared" si="205"/>
        <v>2400</v>
      </c>
      <c r="EP86">
        <f t="shared" si="261"/>
        <v>50000</v>
      </c>
      <c r="EQ86">
        <v>0</v>
      </c>
      <c r="ER86">
        <f t="shared" si="262"/>
        <v>738572</v>
      </c>
      <c r="ES86">
        <f t="shared" si="206"/>
        <v>60000</v>
      </c>
      <c r="ET86">
        <f t="shared" si="207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263"/>
        <v>60000</v>
      </c>
      <c r="FF86">
        <f t="shared" si="264"/>
        <v>60000</v>
      </c>
      <c r="FG86">
        <f t="shared" si="265"/>
        <v>678572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208"/>
        <v>0</v>
      </c>
      <c r="FP86">
        <f t="shared" si="266"/>
        <v>678572</v>
      </c>
      <c r="FQ86">
        <f t="shared" si="267"/>
        <v>12500</v>
      </c>
      <c r="FR86">
        <f t="shared" si="268"/>
        <v>35714</v>
      </c>
      <c r="FS86">
        <f t="shared" si="269"/>
        <v>48214</v>
      </c>
      <c r="FT86">
        <f t="shared" si="270"/>
        <v>48214</v>
      </c>
      <c r="FU86">
        <f t="shared" si="271"/>
        <v>1928.56</v>
      </c>
      <c r="FV86">
        <f t="shared" si="272"/>
        <v>50143</v>
      </c>
      <c r="FW86">
        <v>0</v>
      </c>
      <c r="FX86">
        <f t="shared" si="273"/>
        <v>50143</v>
      </c>
      <c r="FY86" t="b">
        <f t="shared" si="274"/>
        <v>1</v>
      </c>
      <c r="FZ86">
        <f t="shared" ca="1" si="275"/>
        <v>771</v>
      </c>
      <c r="GA86">
        <f t="shared" ca="1" si="276"/>
        <v>791743</v>
      </c>
      <c r="GB86">
        <f t="shared" si="277"/>
        <v>75000</v>
      </c>
      <c r="GC86">
        <f t="shared" ca="1" si="278"/>
        <v>716743</v>
      </c>
      <c r="GD86">
        <f t="shared" ca="1" si="279"/>
        <v>0</v>
      </c>
      <c r="GE86">
        <f t="shared" ca="1" si="280"/>
        <v>0</v>
      </c>
      <c r="GF86">
        <f t="shared" ca="1" si="281"/>
        <v>0</v>
      </c>
      <c r="GG86">
        <f t="shared" ca="1" si="282"/>
        <v>0</v>
      </c>
      <c r="GH86">
        <f t="shared" ca="1" si="283"/>
        <v>0</v>
      </c>
      <c r="GI86">
        <f t="shared" ca="1" si="284"/>
        <v>0</v>
      </c>
      <c r="GJ86">
        <f t="shared" ca="1" si="209"/>
        <v>0</v>
      </c>
      <c r="GK86">
        <f t="shared" ca="1" si="285"/>
        <v>0</v>
      </c>
      <c r="GL86">
        <f t="shared" ca="1" si="286"/>
        <v>0</v>
      </c>
      <c r="GM86">
        <f t="shared" ca="1" si="287"/>
        <v>0</v>
      </c>
      <c r="GN86">
        <f t="shared" ca="1" si="288"/>
        <v>316743</v>
      </c>
      <c r="GO86">
        <f t="shared" ca="1" si="289"/>
        <v>15837.150000000001</v>
      </c>
      <c r="GP86">
        <f t="shared" ca="1" si="290"/>
        <v>15837</v>
      </c>
      <c r="GQ86">
        <f t="shared" ca="1" si="291"/>
        <v>0</v>
      </c>
      <c r="GR86">
        <f t="shared" ca="1" si="292"/>
        <v>0</v>
      </c>
      <c r="GS86">
        <f t="shared" ca="1" si="293"/>
        <v>15837</v>
      </c>
      <c r="GT86">
        <f t="shared" ca="1" si="294"/>
        <v>0</v>
      </c>
      <c r="GU86" t="b">
        <f t="shared" ca="1" si="295"/>
        <v>0</v>
      </c>
      <c r="GV86">
        <f t="shared" ca="1" si="296"/>
        <v>0</v>
      </c>
      <c r="GW86">
        <f t="shared" ca="1" si="297"/>
        <v>15837</v>
      </c>
      <c r="GX86">
        <f t="shared" ca="1" si="298"/>
        <v>0</v>
      </c>
      <c r="GY86">
        <f t="shared" ca="1" si="299"/>
        <v>0</v>
      </c>
      <c r="GZ86">
        <f t="shared" ca="1" si="300"/>
        <v>0</v>
      </c>
    </row>
    <row r="87" spans="1:208" x14ac:dyDescent="0.3">
      <c r="A87">
        <f>_xlfn.AGGREGATE(3,5,$B$2:B87)</f>
        <v>86</v>
      </c>
      <c r="B87" t="s">
        <v>289</v>
      </c>
      <c r="C87" t="s">
        <v>290</v>
      </c>
      <c r="D87" t="s">
        <v>772</v>
      </c>
      <c r="E87" t="s">
        <v>830</v>
      </c>
      <c r="F87" t="s">
        <v>956</v>
      </c>
      <c r="G87" t="s">
        <v>912</v>
      </c>
      <c r="H87">
        <f t="shared" si="210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1"/>
        <v>4830.0000000000009</v>
      </c>
      <c r="L87">
        <f t="shared" si="212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194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01"/>
        <v>200</v>
      </c>
      <c r="S87">
        <f t="shared" si="213"/>
        <v>40270</v>
      </c>
      <c r="T87">
        <f>_xlfn.XLOOKUP(B87,'[2]april-2025'!$A:$A,'[2]april-2025'!$C:$C,0,0)</f>
        <v>34500</v>
      </c>
      <c r="U87">
        <f t="shared" si="214"/>
        <v>6210</v>
      </c>
      <c r="V87">
        <f t="shared" si="215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16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17"/>
        <v>200</v>
      </c>
      <c r="AC87">
        <f t="shared" si="218"/>
        <v>41650</v>
      </c>
      <c r="AD87">
        <f>_xlfn.XLOOKUP(B87,'[3]may-2025'!$A:$A,'[3]may-2025'!$C:$C,0,0)</f>
        <v>34500</v>
      </c>
      <c r="AE87">
        <f t="shared" si="219"/>
        <v>6210</v>
      </c>
      <c r="AF87">
        <f t="shared" si="220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1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2"/>
        <v>200</v>
      </c>
      <c r="AM87">
        <f t="shared" si="223"/>
        <v>41650</v>
      </c>
      <c r="AN87">
        <f>_xlfn.XLOOKUP(B87,'[4]june-2025'!$A:$A,'[4]june-2025'!$C:$C,0,0)</f>
        <v>34500</v>
      </c>
      <c r="AO87">
        <f t="shared" si="224"/>
        <v>6210</v>
      </c>
      <c r="AP87">
        <f t="shared" si="225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26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27"/>
        <v>200</v>
      </c>
      <c r="AW87">
        <f t="shared" si="228"/>
        <v>41650</v>
      </c>
      <c r="AX87">
        <f>_xlfn.XLOOKUP(B87,'[5]july-2025'!$A:$A,'[5]july-2025'!$C:$C,0,0)</f>
        <v>35500</v>
      </c>
      <c r="AY87">
        <f t="shared" si="229"/>
        <v>6390</v>
      </c>
      <c r="AZ87">
        <v>0</v>
      </c>
      <c r="BA87">
        <f t="shared" si="230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195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1"/>
        <v>200</v>
      </c>
      <c r="BH87">
        <f t="shared" si="232"/>
        <v>42950</v>
      </c>
      <c r="BI87">
        <f>_xlfn.XLOOKUP(B87,'[6]august-2025'!$A:$A,'[6]august-2025'!$C:$C,0,0)</f>
        <v>35500</v>
      </c>
      <c r="BJ87">
        <f t="shared" si="233"/>
        <v>6390</v>
      </c>
      <c r="BK87">
        <f t="shared" si="234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35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196"/>
        <v>200</v>
      </c>
      <c r="BR87">
        <f t="shared" si="197"/>
        <v>42950</v>
      </c>
      <c r="BS87">
        <f>_xlfn.XLOOKUP(B87,'[7]september-2025'!$A:$A,'[7]september-2025'!$C:$C,0,0)</f>
        <v>35500</v>
      </c>
      <c r="BT87">
        <f t="shared" si="236"/>
        <v>6390</v>
      </c>
      <c r="BU87">
        <f t="shared" si="237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198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38"/>
        <v>200</v>
      </c>
      <c r="CB87">
        <f t="shared" si="239"/>
        <v>42950</v>
      </c>
      <c r="CC87">
        <f>_xlfn.XLOOKUP(B87,'[8]october-2025'!$A:$A,'[8]october-2025'!$C:$C,0,0)</f>
        <v>35500</v>
      </c>
      <c r="CD87">
        <f t="shared" si="240"/>
        <v>6390</v>
      </c>
      <c r="CE87">
        <f t="shared" si="241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199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42"/>
        <v>200</v>
      </c>
      <c r="CL87">
        <f t="shared" si="243"/>
        <v>42950</v>
      </c>
      <c r="CM87">
        <f>_xlfn.XLOOKUP(B87,'[9]november-2025'!$A:$A,'[9]november-2025'!$C:$C,0,0)</f>
        <v>35500</v>
      </c>
      <c r="CN87">
        <f t="shared" si="244"/>
        <v>6390</v>
      </c>
      <c r="CO87">
        <f t="shared" si="24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00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46"/>
        <v>200</v>
      </c>
      <c r="CV87">
        <f t="shared" si="247"/>
        <v>42950</v>
      </c>
      <c r="CW87">
        <f>_xlfn.XLOOKUP(B87,'[10]december-2025'!$A:$A,'[10]december-2025'!$C:$C,0,0)</f>
        <v>35500</v>
      </c>
      <c r="CX87">
        <f t="shared" si="248"/>
        <v>6390</v>
      </c>
      <c r="CY87">
        <f t="shared" si="249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0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50"/>
        <v>200</v>
      </c>
      <c r="DF87">
        <f t="shared" si="251"/>
        <v>42950</v>
      </c>
      <c r="DG87">
        <f>_xlfn.XLOOKUP(B87,'[11]january-2026'!$A:$A,'[11]january-2026'!$C:$C,0,0)</f>
        <v>35500</v>
      </c>
      <c r="DH87">
        <f t="shared" si="252"/>
        <v>6390</v>
      </c>
      <c r="DI87">
        <f t="shared" si="253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02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54"/>
        <v>200</v>
      </c>
      <c r="DP87">
        <f t="shared" si="255"/>
        <v>42950</v>
      </c>
      <c r="DQ87">
        <f>_xlfn.XLOOKUP(B87,'[12]february-2026'!$A:$A,'[12]february-2026'!$C:$C,0,0)</f>
        <v>35500</v>
      </c>
      <c r="DR87">
        <f t="shared" si="256"/>
        <v>6390</v>
      </c>
      <c r="DS87">
        <f t="shared" si="257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03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58"/>
        <v>200</v>
      </c>
      <c r="DZ87">
        <f t="shared" si="259"/>
        <v>42950</v>
      </c>
      <c r="EA87">
        <f>_xlfn.XLOOKUP(B87,'[1]march-2025'!$A:$A,'[1]march-2025'!$J:$J,0,0)</f>
        <v>0</v>
      </c>
      <c r="EB87">
        <f>_xlfn.XLOOKUP(B87,'[2]april-2025'!$A:$A,'[2]april-2025'!$J:$J,0,0)</f>
        <v>0</v>
      </c>
      <c r="EC87">
        <f>_xlfn.XLOOKUP(B87,'[3]may-2025'!$A:$A,'[3]may-2025'!$J:$J,0,0)</f>
        <v>0</v>
      </c>
      <c r="ED87">
        <f>_xlfn.XLOOKUP(B87,'[4]june-2025'!$A:$A,'[4]june-2025'!$J:$J,0,0)</f>
        <v>0</v>
      </c>
      <c r="EE87">
        <f>_xlfn.XLOOKUP(B87,'[5]july-2025'!$A:$A,'[5]july-2025'!$J:$J,0,0)</f>
        <v>0</v>
      </c>
      <c r="EF87">
        <f>_xlfn.XLOOKUP(B87,'[6]august-2025'!$A:$A,'[6]august-2025'!$J:$J,0,0)</f>
        <v>0</v>
      </c>
      <c r="EG87">
        <f>_xlfn.XLOOKUP(B87,'[7]september-2025'!$A:$A,'[7]september-2025'!$J:$J,0,0)</f>
        <v>0</v>
      </c>
      <c r="EH87">
        <f>_xlfn.XLOOKUP(B87,'[8]october-2025'!$A:$A,'[8]october-2025'!$J:$J,0,0)</f>
        <v>0</v>
      </c>
      <c r="EI87">
        <f>_xlfn.XLOOKUP(C87,'[9]november-2025'!$A:$A,'[9]november-2025'!$J:$J,0,0)</f>
        <v>0</v>
      </c>
      <c r="EJ87">
        <f>_xlfn.XLOOKUP(B87,'[10]december-2025'!$A:$A,'[10]december-2025'!$J:$J,0,0)</f>
        <v>0</v>
      </c>
      <c r="EK87">
        <f>_xlfn.XLOOKUP(B87,'[11]january-2026'!$A:$A,'[11]january-2026'!$J:$J,0,0)</f>
        <v>0</v>
      </c>
      <c r="EL87">
        <f>_xlfn.XLOOKUP(B87,'[12]february-2026'!$A:$A,'[12]february-2026'!$J:$J,0,0)</f>
        <v>0</v>
      </c>
      <c r="EM87">
        <f t="shared" si="260"/>
        <v>0</v>
      </c>
      <c r="EN87">
        <f t="shared" si="204"/>
        <v>554020</v>
      </c>
      <c r="EO87">
        <f t="shared" si="205"/>
        <v>2400</v>
      </c>
      <c r="EP87">
        <f t="shared" si="261"/>
        <v>50000</v>
      </c>
      <c r="EQ87">
        <v>0</v>
      </c>
      <c r="ER87">
        <f t="shared" si="262"/>
        <v>501620</v>
      </c>
      <c r="ES87">
        <f t="shared" si="206"/>
        <v>36000</v>
      </c>
      <c r="ET87">
        <f t="shared" si="207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263"/>
        <v>36000</v>
      </c>
      <c r="FF87">
        <f t="shared" si="264"/>
        <v>36000</v>
      </c>
      <c r="FG87">
        <f t="shared" si="265"/>
        <v>465620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208"/>
        <v>0</v>
      </c>
      <c r="FP87">
        <f t="shared" si="266"/>
        <v>465620</v>
      </c>
      <c r="FQ87">
        <f t="shared" si="267"/>
        <v>10781</v>
      </c>
      <c r="FR87">
        <f t="shared" si="268"/>
        <v>0</v>
      </c>
      <c r="FS87">
        <f t="shared" si="269"/>
        <v>10781</v>
      </c>
      <c r="FT87">
        <f t="shared" si="270"/>
        <v>0</v>
      </c>
      <c r="FU87">
        <f t="shared" si="271"/>
        <v>0</v>
      </c>
      <c r="FV87">
        <f t="shared" si="272"/>
        <v>0</v>
      </c>
      <c r="FW87">
        <v>0</v>
      </c>
      <c r="FX87">
        <f t="shared" si="273"/>
        <v>0</v>
      </c>
      <c r="FY87" t="b">
        <f t="shared" si="274"/>
        <v>1</v>
      </c>
      <c r="FZ87">
        <f t="shared" ca="1" si="275"/>
        <v>820</v>
      </c>
      <c r="GA87">
        <f t="shared" ca="1" si="276"/>
        <v>554840</v>
      </c>
      <c r="GB87">
        <f t="shared" si="277"/>
        <v>75000</v>
      </c>
      <c r="GC87">
        <f t="shared" ca="1" si="278"/>
        <v>479840</v>
      </c>
      <c r="GD87">
        <f t="shared" ca="1" si="279"/>
        <v>0</v>
      </c>
      <c r="GE87">
        <f t="shared" ca="1" si="280"/>
        <v>0</v>
      </c>
      <c r="GF87">
        <f t="shared" ca="1" si="281"/>
        <v>0</v>
      </c>
      <c r="GG87">
        <f t="shared" ca="1" si="282"/>
        <v>0</v>
      </c>
      <c r="GH87">
        <f t="shared" ca="1" si="283"/>
        <v>0</v>
      </c>
      <c r="GI87">
        <f t="shared" ca="1" si="284"/>
        <v>0</v>
      </c>
      <c r="GJ87">
        <f t="shared" ca="1" si="209"/>
        <v>0</v>
      </c>
      <c r="GK87">
        <f t="shared" ca="1" si="285"/>
        <v>0</v>
      </c>
      <c r="GL87">
        <f t="shared" ca="1" si="286"/>
        <v>0</v>
      </c>
      <c r="GM87">
        <f t="shared" ca="1" si="287"/>
        <v>0</v>
      </c>
      <c r="GN87">
        <f t="shared" ca="1" si="288"/>
        <v>79840</v>
      </c>
      <c r="GO87">
        <f t="shared" ca="1" si="289"/>
        <v>3992</v>
      </c>
      <c r="GP87">
        <f t="shared" ca="1" si="290"/>
        <v>3992</v>
      </c>
      <c r="GQ87">
        <f t="shared" ca="1" si="291"/>
        <v>0</v>
      </c>
      <c r="GR87">
        <f t="shared" ca="1" si="292"/>
        <v>0</v>
      </c>
      <c r="GS87">
        <f t="shared" ca="1" si="293"/>
        <v>3992</v>
      </c>
      <c r="GT87">
        <f t="shared" ca="1" si="294"/>
        <v>0</v>
      </c>
      <c r="GU87" t="b">
        <f t="shared" ca="1" si="295"/>
        <v>0</v>
      </c>
      <c r="GV87">
        <f t="shared" ca="1" si="296"/>
        <v>0</v>
      </c>
      <c r="GW87">
        <f t="shared" ca="1" si="297"/>
        <v>3992</v>
      </c>
      <c r="GX87">
        <f t="shared" ca="1" si="298"/>
        <v>0</v>
      </c>
      <c r="GY87">
        <f t="shared" ca="1" si="299"/>
        <v>0</v>
      </c>
      <c r="GZ87">
        <f t="shared" ca="1" si="300"/>
        <v>0</v>
      </c>
    </row>
    <row r="88" spans="1:208" x14ac:dyDescent="0.3">
      <c r="A88">
        <f>_xlfn.AGGREGATE(3,5,$B$2:B88)</f>
        <v>87</v>
      </c>
      <c r="B88" t="s">
        <v>291</v>
      </c>
      <c r="C88" t="s">
        <v>292</v>
      </c>
      <c r="D88" t="s">
        <v>772</v>
      </c>
      <c r="E88" t="s">
        <v>830</v>
      </c>
      <c r="F88" t="s">
        <v>956</v>
      </c>
      <c r="G88" t="s">
        <v>878</v>
      </c>
      <c r="H88">
        <f t="shared" si="210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1"/>
        <v>3780.0000000000005</v>
      </c>
      <c r="L88">
        <f t="shared" si="212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194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01"/>
        <v>150</v>
      </c>
      <c r="S88">
        <f t="shared" si="213"/>
        <v>32370</v>
      </c>
      <c r="T88">
        <f>_xlfn.XLOOKUP(B88,'[2]april-2025'!$A:$A,'[2]april-2025'!$C:$C,0,0)</f>
        <v>27000</v>
      </c>
      <c r="U88">
        <f t="shared" si="214"/>
        <v>4860</v>
      </c>
      <c r="V88">
        <f t="shared" si="215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16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17"/>
        <v>150</v>
      </c>
      <c r="AC88">
        <f t="shared" si="218"/>
        <v>33450</v>
      </c>
      <c r="AD88">
        <f>_xlfn.XLOOKUP(B88,'[3]may-2025'!$A:$A,'[3]may-2025'!$C:$C,0,0)</f>
        <v>31600</v>
      </c>
      <c r="AE88">
        <f t="shared" si="219"/>
        <v>5688</v>
      </c>
      <c r="AF88">
        <f t="shared" si="220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1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2"/>
        <v>200</v>
      </c>
      <c r="AM88">
        <f t="shared" si="223"/>
        <v>39380</v>
      </c>
      <c r="AN88">
        <f>_xlfn.XLOOKUP(B88,'[4]june-2025'!$A:$A,'[4]june-2025'!$C:$C,0,0)</f>
        <v>31600</v>
      </c>
      <c r="AO88">
        <f t="shared" si="224"/>
        <v>5688</v>
      </c>
      <c r="AP88">
        <f t="shared" si="225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26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27"/>
        <v>200</v>
      </c>
      <c r="AW88">
        <f t="shared" si="228"/>
        <v>39380</v>
      </c>
      <c r="AX88">
        <f>_xlfn.XLOOKUP(B88,'[5]july-2025'!$A:$A,'[5]july-2025'!$C:$C,0,0)</f>
        <v>32500</v>
      </c>
      <c r="AY88">
        <f t="shared" si="229"/>
        <v>5850</v>
      </c>
      <c r="AZ88">
        <v>0</v>
      </c>
      <c r="BA88">
        <f t="shared" si="230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195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1"/>
        <v>200</v>
      </c>
      <c r="BH88">
        <f t="shared" si="232"/>
        <v>40550</v>
      </c>
      <c r="BI88">
        <f>_xlfn.XLOOKUP(B88,'[6]august-2025'!$A:$A,'[6]august-2025'!$C:$C,0,0)</f>
        <v>32500</v>
      </c>
      <c r="BJ88">
        <f t="shared" si="233"/>
        <v>5850</v>
      </c>
      <c r="BK88">
        <f t="shared" si="234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35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196"/>
        <v>200</v>
      </c>
      <c r="BR88">
        <f t="shared" si="197"/>
        <v>40550</v>
      </c>
      <c r="BS88">
        <f>_xlfn.XLOOKUP(B88,'[7]september-2025'!$A:$A,'[7]september-2025'!$C:$C,0,0)</f>
        <v>32500</v>
      </c>
      <c r="BT88">
        <f t="shared" si="236"/>
        <v>5850</v>
      </c>
      <c r="BU88">
        <f t="shared" si="237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198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38"/>
        <v>200</v>
      </c>
      <c r="CB88">
        <f t="shared" si="239"/>
        <v>40550</v>
      </c>
      <c r="CC88">
        <f>_xlfn.XLOOKUP(B88,'[8]october-2025'!$A:$A,'[8]october-2025'!$C:$C,0,0)</f>
        <v>32500</v>
      </c>
      <c r="CD88">
        <f t="shared" si="240"/>
        <v>5850</v>
      </c>
      <c r="CE88">
        <f t="shared" si="241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199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42"/>
        <v>200</v>
      </c>
      <c r="CL88">
        <f t="shared" si="243"/>
        <v>40550</v>
      </c>
      <c r="CM88">
        <f>_xlfn.XLOOKUP(B88,'[9]november-2025'!$A:$A,'[9]november-2025'!$C:$C,0,0)</f>
        <v>32500</v>
      </c>
      <c r="CN88">
        <f t="shared" si="244"/>
        <v>5850</v>
      </c>
      <c r="CO88">
        <f t="shared" si="24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00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46"/>
        <v>200</v>
      </c>
      <c r="CV88">
        <f t="shared" si="247"/>
        <v>40550</v>
      </c>
      <c r="CW88">
        <f>_xlfn.XLOOKUP(B88,'[10]december-2025'!$A:$A,'[10]december-2025'!$C:$C,0,0)</f>
        <v>32500</v>
      </c>
      <c r="CX88">
        <f t="shared" si="248"/>
        <v>5850</v>
      </c>
      <c r="CY88">
        <f t="shared" si="249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0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50"/>
        <v>200</v>
      </c>
      <c r="DF88">
        <f t="shared" si="251"/>
        <v>40550</v>
      </c>
      <c r="DG88">
        <f>_xlfn.XLOOKUP(B88,'[11]january-2026'!$A:$A,'[11]january-2026'!$C:$C,0,0)</f>
        <v>32500</v>
      </c>
      <c r="DH88">
        <f t="shared" si="252"/>
        <v>5850</v>
      </c>
      <c r="DI88">
        <f t="shared" si="253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02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54"/>
        <v>200</v>
      </c>
      <c r="DP88">
        <f t="shared" si="255"/>
        <v>40550</v>
      </c>
      <c r="DQ88">
        <f>_xlfn.XLOOKUP(B88,'[12]february-2026'!$A:$A,'[12]february-2026'!$C:$C,0,0)</f>
        <v>32500</v>
      </c>
      <c r="DR88">
        <f t="shared" si="256"/>
        <v>5850</v>
      </c>
      <c r="DS88">
        <f t="shared" si="257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03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58"/>
        <v>200</v>
      </c>
      <c r="DZ88">
        <f t="shared" si="259"/>
        <v>40550</v>
      </c>
      <c r="EA88">
        <f>_xlfn.XLOOKUP(B88,'[1]march-2025'!$A:$A,'[1]march-2025'!$J:$J,0,0)</f>
        <v>0</v>
      </c>
      <c r="EB88">
        <f>_xlfn.XLOOKUP(B88,'[2]april-2025'!$A:$A,'[2]april-2025'!$J:$J,0,0)</f>
        <v>0</v>
      </c>
      <c r="EC88">
        <f>_xlfn.XLOOKUP(B88,'[3]may-2025'!$A:$A,'[3]may-2025'!$J:$J,0,0)</f>
        <v>0</v>
      </c>
      <c r="ED88">
        <f>_xlfn.XLOOKUP(B88,'[4]june-2025'!$A:$A,'[4]june-2025'!$J:$J,0,0)</f>
        <v>0</v>
      </c>
      <c r="EE88">
        <f>_xlfn.XLOOKUP(B88,'[5]july-2025'!$A:$A,'[5]july-2025'!$J:$J,0,0)</f>
        <v>0</v>
      </c>
      <c r="EF88">
        <f>_xlfn.XLOOKUP(B88,'[6]august-2025'!$A:$A,'[6]august-2025'!$J:$J,0,0)</f>
        <v>0</v>
      </c>
      <c r="EG88">
        <f>_xlfn.XLOOKUP(B88,'[7]september-2025'!$A:$A,'[7]september-2025'!$J:$J,0,0)</f>
        <v>0</v>
      </c>
      <c r="EH88">
        <f>_xlfn.XLOOKUP(B88,'[8]october-2025'!$A:$A,'[8]october-2025'!$J:$J,0,0)</f>
        <v>0</v>
      </c>
      <c r="EI88">
        <f>_xlfn.XLOOKUP(C88,'[9]november-2025'!$A:$A,'[9]november-2025'!$J:$J,0,0)</f>
        <v>0</v>
      </c>
      <c r="EJ88">
        <f>_xlfn.XLOOKUP(B88,'[10]december-2025'!$A:$A,'[10]december-2025'!$J:$J,0,0)</f>
        <v>0</v>
      </c>
      <c r="EK88">
        <f>_xlfn.XLOOKUP(B88,'[11]january-2026'!$A:$A,'[11]january-2026'!$J:$J,0,0)</f>
        <v>0</v>
      </c>
      <c r="EL88">
        <f>_xlfn.XLOOKUP(B88,'[12]february-2026'!$A:$A,'[12]february-2026'!$J:$J,0,0)</f>
        <v>0</v>
      </c>
      <c r="EM88">
        <f t="shared" si="260"/>
        <v>0</v>
      </c>
      <c r="EN88">
        <f t="shared" si="204"/>
        <v>502080</v>
      </c>
      <c r="EO88">
        <f t="shared" si="205"/>
        <v>2300</v>
      </c>
      <c r="EP88">
        <f t="shared" si="261"/>
        <v>50000</v>
      </c>
      <c r="EQ88">
        <v>0</v>
      </c>
      <c r="ER88">
        <f t="shared" si="262"/>
        <v>449780</v>
      </c>
      <c r="ES88">
        <f t="shared" si="206"/>
        <v>24000</v>
      </c>
      <c r="ET88">
        <f t="shared" si="207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263"/>
        <v>24000</v>
      </c>
      <c r="FF88">
        <f t="shared" si="264"/>
        <v>24000</v>
      </c>
      <c r="FG88">
        <f t="shared" si="265"/>
        <v>425780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208"/>
        <v>0</v>
      </c>
      <c r="FP88">
        <f t="shared" si="266"/>
        <v>425780</v>
      </c>
      <c r="FQ88">
        <f t="shared" si="267"/>
        <v>8789</v>
      </c>
      <c r="FR88">
        <f t="shared" si="268"/>
        <v>0</v>
      </c>
      <c r="FS88">
        <f t="shared" si="269"/>
        <v>8789</v>
      </c>
      <c r="FT88">
        <f t="shared" si="270"/>
        <v>0</v>
      </c>
      <c r="FU88">
        <f t="shared" si="271"/>
        <v>0</v>
      </c>
      <c r="FV88">
        <f t="shared" si="272"/>
        <v>0</v>
      </c>
      <c r="FW88">
        <v>0</v>
      </c>
      <c r="FX88">
        <f t="shared" si="273"/>
        <v>0</v>
      </c>
      <c r="FY88" t="b">
        <f t="shared" si="274"/>
        <v>1</v>
      </c>
      <c r="FZ88">
        <f t="shared" ca="1" si="275"/>
        <v>526</v>
      </c>
      <c r="GA88">
        <f t="shared" ca="1" si="276"/>
        <v>502606</v>
      </c>
      <c r="GB88">
        <f t="shared" si="277"/>
        <v>75000</v>
      </c>
      <c r="GC88">
        <f t="shared" ca="1" si="278"/>
        <v>427606</v>
      </c>
      <c r="GD88">
        <f t="shared" ca="1" si="279"/>
        <v>0</v>
      </c>
      <c r="GE88">
        <f t="shared" ca="1" si="280"/>
        <v>0</v>
      </c>
      <c r="GF88">
        <f t="shared" ca="1" si="281"/>
        <v>0</v>
      </c>
      <c r="GG88">
        <f t="shared" ca="1" si="282"/>
        <v>0</v>
      </c>
      <c r="GH88">
        <f t="shared" ca="1" si="283"/>
        <v>0</v>
      </c>
      <c r="GI88">
        <f t="shared" ca="1" si="284"/>
        <v>0</v>
      </c>
      <c r="GJ88">
        <f t="shared" ca="1" si="209"/>
        <v>0</v>
      </c>
      <c r="GK88">
        <f t="shared" ca="1" si="285"/>
        <v>0</v>
      </c>
      <c r="GL88">
        <f t="shared" ca="1" si="286"/>
        <v>0</v>
      </c>
      <c r="GM88">
        <f t="shared" ca="1" si="287"/>
        <v>0</v>
      </c>
      <c r="GN88">
        <f t="shared" ca="1" si="288"/>
        <v>27606</v>
      </c>
      <c r="GO88">
        <f t="shared" ca="1" si="289"/>
        <v>1380.3000000000002</v>
      </c>
      <c r="GP88">
        <f t="shared" ca="1" si="290"/>
        <v>1380</v>
      </c>
      <c r="GQ88">
        <f t="shared" ca="1" si="291"/>
        <v>0</v>
      </c>
      <c r="GR88">
        <f t="shared" ca="1" si="292"/>
        <v>0</v>
      </c>
      <c r="GS88">
        <f t="shared" ca="1" si="293"/>
        <v>1380</v>
      </c>
      <c r="GT88">
        <f t="shared" ca="1" si="294"/>
        <v>0</v>
      </c>
      <c r="GU88" t="b">
        <f t="shared" ca="1" si="295"/>
        <v>0</v>
      </c>
      <c r="GV88">
        <f t="shared" ca="1" si="296"/>
        <v>0</v>
      </c>
      <c r="GW88">
        <f t="shared" ca="1" si="297"/>
        <v>1380</v>
      </c>
      <c r="GX88">
        <f t="shared" ca="1" si="298"/>
        <v>0</v>
      </c>
      <c r="GY88">
        <f t="shared" ca="1" si="299"/>
        <v>0</v>
      </c>
      <c r="GZ88">
        <f t="shared" ca="1" si="300"/>
        <v>0</v>
      </c>
    </row>
    <row r="89" spans="1:208" x14ac:dyDescent="0.3">
      <c r="A89">
        <f>_xlfn.AGGREGATE(3,5,$B$2:B89)</f>
        <v>88</v>
      </c>
      <c r="B89" t="s">
        <v>293</v>
      </c>
      <c r="C89" t="s">
        <v>294</v>
      </c>
      <c r="D89" t="s">
        <v>773</v>
      </c>
      <c r="E89" t="s">
        <v>830</v>
      </c>
      <c r="F89" t="s">
        <v>956</v>
      </c>
      <c r="G89" t="s">
        <v>913</v>
      </c>
      <c r="H89">
        <f t="shared" si="210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1"/>
        <v>7756.0000000000009</v>
      </c>
      <c r="L89">
        <f t="shared" si="212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194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01"/>
        <v>200</v>
      </c>
      <c r="S89">
        <f t="shared" si="213"/>
        <v>65504</v>
      </c>
      <c r="T89">
        <f>_xlfn.XLOOKUP(B89,'[2]april-2025'!$A:$A,'[2]april-2025'!$C:$C,0,0)</f>
        <v>55400</v>
      </c>
      <c r="U89">
        <f t="shared" si="214"/>
        <v>9972</v>
      </c>
      <c r="V89">
        <f t="shared" si="215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16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17"/>
        <v>200</v>
      </c>
      <c r="AC89">
        <f t="shared" si="218"/>
        <v>67720</v>
      </c>
      <c r="AD89">
        <f>_xlfn.XLOOKUP(B89,'[3]may-2025'!$A:$A,'[3]may-2025'!$C:$C,0,0)</f>
        <v>55400</v>
      </c>
      <c r="AE89">
        <f t="shared" si="219"/>
        <v>9972</v>
      </c>
      <c r="AF89">
        <f t="shared" si="220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1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2"/>
        <v>200</v>
      </c>
      <c r="AM89">
        <f t="shared" si="223"/>
        <v>67720</v>
      </c>
      <c r="AN89">
        <f>_xlfn.XLOOKUP(B89,'[4]june-2025'!$A:$A,'[4]june-2025'!$C:$C,0,0)</f>
        <v>55400</v>
      </c>
      <c r="AO89">
        <f t="shared" si="224"/>
        <v>9972</v>
      </c>
      <c r="AP89">
        <f t="shared" si="225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26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27"/>
        <v>200</v>
      </c>
      <c r="AW89">
        <f t="shared" si="228"/>
        <v>67720</v>
      </c>
      <c r="AX89">
        <f>_xlfn.XLOOKUP(B89,'[5]july-2025'!$A:$A,'[5]july-2025'!$C:$C,0,0)</f>
        <v>57100</v>
      </c>
      <c r="AY89">
        <f t="shared" si="229"/>
        <v>10278</v>
      </c>
      <c r="AZ89">
        <v>0</v>
      </c>
      <c r="BA89">
        <f t="shared" si="230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195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1"/>
        <v>200</v>
      </c>
      <c r="BH89">
        <f t="shared" si="232"/>
        <v>69930</v>
      </c>
      <c r="BI89">
        <f>_xlfn.XLOOKUP(B89,'[6]august-2025'!$A:$A,'[6]august-2025'!$C:$C,0,0)</f>
        <v>57100</v>
      </c>
      <c r="BJ89">
        <f t="shared" si="233"/>
        <v>10278</v>
      </c>
      <c r="BK89">
        <f t="shared" si="234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35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196"/>
        <v>200</v>
      </c>
      <c r="BR89">
        <f t="shared" si="197"/>
        <v>69930</v>
      </c>
      <c r="BS89">
        <f>_xlfn.XLOOKUP(B89,'[7]september-2025'!$A:$A,'[7]september-2025'!$C:$C,0,0)</f>
        <v>57100</v>
      </c>
      <c r="BT89">
        <f t="shared" si="236"/>
        <v>10278</v>
      </c>
      <c r="BU89">
        <f t="shared" si="237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198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38"/>
        <v>200</v>
      </c>
      <c r="CB89">
        <f t="shared" si="239"/>
        <v>69930</v>
      </c>
      <c r="CC89">
        <f>_xlfn.XLOOKUP(B89,'[8]october-2025'!$A:$A,'[8]october-2025'!$C:$C,0,0)</f>
        <v>57100</v>
      </c>
      <c r="CD89">
        <f t="shared" si="240"/>
        <v>10278</v>
      </c>
      <c r="CE89">
        <f t="shared" si="241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199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42"/>
        <v>200</v>
      </c>
      <c r="CL89">
        <f t="shared" si="243"/>
        <v>69930</v>
      </c>
      <c r="CM89">
        <f>_xlfn.XLOOKUP(B89,'[9]november-2025'!$A:$A,'[9]november-2025'!$C:$C,0,0)</f>
        <v>57100</v>
      </c>
      <c r="CN89">
        <f t="shared" si="244"/>
        <v>10278</v>
      </c>
      <c r="CO89">
        <f t="shared" si="24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00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46"/>
        <v>200</v>
      </c>
      <c r="CV89">
        <f t="shared" si="247"/>
        <v>69930</v>
      </c>
      <c r="CW89">
        <f>_xlfn.XLOOKUP(B89,'[10]december-2025'!$A:$A,'[10]december-2025'!$C:$C,0,0)</f>
        <v>57100</v>
      </c>
      <c r="CX89">
        <f t="shared" si="248"/>
        <v>10278</v>
      </c>
      <c r="CY89">
        <f t="shared" si="249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0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50"/>
        <v>200</v>
      </c>
      <c r="DF89">
        <f t="shared" si="251"/>
        <v>69930</v>
      </c>
      <c r="DG89">
        <f>_xlfn.XLOOKUP(B89,'[11]january-2026'!$A:$A,'[11]january-2026'!$C:$C,0,0)</f>
        <v>57100</v>
      </c>
      <c r="DH89">
        <f t="shared" si="252"/>
        <v>10278</v>
      </c>
      <c r="DI89">
        <f t="shared" si="253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02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54"/>
        <v>200</v>
      </c>
      <c r="DP89">
        <f t="shared" si="255"/>
        <v>69930</v>
      </c>
      <c r="DQ89">
        <f>_xlfn.XLOOKUP(B89,'[12]february-2026'!$A:$A,'[12]february-2026'!$C:$C,0,0)</f>
        <v>57100</v>
      </c>
      <c r="DR89">
        <f t="shared" si="256"/>
        <v>10278</v>
      </c>
      <c r="DS89">
        <f t="shared" si="257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03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58"/>
        <v>200</v>
      </c>
      <c r="DZ89">
        <f t="shared" si="259"/>
        <v>69930</v>
      </c>
      <c r="EA89">
        <f>_xlfn.XLOOKUP(B89,'[1]march-2025'!$A:$A,'[1]march-2025'!$J:$J,0,0)</f>
        <v>0</v>
      </c>
      <c r="EB89">
        <f>_xlfn.XLOOKUP(B89,'[2]april-2025'!$A:$A,'[2]april-2025'!$J:$J,0,0)</f>
        <v>0</v>
      </c>
      <c r="EC89">
        <f>_xlfn.XLOOKUP(B89,'[3]may-2025'!$A:$A,'[3]may-2025'!$J:$J,0,0)</f>
        <v>0</v>
      </c>
      <c r="ED89">
        <f>_xlfn.XLOOKUP(B89,'[4]june-2025'!$A:$A,'[4]june-2025'!$J:$J,0,0)</f>
        <v>0</v>
      </c>
      <c r="EE89">
        <f>_xlfn.XLOOKUP(B89,'[5]july-2025'!$A:$A,'[5]july-2025'!$J:$J,0,0)</f>
        <v>0</v>
      </c>
      <c r="EF89">
        <f>_xlfn.XLOOKUP(B89,'[6]august-2025'!$A:$A,'[6]august-2025'!$J:$J,0,0)</f>
        <v>0</v>
      </c>
      <c r="EG89">
        <f>_xlfn.XLOOKUP(B89,'[7]september-2025'!$A:$A,'[7]september-2025'!$J:$J,0,0)</f>
        <v>0</v>
      </c>
      <c r="EH89">
        <f>_xlfn.XLOOKUP(B89,'[8]october-2025'!$A:$A,'[8]october-2025'!$J:$J,0,0)</f>
        <v>0</v>
      </c>
      <c r="EI89">
        <f>_xlfn.XLOOKUP(C89,'[9]november-2025'!$A:$A,'[9]november-2025'!$J:$J,0,0)</f>
        <v>0</v>
      </c>
      <c r="EJ89">
        <f>_xlfn.XLOOKUP(B89,'[10]december-2025'!$A:$A,'[10]december-2025'!$J:$J,0,0)</f>
        <v>0</v>
      </c>
      <c r="EK89">
        <f>_xlfn.XLOOKUP(B89,'[11]january-2026'!$A:$A,'[11]january-2026'!$J:$J,0,0)</f>
        <v>0</v>
      </c>
      <c r="EL89">
        <f>_xlfn.XLOOKUP(B89,'[12]february-2026'!$A:$A,'[12]february-2026'!$J:$J,0,0)</f>
        <v>0</v>
      </c>
      <c r="EM89">
        <f t="shared" si="260"/>
        <v>0</v>
      </c>
      <c r="EN89">
        <f t="shared" si="204"/>
        <v>897304</v>
      </c>
      <c r="EO89">
        <f t="shared" si="205"/>
        <v>2400</v>
      </c>
      <c r="EP89">
        <f t="shared" si="261"/>
        <v>50000</v>
      </c>
      <c r="EQ89">
        <v>0</v>
      </c>
      <c r="ER89">
        <f t="shared" si="262"/>
        <v>844904</v>
      </c>
      <c r="ES89">
        <f t="shared" si="206"/>
        <v>60000</v>
      </c>
      <c r="ET89">
        <f t="shared" si="207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263"/>
        <v>60000</v>
      </c>
      <c r="FF89">
        <f t="shared" si="264"/>
        <v>60000</v>
      </c>
      <c r="FG89">
        <f t="shared" si="265"/>
        <v>784904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208"/>
        <v>0</v>
      </c>
      <c r="FP89">
        <f t="shared" si="266"/>
        <v>784904</v>
      </c>
      <c r="FQ89">
        <f t="shared" si="267"/>
        <v>12500</v>
      </c>
      <c r="FR89">
        <f t="shared" si="268"/>
        <v>56981</v>
      </c>
      <c r="FS89">
        <f t="shared" si="269"/>
        <v>69481</v>
      </c>
      <c r="FT89">
        <f t="shared" si="270"/>
        <v>69481</v>
      </c>
      <c r="FU89">
        <f t="shared" si="271"/>
        <v>2779.2400000000002</v>
      </c>
      <c r="FV89">
        <f t="shared" si="272"/>
        <v>72260</v>
      </c>
      <c r="FW89">
        <v>0</v>
      </c>
      <c r="FX89">
        <f t="shared" si="273"/>
        <v>72260</v>
      </c>
      <c r="FY89" t="b">
        <f t="shared" si="274"/>
        <v>1</v>
      </c>
      <c r="FZ89">
        <f t="shared" ca="1" si="275"/>
        <v>857</v>
      </c>
      <c r="GA89">
        <f t="shared" ca="1" si="276"/>
        <v>898161</v>
      </c>
      <c r="GB89">
        <f t="shared" si="277"/>
        <v>75000</v>
      </c>
      <c r="GC89">
        <f t="shared" ca="1" si="278"/>
        <v>823161</v>
      </c>
      <c r="GD89">
        <f t="shared" ca="1" si="279"/>
        <v>0</v>
      </c>
      <c r="GE89">
        <f t="shared" ca="1" si="280"/>
        <v>0</v>
      </c>
      <c r="GF89">
        <f t="shared" ca="1" si="281"/>
        <v>0</v>
      </c>
      <c r="GG89">
        <f t="shared" ca="1" si="282"/>
        <v>0</v>
      </c>
      <c r="GH89">
        <f t="shared" ca="1" si="283"/>
        <v>0</v>
      </c>
      <c r="GI89">
        <f t="shared" ca="1" si="284"/>
        <v>0</v>
      </c>
      <c r="GJ89">
        <f t="shared" ca="1" si="209"/>
        <v>0</v>
      </c>
      <c r="GK89">
        <f t="shared" ca="1" si="285"/>
        <v>0</v>
      </c>
      <c r="GL89">
        <f t="shared" ca="1" si="286"/>
        <v>23161</v>
      </c>
      <c r="GM89">
        <f t="shared" ca="1" si="287"/>
        <v>2316.1</v>
      </c>
      <c r="GN89">
        <f t="shared" ca="1" si="288"/>
        <v>400000</v>
      </c>
      <c r="GO89">
        <f t="shared" ca="1" si="289"/>
        <v>20000</v>
      </c>
      <c r="GP89">
        <f t="shared" ca="1" si="290"/>
        <v>22316</v>
      </c>
      <c r="GQ89">
        <f t="shared" ca="1" si="291"/>
        <v>0</v>
      </c>
      <c r="GR89">
        <f t="shared" ca="1" si="292"/>
        <v>0</v>
      </c>
      <c r="GS89">
        <f t="shared" ca="1" si="293"/>
        <v>22316</v>
      </c>
      <c r="GT89">
        <f t="shared" ca="1" si="294"/>
        <v>0</v>
      </c>
      <c r="GU89" t="b">
        <f t="shared" ca="1" si="295"/>
        <v>0</v>
      </c>
      <c r="GV89">
        <f t="shared" ca="1" si="296"/>
        <v>0</v>
      </c>
      <c r="GW89">
        <f t="shared" ca="1" si="297"/>
        <v>22316</v>
      </c>
      <c r="GX89">
        <f t="shared" ca="1" si="298"/>
        <v>0</v>
      </c>
      <c r="GY89">
        <f t="shared" ca="1" si="299"/>
        <v>0</v>
      </c>
      <c r="GZ89">
        <f t="shared" ca="1" si="300"/>
        <v>0</v>
      </c>
    </row>
    <row r="90" spans="1:208" x14ac:dyDescent="0.3">
      <c r="A90">
        <f>_xlfn.AGGREGATE(3,5,$B$2:B90)</f>
        <v>89</v>
      </c>
      <c r="B90" t="s">
        <v>295</v>
      </c>
      <c r="C90" t="s">
        <v>296</v>
      </c>
      <c r="D90" t="s">
        <v>773</v>
      </c>
      <c r="E90" t="s">
        <v>830</v>
      </c>
      <c r="F90" t="s">
        <v>956</v>
      </c>
      <c r="G90" t="s">
        <v>875</v>
      </c>
      <c r="H90">
        <f t="shared" si="210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1"/>
        <v>6622.0000000000009</v>
      </c>
      <c r="L90">
        <f t="shared" si="212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194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01"/>
        <v>200</v>
      </c>
      <c r="S90">
        <f t="shared" si="213"/>
        <v>56838</v>
      </c>
      <c r="T90">
        <f>_xlfn.XLOOKUP(B90,'[2]april-2025'!$A:$A,'[2]april-2025'!$C:$C,0,0)</f>
        <v>47300</v>
      </c>
      <c r="U90">
        <f t="shared" si="214"/>
        <v>8514</v>
      </c>
      <c r="V90">
        <f t="shared" si="215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16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17"/>
        <v>200</v>
      </c>
      <c r="AC90">
        <f t="shared" si="218"/>
        <v>58730</v>
      </c>
      <c r="AD90">
        <f>_xlfn.XLOOKUP(B90,'[3]may-2025'!$A:$A,'[3]may-2025'!$C:$C,0,0)</f>
        <v>47300</v>
      </c>
      <c r="AE90">
        <f t="shared" si="219"/>
        <v>8514</v>
      </c>
      <c r="AF90">
        <f t="shared" si="220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1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2"/>
        <v>200</v>
      </c>
      <c r="AM90">
        <f t="shared" si="223"/>
        <v>58730</v>
      </c>
      <c r="AN90">
        <f>_xlfn.XLOOKUP(B90,'[4]june-2025'!$A:$A,'[4]june-2025'!$C:$C,0,0)</f>
        <v>47300</v>
      </c>
      <c r="AO90">
        <f t="shared" si="224"/>
        <v>8514</v>
      </c>
      <c r="AP90">
        <f t="shared" si="225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26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27"/>
        <v>200</v>
      </c>
      <c r="AW90">
        <f t="shared" si="228"/>
        <v>58730</v>
      </c>
      <c r="AX90">
        <f>_xlfn.XLOOKUP(B90,'[5]july-2025'!$A:$A,'[5]july-2025'!$C:$C,0,0)</f>
        <v>48700</v>
      </c>
      <c r="AY90">
        <f t="shared" si="229"/>
        <v>8766</v>
      </c>
      <c r="AZ90">
        <v>0</v>
      </c>
      <c r="BA90">
        <f t="shared" si="230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195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1"/>
        <v>200</v>
      </c>
      <c r="BH90">
        <f t="shared" si="232"/>
        <v>60550</v>
      </c>
      <c r="BI90">
        <f>_xlfn.XLOOKUP(B90,'[6]august-2025'!$A:$A,'[6]august-2025'!$C:$C,0,0)</f>
        <v>48700</v>
      </c>
      <c r="BJ90">
        <f t="shared" si="233"/>
        <v>8766</v>
      </c>
      <c r="BK90">
        <f t="shared" si="234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35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196"/>
        <v>200</v>
      </c>
      <c r="BR90">
        <f t="shared" si="197"/>
        <v>60550</v>
      </c>
      <c r="BS90">
        <f>_xlfn.XLOOKUP(B90,'[7]september-2025'!$A:$A,'[7]september-2025'!$C:$C,0,0)</f>
        <v>48700</v>
      </c>
      <c r="BT90">
        <f t="shared" si="236"/>
        <v>8766</v>
      </c>
      <c r="BU90">
        <f t="shared" si="237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198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38"/>
        <v>200</v>
      </c>
      <c r="CB90">
        <f t="shared" si="239"/>
        <v>60550</v>
      </c>
      <c r="CC90">
        <f>_xlfn.XLOOKUP(B90,'[8]october-2025'!$A:$A,'[8]october-2025'!$C:$C,0,0)</f>
        <v>48700</v>
      </c>
      <c r="CD90">
        <f t="shared" si="240"/>
        <v>8766</v>
      </c>
      <c r="CE90">
        <f t="shared" si="241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199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42"/>
        <v>200</v>
      </c>
      <c r="CL90">
        <f t="shared" si="243"/>
        <v>60550</v>
      </c>
      <c r="CM90">
        <f>_xlfn.XLOOKUP(B90,'[9]november-2025'!$A:$A,'[9]november-2025'!$C:$C,0,0)</f>
        <v>48700</v>
      </c>
      <c r="CN90">
        <f t="shared" si="244"/>
        <v>8766</v>
      </c>
      <c r="CO90">
        <f t="shared" si="24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00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46"/>
        <v>200</v>
      </c>
      <c r="CV90">
        <f t="shared" si="247"/>
        <v>60550</v>
      </c>
      <c r="CW90">
        <f>_xlfn.XLOOKUP(B90,'[10]december-2025'!$A:$A,'[10]december-2025'!$C:$C,0,0)</f>
        <v>48700</v>
      </c>
      <c r="CX90">
        <f t="shared" si="248"/>
        <v>8766</v>
      </c>
      <c r="CY90">
        <f t="shared" si="249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0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50"/>
        <v>200</v>
      </c>
      <c r="DF90">
        <f t="shared" si="251"/>
        <v>60550</v>
      </c>
      <c r="DG90">
        <f>_xlfn.XLOOKUP(B90,'[11]january-2026'!$A:$A,'[11]january-2026'!$C:$C,0,0)</f>
        <v>48700</v>
      </c>
      <c r="DH90">
        <f t="shared" si="252"/>
        <v>8766</v>
      </c>
      <c r="DI90">
        <f t="shared" si="253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02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54"/>
        <v>200</v>
      </c>
      <c r="DP90">
        <f t="shared" si="255"/>
        <v>60550</v>
      </c>
      <c r="DQ90">
        <f>_xlfn.XLOOKUP(B90,'[12]february-2026'!$A:$A,'[12]february-2026'!$C:$C,0,0)</f>
        <v>48700</v>
      </c>
      <c r="DR90">
        <f t="shared" si="256"/>
        <v>8766</v>
      </c>
      <c r="DS90">
        <f t="shared" si="257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03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58"/>
        <v>200</v>
      </c>
      <c r="DZ90">
        <f t="shared" si="259"/>
        <v>60550</v>
      </c>
      <c r="EA90">
        <f>_xlfn.XLOOKUP(B90,'[1]march-2025'!$A:$A,'[1]march-2025'!$J:$J,0,0)</f>
        <v>0</v>
      </c>
      <c r="EB90">
        <f>_xlfn.XLOOKUP(B90,'[2]april-2025'!$A:$A,'[2]april-2025'!$J:$J,0,0)</f>
        <v>0</v>
      </c>
      <c r="EC90">
        <f>_xlfn.XLOOKUP(B90,'[3]may-2025'!$A:$A,'[3]may-2025'!$J:$J,0,0)</f>
        <v>0</v>
      </c>
      <c r="ED90">
        <f>_xlfn.XLOOKUP(B90,'[4]june-2025'!$A:$A,'[4]june-2025'!$J:$J,0,0)</f>
        <v>0</v>
      </c>
      <c r="EE90">
        <f>_xlfn.XLOOKUP(B90,'[5]july-2025'!$A:$A,'[5]july-2025'!$J:$J,0,0)</f>
        <v>0</v>
      </c>
      <c r="EF90">
        <f>_xlfn.XLOOKUP(B90,'[6]august-2025'!$A:$A,'[6]august-2025'!$J:$J,0,0)</f>
        <v>0</v>
      </c>
      <c r="EG90">
        <f>_xlfn.XLOOKUP(B90,'[7]september-2025'!$A:$A,'[7]september-2025'!$J:$J,0,0)</f>
        <v>0</v>
      </c>
      <c r="EH90">
        <f>_xlfn.XLOOKUP(B90,'[8]october-2025'!$A:$A,'[8]october-2025'!$J:$J,0,0)</f>
        <v>0</v>
      </c>
      <c r="EI90">
        <f>_xlfn.XLOOKUP(C90,'[9]november-2025'!$A:$A,'[9]november-2025'!$J:$J,0,0)</f>
        <v>0</v>
      </c>
      <c r="EJ90">
        <f>_xlfn.XLOOKUP(B90,'[10]december-2025'!$A:$A,'[10]december-2025'!$J:$J,0,0)</f>
        <v>0</v>
      </c>
      <c r="EK90">
        <f>_xlfn.XLOOKUP(B90,'[11]january-2026'!$A:$A,'[11]january-2026'!$J:$J,0,0)</f>
        <v>0</v>
      </c>
      <c r="EL90">
        <f>_xlfn.XLOOKUP(B90,'[12]february-2026'!$A:$A,'[12]february-2026'!$J:$J,0,0)</f>
        <v>0</v>
      </c>
      <c r="EM90">
        <f t="shared" si="260"/>
        <v>0</v>
      </c>
      <c r="EN90">
        <f t="shared" si="204"/>
        <v>763348</v>
      </c>
      <c r="EO90">
        <f t="shared" si="205"/>
        <v>2400</v>
      </c>
      <c r="EP90">
        <f t="shared" si="261"/>
        <v>50000</v>
      </c>
      <c r="EQ90">
        <v>0</v>
      </c>
      <c r="ER90">
        <f t="shared" si="262"/>
        <v>710948</v>
      </c>
      <c r="ES90">
        <f t="shared" si="206"/>
        <v>36000</v>
      </c>
      <c r="ET90">
        <f t="shared" si="207"/>
        <v>720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263"/>
        <v>36720</v>
      </c>
      <c r="FF90">
        <f t="shared" si="264"/>
        <v>36720</v>
      </c>
      <c r="FG90">
        <f t="shared" si="265"/>
        <v>674228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208"/>
        <v>0</v>
      </c>
      <c r="FP90">
        <f t="shared" si="266"/>
        <v>674228</v>
      </c>
      <c r="FQ90">
        <f t="shared" si="267"/>
        <v>12500</v>
      </c>
      <c r="FR90">
        <f t="shared" si="268"/>
        <v>34846</v>
      </c>
      <c r="FS90">
        <f t="shared" si="269"/>
        <v>47346</v>
      </c>
      <c r="FT90">
        <f t="shared" si="270"/>
        <v>47346</v>
      </c>
      <c r="FU90">
        <f t="shared" si="271"/>
        <v>1893.8400000000001</v>
      </c>
      <c r="FV90">
        <f t="shared" si="272"/>
        <v>49240</v>
      </c>
      <c r="FW90">
        <v>0</v>
      </c>
      <c r="FX90">
        <f t="shared" si="273"/>
        <v>49240</v>
      </c>
      <c r="FY90" t="b">
        <f t="shared" si="274"/>
        <v>1</v>
      </c>
      <c r="FZ90">
        <f t="shared" ca="1" si="275"/>
        <v>905</v>
      </c>
      <c r="GA90">
        <f t="shared" ca="1" si="276"/>
        <v>764253</v>
      </c>
      <c r="GB90">
        <f t="shared" si="277"/>
        <v>75000</v>
      </c>
      <c r="GC90">
        <f t="shared" ca="1" si="278"/>
        <v>689253</v>
      </c>
      <c r="GD90">
        <f t="shared" ca="1" si="279"/>
        <v>0</v>
      </c>
      <c r="GE90">
        <f t="shared" ca="1" si="280"/>
        <v>0</v>
      </c>
      <c r="GF90">
        <f t="shared" ca="1" si="281"/>
        <v>0</v>
      </c>
      <c r="GG90">
        <f t="shared" ca="1" si="282"/>
        <v>0</v>
      </c>
      <c r="GH90">
        <f t="shared" ca="1" si="283"/>
        <v>0</v>
      </c>
      <c r="GI90">
        <f t="shared" ca="1" si="284"/>
        <v>0</v>
      </c>
      <c r="GJ90">
        <f t="shared" ca="1" si="209"/>
        <v>0</v>
      </c>
      <c r="GK90">
        <f t="shared" ca="1" si="285"/>
        <v>0</v>
      </c>
      <c r="GL90">
        <f t="shared" ca="1" si="286"/>
        <v>0</v>
      </c>
      <c r="GM90">
        <f t="shared" ca="1" si="287"/>
        <v>0</v>
      </c>
      <c r="GN90">
        <f t="shared" ca="1" si="288"/>
        <v>289253</v>
      </c>
      <c r="GO90">
        <f t="shared" ca="1" si="289"/>
        <v>14462.650000000001</v>
      </c>
      <c r="GP90">
        <f t="shared" ca="1" si="290"/>
        <v>14463</v>
      </c>
      <c r="GQ90">
        <f t="shared" ca="1" si="291"/>
        <v>0</v>
      </c>
      <c r="GR90">
        <f t="shared" ca="1" si="292"/>
        <v>0</v>
      </c>
      <c r="GS90">
        <f t="shared" ca="1" si="293"/>
        <v>14463</v>
      </c>
      <c r="GT90">
        <f t="shared" ca="1" si="294"/>
        <v>0</v>
      </c>
      <c r="GU90" t="b">
        <f t="shared" ca="1" si="295"/>
        <v>0</v>
      </c>
      <c r="GV90">
        <f t="shared" ca="1" si="296"/>
        <v>0</v>
      </c>
      <c r="GW90">
        <f t="shared" ca="1" si="297"/>
        <v>14463</v>
      </c>
      <c r="GX90">
        <f t="shared" ca="1" si="298"/>
        <v>0</v>
      </c>
      <c r="GY90">
        <f t="shared" ca="1" si="299"/>
        <v>0</v>
      </c>
      <c r="GZ90">
        <f t="shared" ca="1" si="300"/>
        <v>0</v>
      </c>
    </row>
    <row r="91" spans="1:208" x14ac:dyDescent="0.3">
      <c r="A91">
        <f>_xlfn.AGGREGATE(3,5,$B$2:B91)</f>
        <v>90</v>
      </c>
      <c r="B91" t="s">
        <v>297</v>
      </c>
      <c r="C91" t="s">
        <v>298</v>
      </c>
      <c r="D91" t="s">
        <v>773</v>
      </c>
      <c r="E91" t="s">
        <v>830</v>
      </c>
      <c r="F91" t="s">
        <v>956</v>
      </c>
      <c r="G91" t="s">
        <v>877</v>
      </c>
      <c r="H91">
        <f t="shared" si="210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1"/>
        <v>4970.0000000000009</v>
      </c>
      <c r="L91">
        <f t="shared" si="212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194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01"/>
        <v>200</v>
      </c>
      <c r="S91">
        <f t="shared" si="213"/>
        <v>42030</v>
      </c>
      <c r="T91">
        <f>_xlfn.XLOOKUP(B91,'[2]april-2025'!$A:$A,'[2]april-2025'!$C:$C,0,0)</f>
        <v>35500</v>
      </c>
      <c r="U91">
        <f t="shared" si="214"/>
        <v>6390</v>
      </c>
      <c r="V91">
        <f t="shared" si="215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16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17"/>
        <v>200</v>
      </c>
      <c r="AC91">
        <f t="shared" si="218"/>
        <v>43450</v>
      </c>
      <c r="AD91">
        <f>_xlfn.XLOOKUP(B91,'[3]may-2025'!$A:$A,'[3]may-2025'!$C:$C,0,0)</f>
        <v>35500</v>
      </c>
      <c r="AE91">
        <f t="shared" si="219"/>
        <v>6390</v>
      </c>
      <c r="AF91">
        <f t="shared" si="220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1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2"/>
        <v>200</v>
      </c>
      <c r="AM91">
        <f t="shared" si="223"/>
        <v>43450</v>
      </c>
      <c r="AN91">
        <f>_xlfn.XLOOKUP(B91,'[4]june-2025'!$A:$A,'[4]june-2025'!$C:$C,0,0)</f>
        <v>35500</v>
      </c>
      <c r="AO91">
        <f t="shared" si="224"/>
        <v>6390</v>
      </c>
      <c r="AP91">
        <f t="shared" si="225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26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27"/>
        <v>200</v>
      </c>
      <c r="AW91">
        <f t="shared" si="228"/>
        <v>43450</v>
      </c>
      <c r="AX91">
        <f>_xlfn.XLOOKUP(B91,'[5]july-2025'!$A:$A,'[5]july-2025'!$C:$C,0,0)</f>
        <v>36600</v>
      </c>
      <c r="AY91">
        <f t="shared" si="229"/>
        <v>6588</v>
      </c>
      <c r="AZ91">
        <v>0</v>
      </c>
      <c r="BA91">
        <f t="shared" si="230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195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1"/>
        <v>200</v>
      </c>
      <c r="BH91">
        <f t="shared" si="232"/>
        <v>44880</v>
      </c>
      <c r="BI91">
        <f>_xlfn.XLOOKUP(B91,'[6]august-2025'!$A:$A,'[6]august-2025'!$C:$C,0,0)</f>
        <v>36600</v>
      </c>
      <c r="BJ91">
        <f t="shared" si="233"/>
        <v>6588</v>
      </c>
      <c r="BK91">
        <f t="shared" si="234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35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196"/>
        <v>200</v>
      </c>
      <c r="BR91">
        <f t="shared" si="197"/>
        <v>44880</v>
      </c>
      <c r="BS91">
        <f>_xlfn.XLOOKUP(B91,'[7]september-2025'!$A:$A,'[7]september-2025'!$C:$C,0,0)</f>
        <v>36600</v>
      </c>
      <c r="BT91">
        <f t="shared" si="236"/>
        <v>6588</v>
      </c>
      <c r="BU91">
        <f t="shared" si="237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198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38"/>
        <v>200</v>
      </c>
      <c r="CB91">
        <f t="shared" si="239"/>
        <v>44880</v>
      </c>
      <c r="CC91">
        <f>_xlfn.XLOOKUP(B91,'[8]october-2025'!$A:$A,'[8]october-2025'!$C:$C,0,0)</f>
        <v>36600</v>
      </c>
      <c r="CD91">
        <f t="shared" si="240"/>
        <v>6588</v>
      </c>
      <c r="CE91">
        <f t="shared" si="241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199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42"/>
        <v>200</v>
      </c>
      <c r="CL91">
        <f t="shared" si="243"/>
        <v>44880</v>
      </c>
      <c r="CM91">
        <f>_xlfn.XLOOKUP(B91,'[9]november-2025'!$A:$A,'[9]november-2025'!$C:$C,0,0)</f>
        <v>36600</v>
      </c>
      <c r="CN91">
        <f t="shared" si="244"/>
        <v>6588</v>
      </c>
      <c r="CO91">
        <f t="shared" si="24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00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46"/>
        <v>200</v>
      </c>
      <c r="CV91">
        <f t="shared" si="247"/>
        <v>44880</v>
      </c>
      <c r="CW91">
        <f>_xlfn.XLOOKUP(B91,'[10]december-2025'!$A:$A,'[10]december-2025'!$C:$C,0,0)</f>
        <v>36600</v>
      </c>
      <c r="CX91">
        <f t="shared" si="248"/>
        <v>6588</v>
      </c>
      <c r="CY91">
        <f t="shared" si="249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0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50"/>
        <v>200</v>
      </c>
      <c r="DF91">
        <f t="shared" si="251"/>
        <v>44880</v>
      </c>
      <c r="DG91">
        <f>_xlfn.XLOOKUP(B91,'[11]january-2026'!$A:$A,'[11]january-2026'!$C:$C,0,0)</f>
        <v>36600</v>
      </c>
      <c r="DH91">
        <f t="shared" si="252"/>
        <v>6588</v>
      </c>
      <c r="DI91">
        <f t="shared" si="253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02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54"/>
        <v>200</v>
      </c>
      <c r="DP91">
        <f t="shared" si="255"/>
        <v>44880</v>
      </c>
      <c r="DQ91">
        <f>_xlfn.XLOOKUP(B91,'[12]february-2026'!$A:$A,'[12]february-2026'!$C:$C,0,0)</f>
        <v>36600</v>
      </c>
      <c r="DR91">
        <f t="shared" si="256"/>
        <v>6588</v>
      </c>
      <c r="DS91">
        <f t="shared" si="257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03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58"/>
        <v>200</v>
      </c>
      <c r="DZ91">
        <f t="shared" si="259"/>
        <v>44880</v>
      </c>
      <c r="EA91">
        <f>_xlfn.XLOOKUP(B91,'[1]march-2025'!$A:$A,'[1]march-2025'!$J:$J,0,0)</f>
        <v>0</v>
      </c>
      <c r="EB91">
        <f>_xlfn.XLOOKUP(B91,'[2]april-2025'!$A:$A,'[2]april-2025'!$J:$J,0,0)</f>
        <v>0</v>
      </c>
      <c r="EC91">
        <f>_xlfn.XLOOKUP(B91,'[3]may-2025'!$A:$A,'[3]may-2025'!$J:$J,0,0)</f>
        <v>0</v>
      </c>
      <c r="ED91">
        <f>_xlfn.XLOOKUP(B91,'[4]june-2025'!$A:$A,'[4]june-2025'!$J:$J,0,0)</f>
        <v>0</v>
      </c>
      <c r="EE91">
        <f>_xlfn.XLOOKUP(B91,'[5]july-2025'!$A:$A,'[5]july-2025'!$J:$J,0,0)</f>
        <v>0</v>
      </c>
      <c r="EF91">
        <f>_xlfn.XLOOKUP(B91,'[6]august-2025'!$A:$A,'[6]august-2025'!$J:$J,0,0)</f>
        <v>0</v>
      </c>
      <c r="EG91">
        <f>_xlfn.XLOOKUP(B91,'[7]september-2025'!$A:$A,'[7]september-2025'!$J:$J,0,0)</f>
        <v>0</v>
      </c>
      <c r="EH91">
        <f>_xlfn.XLOOKUP(B91,'[8]october-2025'!$A:$A,'[8]october-2025'!$J:$J,0,0)</f>
        <v>0</v>
      </c>
      <c r="EI91">
        <f>_xlfn.XLOOKUP(C91,'[9]november-2025'!$A:$A,'[9]november-2025'!$J:$J,0,0)</f>
        <v>0</v>
      </c>
      <c r="EJ91">
        <f>_xlfn.XLOOKUP(B91,'[10]december-2025'!$A:$A,'[10]december-2025'!$J:$J,0,0)</f>
        <v>0</v>
      </c>
      <c r="EK91">
        <f>_xlfn.XLOOKUP(B91,'[11]january-2026'!$A:$A,'[11]january-2026'!$J:$J,0,0)</f>
        <v>0</v>
      </c>
      <c r="EL91">
        <f>_xlfn.XLOOKUP(B91,'[12]february-2026'!$A:$A,'[12]february-2026'!$J:$J,0,0)</f>
        <v>0</v>
      </c>
      <c r="EM91">
        <f t="shared" si="260"/>
        <v>0</v>
      </c>
      <c r="EN91">
        <f t="shared" si="204"/>
        <v>576620</v>
      </c>
      <c r="EO91">
        <f t="shared" si="205"/>
        <v>2400</v>
      </c>
      <c r="EP91">
        <f t="shared" si="261"/>
        <v>50000</v>
      </c>
      <c r="EQ91">
        <v>0</v>
      </c>
      <c r="ER91">
        <f t="shared" si="262"/>
        <v>524220</v>
      </c>
      <c r="ES91">
        <f t="shared" si="206"/>
        <v>36000</v>
      </c>
      <c r="ET91">
        <f t="shared" si="207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263"/>
        <v>36000</v>
      </c>
      <c r="FF91">
        <f t="shared" si="264"/>
        <v>36000</v>
      </c>
      <c r="FG91">
        <f t="shared" si="265"/>
        <v>488220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208"/>
        <v>0</v>
      </c>
      <c r="FP91">
        <f t="shared" si="266"/>
        <v>488220</v>
      </c>
      <c r="FQ91">
        <f t="shared" si="267"/>
        <v>11911</v>
      </c>
      <c r="FR91">
        <f t="shared" si="268"/>
        <v>0</v>
      </c>
      <c r="FS91">
        <f t="shared" si="269"/>
        <v>11911</v>
      </c>
      <c r="FT91">
        <f t="shared" si="270"/>
        <v>0</v>
      </c>
      <c r="FU91">
        <f t="shared" si="271"/>
        <v>0</v>
      </c>
      <c r="FV91">
        <f t="shared" si="272"/>
        <v>0</v>
      </c>
      <c r="FW91">
        <v>0</v>
      </c>
      <c r="FX91">
        <f t="shared" si="273"/>
        <v>0</v>
      </c>
      <c r="FY91" t="b">
        <f t="shared" si="274"/>
        <v>1</v>
      </c>
      <c r="FZ91">
        <f t="shared" ca="1" si="275"/>
        <v>642</v>
      </c>
      <c r="GA91">
        <f t="shared" ca="1" si="276"/>
        <v>577262</v>
      </c>
      <c r="GB91">
        <f t="shared" si="277"/>
        <v>75000</v>
      </c>
      <c r="GC91">
        <f t="shared" ca="1" si="278"/>
        <v>502262</v>
      </c>
      <c r="GD91">
        <f t="shared" ca="1" si="279"/>
        <v>0</v>
      </c>
      <c r="GE91">
        <f t="shared" ca="1" si="280"/>
        <v>0</v>
      </c>
      <c r="GF91">
        <f t="shared" ca="1" si="281"/>
        <v>0</v>
      </c>
      <c r="GG91">
        <f t="shared" ca="1" si="282"/>
        <v>0</v>
      </c>
      <c r="GH91">
        <f t="shared" ca="1" si="283"/>
        <v>0</v>
      </c>
      <c r="GI91">
        <f t="shared" ca="1" si="284"/>
        <v>0</v>
      </c>
      <c r="GJ91">
        <f t="shared" ca="1" si="209"/>
        <v>0</v>
      </c>
      <c r="GK91">
        <f t="shared" ca="1" si="285"/>
        <v>0</v>
      </c>
      <c r="GL91">
        <f t="shared" ca="1" si="286"/>
        <v>0</v>
      </c>
      <c r="GM91">
        <f t="shared" ca="1" si="287"/>
        <v>0</v>
      </c>
      <c r="GN91">
        <f t="shared" ca="1" si="288"/>
        <v>102262</v>
      </c>
      <c r="GO91">
        <f t="shared" ca="1" si="289"/>
        <v>5113.1000000000004</v>
      </c>
      <c r="GP91">
        <f t="shared" ca="1" si="290"/>
        <v>5113</v>
      </c>
      <c r="GQ91">
        <f t="shared" ca="1" si="291"/>
        <v>0</v>
      </c>
      <c r="GR91">
        <f t="shared" ca="1" si="292"/>
        <v>0</v>
      </c>
      <c r="GS91">
        <f t="shared" ca="1" si="293"/>
        <v>5113</v>
      </c>
      <c r="GT91">
        <f t="shared" ca="1" si="294"/>
        <v>0</v>
      </c>
      <c r="GU91" t="b">
        <f t="shared" ca="1" si="295"/>
        <v>0</v>
      </c>
      <c r="GV91">
        <f t="shared" ca="1" si="296"/>
        <v>0</v>
      </c>
      <c r="GW91">
        <f t="shared" ca="1" si="297"/>
        <v>5113</v>
      </c>
      <c r="GX91">
        <f t="shared" ca="1" si="298"/>
        <v>0</v>
      </c>
      <c r="GY91">
        <f t="shared" ca="1" si="299"/>
        <v>0</v>
      </c>
      <c r="GZ91">
        <f t="shared" ca="1" si="300"/>
        <v>0</v>
      </c>
    </row>
    <row r="92" spans="1:208" x14ac:dyDescent="0.3">
      <c r="A92">
        <f>_xlfn.AGGREGATE(3,5,$B$2:B92)</f>
        <v>91</v>
      </c>
      <c r="B92" t="s">
        <v>299</v>
      </c>
      <c r="C92" t="s">
        <v>300</v>
      </c>
      <c r="D92" t="s">
        <v>773</v>
      </c>
      <c r="E92" t="s">
        <v>830</v>
      </c>
      <c r="F92" t="s">
        <v>956</v>
      </c>
      <c r="G92" t="s">
        <v>877</v>
      </c>
      <c r="H92">
        <f t="shared" si="210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1"/>
        <v>4830.0000000000009</v>
      </c>
      <c r="L92">
        <f t="shared" si="212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194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01"/>
        <v>200</v>
      </c>
      <c r="S92">
        <f t="shared" si="213"/>
        <v>40770</v>
      </c>
      <c r="T92">
        <f>_xlfn.XLOOKUP(B92,'[2]april-2025'!$A:$A,'[2]april-2025'!$C:$C,0,0)</f>
        <v>34500</v>
      </c>
      <c r="U92">
        <f t="shared" si="214"/>
        <v>6210</v>
      </c>
      <c r="V92">
        <f t="shared" si="215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16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17"/>
        <v>200</v>
      </c>
      <c r="AC92">
        <f t="shared" si="218"/>
        <v>42150</v>
      </c>
      <c r="AD92">
        <f>_xlfn.XLOOKUP(B92,'[3]may-2025'!$A:$A,'[3]may-2025'!$C:$C,0,0)</f>
        <v>34500</v>
      </c>
      <c r="AE92">
        <f t="shared" si="219"/>
        <v>6210</v>
      </c>
      <c r="AF92">
        <f t="shared" si="220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1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2"/>
        <v>200</v>
      </c>
      <c r="AM92">
        <f t="shared" si="223"/>
        <v>42150</v>
      </c>
      <c r="AN92">
        <f>_xlfn.XLOOKUP(B92,'[4]june-2025'!$A:$A,'[4]june-2025'!$C:$C,0,0)</f>
        <v>34500</v>
      </c>
      <c r="AO92">
        <f t="shared" si="224"/>
        <v>6210</v>
      </c>
      <c r="AP92">
        <f t="shared" si="225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26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27"/>
        <v>200</v>
      </c>
      <c r="AW92">
        <f t="shared" si="228"/>
        <v>42150</v>
      </c>
      <c r="AX92">
        <f>_xlfn.XLOOKUP(B92,'[5]july-2025'!$A:$A,'[5]july-2025'!$C:$C,0,0)</f>
        <v>35500</v>
      </c>
      <c r="AY92">
        <f t="shared" si="229"/>
        <v>6390</v>
      </c>
      <c r="AZ92">
        <v>0</v>
      </c>
      <c r="BA92">
        <f t="shared" si="230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195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1"/>
        <v>200</v>
      </c>
      <c r="BH92">
        <f t="shared" si="232"/>
        <v>43450</v>
      </c>
      <c r="BI92">
        <f>_xlfn.XLOOKUP(B92,'[6]august-2025'!$A:$A,'[6]august-2025'!$C:$C,0,0)</f>
        <v>35500</v>
      </c>
      <c r="BJ92">
        <f t="shared" si="233"/>
        <v>6390</v>
      </c>
      <c r="BK92">
        <f t="shared" si="234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35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196"/>
        <v>200</v>
      </c>
      <c r="BR92">
        <f t="shared" si="197"/>
        <v>43450</v>
      </c>
      <c r="BS92">
        <f>_xlfn.XLOOKUP(B92,'[7]september-2025'!$A:$A,'[7]september-2025'!$C:$C,0,0)</f>
        <v>35500</v>
      </c>
      <c r="BT92">
        <f t="shared" si="236"/>
        <v>6390</v>
      </c>
      <c r="BU92">
        <f t="shared" si="237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198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38"/>
        <v>200</v>
      </c>
      <c r="CB92">
        <f t="shared" si="239"/>
        <v>43450</v>
      </c>
      <c r="CC92">
        <f>_xlfn.XLOOKUP(B92,'[8]october-2025'!$A:$A,'[8]october-2025'!$C:$C,0,0)</f>
        <v>35500</v>
      </c>
      <c r="CD92">
        <f t="shared" si="240"/>
        <v>6390</v>
      </c>
      <c r="CE92">
        <f t="shared" si="241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199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42"/>
        <v>200</v>
      </c>
      <c r="CL92">
        <f t="shared" si="243"/>
        <v>43450</v>
      </c>
      <c r="CM92">
        <f>_xlfn.XLOOKUP(B92,'[9]november-2025'!$A:$A,'[9]november-2025'!$C:$C,0,0)</f>
        <v>35500</v>
      </c>
      <c r="CN92">
        <f t="shared" si="244"/>
        <v>6390</v>
      </c>
      <c r="CO92">
        <f t="shared" si="24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00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46"/>
        <v>200</v>
      </c>
      <c r="CV92">
        <f t="shared" si="247"/>
        <v>43450</v>
      </c>
      <c r="CW92">
        <f>_xlfn.XLOOKUP(B92,'[10]december-2025'!$A:$A,'[10]december-2025'!$C:$C,0,0)</f>
        <v>35500</v>
      </c>
      <c r="CX92">
        <f t="shared" si="248"/>
        <v>6390</v>
      </c>
      <c r="CY92">
        <f t="shared" si="249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0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50"/>
        <v>200</v>
      </c>
      <c r="DF92">
        <f t="shared" si="251"/>
        <v>43450</v>
      </c>
      <c r="DG92">
        <f>_xlfn.XLOOKUP(B92,'[11]january-2026'!$A:$A,'[11]january-2026'!$C:$C,0,0)</f>
        <v>35500</v>
      </c>
      <c r="DH92">
        <f t="shared" si="252"/>
        <v>6390</v>
      </c>
      <c r="DI92">
        <f t="shared" si="253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02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54"/>
        <v>200</v>
      </c>
      <c r="DP92">
        <f t="shared" si="255"/>
        <v>43450</v>
      </c>
      <c r="DQ92">
        <f>_xlfn.XLOOKUP(B92,'[12]february-2026'!$A:$A,'[12]february-2026'!$C:$C,0,0)</f>
        <v>35500</v>
      </c>
      <c r="DR92">
        <f t="shared" si="256"/>
        <v>6390</v>
      </c>
      <c r="DS92">
        <f t="shared" si="257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03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58"/>
        <v>200</v>
      </c>
      <c r="DZ92">
        <f t="shared" si="259"/>
        <v>43450</v>
      </c>
      <c r="EA92">
        <f>_xlfn.XLOOKUP(B92,'[1]march-2025'!$A:$A,'[1]march-2025'!$J:$J,0,0)</f>
        <v>0</v>
      </c>
      <c r="EB92">
        <f>_xlfn.XLOOKUP(B92,'[2]april-2025'!$A:$A,'[2]april-2025'!$J:$J,0,0)</f>
        <v>0</v>
      </c>
      <c r="EC92">
        <f>_xlfn.XLOOKUP(B92,'[3]may-2025'!$A:$A,'[3]may-2025'!$J:$J,0,0)</f>
        <v>0</v>
      </c>
      <c r="ED92">
        <f>_xlfn.XLOOKUP(B92,'[4]june-2025'!$A:$A,'[4]june-2025'!$J:$J,0,0)</f>
        <v>0</v>
      </c>
      <c r="EE92">
        <f>_xlfn.XLOOKUP(B92,'[5]july-2025'!$A:$A,'[5]july-2025'!$J:$J,0,0)</f>
        <v>0</v>
      </c>
      <c r="EF92">
        <f>_xlfn.XLOOKUP(B92,'[6]august-2025'!$A:$A,'[6]august-2025'!$J:$J,0,0)</f>
        <v>0</v>
      </c>
      <c r="EG92">
        <f>_xlfn.XLOOKUP(B92,'[7]september-2025'!$A:$A,'[7]september-2025'!$J:$J,0,0)</f>
        <v>0</v>
      </c>
      <c r="EH92">
        <f>_xlfn.XLOOKUP(B92,'[8]october-2025'!$A:$A,'[8]october-2025'!$J:$J,0,0)</f>
        <v>0</v>
      </c>
      <c r="EI92">
        <f>_xlfn.XLOOKUP(C92,'[9]november-2025'!$A:$A,'[9]november-2025'!$J:$J,0,0)</f>
        <v>0</v>
      </c>
      <c r="EJ92">
        <f>_xlfn.XLOOKUP(B92,'[10]december-2025'!$A:$A,'[10]december-2025'!$J:$J,0,0)</f>
        <v>0</v>
      </c>
      <c r="EK92">
        <f>_xlfn.XLOOKUP(B92,'[11]january-2026'!$A:$A,'[11]january-2026'!$J:$J,0,0)</f>
        <v>0</v>
      </c>
      <c r="EL92">
        <f>_xlfn.XLOOKUP(B92,'[12]february-2026'!$A:$A,'[12]february-2026'!$J:$J,0,0)</f>
        <v>0</v>
      </c>
      <c r="EM92">
        <f t="shared" si="260"/>
        <v>0</v>
      </c>
      <c r="EN92">
        <f t="shared" si="204"/>
        <v>560020</v>
      </c>
      <c r="EO92">
        <f t="shared" si="205"/>
        <v>2400</v>
      </c>
      <c r="EP92">
        <f t="shared" si="261"/>
        <v>50000</v>
      </c>
      <c r="EQ92">
        <v>0</v>
      </c>
      <c r="ER92">
        <f t="shared" si="262"/>
        <v>507620</v>
      </c>
      <c r="ES92">
        <f t="shared" si="206"/>
        <v>36000</v>
      </c>
      <c r="ET92">
        <f t="shared" si="207"/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263"/>
        <v>36000</v>
      </c>
      <c r="FF92">
        <f t="shared" si="264"/>
        <v>36000</v>
      </c>
      <c r="FG92">
        <f t="shared" si="265"/>
        <v>471620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208"/>
        <v>0</v>
      </c>
      <c r="FP92">
        <f t="shared" si="266"/>
        <v>471620</v>
      </c>
      <c r="FQ92">
        <f t="shared" si="267"/>
        <v>11081</v>
      </c>
      <c r="FR92">
        <f t="shared" si="268"/>
        <v>0</v>
      </c>
      <c r="FS92">
        <f t="shared" si="269"/>
        <v>11081</v>
      </c>
      <c r="FT92">
        <f t="shared" si="270"/>
        <v>0</v>
      </c>
      <c r="FU92">
        <f t="shared" si="271"/>
        <v>0</v>
      </c>
      <c r="FV92">
        <f t="shared" si="272"/>
        <v>0</v>
      </c>
      <c r="FW92">
        <v>0</v>
      </c>
      <c r="FX92">
        <f t="shared" si="273"/>
        <v>0</v>
      </c>
      <c r="FY92" t="b">
        <f t="shared" si="274"/>
        <v>1</v>
      </c>
      <c r="FZ92">
        <f t="shared" ca="1" si="275"/>
        <v>812</v>
      </c>
      <c r="GA92">
        <f t="shared" ca="1" si="276"/>
        <v>560832</v>
      </c>
      <c r="GB92">
        <f t="shared" si="277"/>
        <v>75000</v>
      </c>
      <c r="GC92">
        <f t="shared" ca="1" si="278"/>
        <v>485832</v>
      </c>
      <c r="GD92">
        <f t="shared" ca="1" si="279"/>
        <v>0</v>
      </c>
      <c r="GE92">
        <f t="shared" ca="1" si="280"/>
        <v>0</v>
      </c>
      <c r="GF92">
        <f t="shared" ca="1" si="281"/>
        <v>0</v>
      </c>
      <c r="GG92">
        <f t="shared" ca="1" si="282"/>
        <v>0</v>
      </c>
      <c r="GH92">
        <f t="shared" ca="1" si="283"/>
        <v>0</v>
      </c>
      <c r="GI92">
        <f t="shared" ca="1" si="284"/>
        <v>0</v>
      </c>
      <c r="GJ92">
        <f t="shared" ca="1" si="209"/>
        <v>0</v>
      </c>
      <c r="GK92">
        <f t="shared" ca="1" si="285"/>
        <v>0</v>
      </c>
      <c r="GL92">
        <f t="shared" ca="1" si="286"/>
        <v>0</v>
      </c>
      <c r="GM92">
        <f t="shared" ca="1" si="287"/>
        <v>0</v>
      </c>
      <c r="GN92">
        <f t="shared" ca="1" si="288"/>
        <v>85832</v>
      </c>
      <c r="GO92">
        <f t="shared" ca="1" si="289"/>
        <v>4291.6000000000004</v>
      </c>
      <c r="GP92">
        <f t="shared" ca="1" si="290"/>
        <v>4292</v>
      </c>
      <c r="GQ92">
        <f t="shared" ca="1" si="291"/>
        <v>0</v>
      </c>
      <c r="GR92">
        <f t="shared" ca="1" si="292"/>
        <v>0</v>
      </c>
      <c r="GS92">
        <f t="shared" ca="1" si="293"/>
        <v>4292</v>
      </c>
      <c r="GT92">
        <f t="shared" ca="1" si="294"/>
        <v>0</v>
      </c>
      <c r="GU92" t="b">
        <f t="shared" ca="1" si="295"/>
        <v>0</v>
      </c>
      <c r="GV92">
        <f t="shared" ca="1" si="296"/>
        <v>0</v>
      </c>
      <c r="GW92">
        <f t="shared" ca="1" si="297"/>
        <v>4292</v>
      </c>
      <c r="GX92">
        <f t="shared" ca="1" si="298"/>
        <v>0</v>
      </c>
      <c r="GY92">
        <f t="shared" ca="1" si="299"/>
        <v>0</v>
      </c>
      <c r="GZ92">
        <f t="shared" ca="1" si="300"/>
        <v>0</v>
      </c>
    </row>
    <row r="93" spans="1:208" x14ac:dyDescent="0.3">
      <c r="A93">
        <f>_xlfn.AGGREGATE(3,5,$B$2:B93)</f>
        <v>92</v>
      </c>
      <c r="B93" t="s">
        <v>301</v>
      </c>
      <c r="C93" t="s">
        <v>302</v>
      </c>
      <c r="D93" t="s">
        <v>773</v>
      </c>
      <c r="E93" t="s">
        <v>830</v>
      </c>
      <c r="F93" t="s">
        <v>956</v>
      </c>
      <c r="G93" t="s">
        <v>903</v>
      </c>
      <c r="H93">
        <f t="shared" si="210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1"/>
        <v>4046.0000000000005</v>
      </c>
      <c r="L93">
        <f t="shared" si="212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194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01"/>
        <v>150</v>
      </c>
      <c r="S93">
        <f t="shared" si="213"/>
        <v>34764</v>
      </c>
      <c r="T93">
        <f>_xlfn.XLOOKUP(B93,'[2]april-2025'!$A:$A,'[2]april-2025'!$C:$C,0,0)</f>
        <v>28900</v>
      </c>
      <c r="U93">
        <f t="shared" si="214"/>
        <v>5202</v>
      </c>
      <c r="V93">
        <f t="shared" si="215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16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17"/>
        <v>150</v>
      </c>
      <c r="AC93">
        <f t="shared" si="218"/>
        <v>35920</v>
      </c>
      <c r="AD93">
        <f>_xlfn.XLOOKUP(B93,'[3]may-2025'!$A:$A,'[3]may-2025'!$C:$C,0,0)</f>
        <v>28900</v>
      </c>
      <c r="AE93">
        <f t="shared" si="219"/>
        <v>5202</v>
      </c>
      <c r="AF93">
        <f t="shared" si="220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1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2"/>
        <v>150</v>
      </c>
      <c r="AM93">
        <f t="shared" si="223"/>
        <v>35920</v>
      </c>
      <c r="AN93">
        <f>_xlfn.XLOOKUP(B93,'[4]june-2025'!$A:$A,'[4]june-2025'!$C:$C,0,0)</f>
        <v>28900</v>
      </c>
      <c r="AO93">
        <f t="shared" si="224"/>
        <v>5202</v>
      </c>
      <c r="AP93">
        <f t="shared" si="225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26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27"/>
        <v>150</v>
      </c>
      <c r="AW93">
        <f t="shared" si="228"/>
        <v>35920</v>
      </c>
      <c r="AX93">
        <f>_xlfn.XLOOKUP(B93,'[5]july-2025'!$A:$A,'[5]july-2025'!$C:$C,0,0)</f>
        <v>29800</v>
      </c>
      <c r="AY93">
        <f t="shared" si="229"/>
        <v>5364</v>
      </c>
      <c r="AZ93">
        <v>0</v>
      </c>
      <c r="BA93">
        <f t="shared" si="230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195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1"/>
        <v>150</v>
      </c>
      <c r="BH93">
        <f t="shared" si="232"/>
        <v>37090</v>
      </c>
      <c r="BI93">
        <f>_xlfn.XLOOKUP(B93,'[6]august-2025'!$A:$A,'[6]august-2025'!$C:$C,0,0)</f>
        <v>29800</v>
      </c>
      <c r="BJ93">
        <f t="shared" si="233"/>
        <v>5364</v>
      </c>
      <c r="BK93">
        <f t="shared" si="234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35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196"/>
        <v>150</v>
      </c>
      <c r="BR93">
        <f t="shared" si="197"/>
        <v>37090</v>
      </c>
      <c r="BS93">
        <f>_xlfn.XLOOKUP(B93,'[7]september-2025'!$A:$A,'[7]september-2025'!$C:$C,0,0)</f>
        <v>29800</v>
      </c>
      <c r="BT93">
        <f t="shared" si="236"/>
        <v>5364</v>
      </c>
      <c r="BU93">
        <f t="shared" si="237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198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38"/>
        <v>150</v>
      </c>
      <c r="CB93">
        <f t="shared" si="239"/>
        <v>37090</v>
      </c>
      <c r="CC93">
        <f>_xlfn.XLOOKUP(B93,'[8]october-2025'!$A:$A,'[8]october-2025'!$C:$C,0,0)</f>
        <v>29800</v>
      </c>
      <c r="CD93">
        <f t="shared" si="240"/>
        <v>5364</v>
      </c>
      <c r="CE93">
        <f t="shared" si="241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199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42"/>
        <v>150</v>
      </c>
      <c r="CL93">
        <f t="shared" si="243"/>
        <v>37090</v>
      </c>
      <c r="CM93">
        <f>_xlfn.XLOOKUP(B93,'[9]november-2025'!$A:$A,'[9]november-2025'!$C:$C,0,0)</f>
        <v>29800</v>
      </c>
      <c r="CN93">
        <f t="shared" si="244"/>
        <v>5364</v>
      </c>
      <c r="CO93">
        <f t="shared" si="24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00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46"/>
        <v>150</v>
      </c>
      <c r="CV93">
        <f t="shared" si="247"/>
        <v>37090</v>
      </c>
      <c r="CW93">
        <f>_xlfn.XLOOKUP(B93,'[10]december-2025'!$A:$A,'[10]december-2025'!$C:$C,0,0)</f>
        <v>29800</v>
      </c>
      <c r="CX93">
        <f t="shared" si="248"/>
        <v>5364</v>
      </c>
      <c r="CY93">
        <f t="shared" si="249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0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50"/>
        <v>150</v>
      </c>
      <c r="DF93">
        <f t="shared" si="251"/>
        <v>37090</v>
      </c>
      <c r="DG93">
        <f>_xlfn.XLOOKUP(B93,'[11]january-2026'!$A:$A,'[11]january-2026'!$C:$C,0,0)</f>
        <v>29800</v>
      </c>
      <c r="DH93">
        <f t="shared" si="252"/>
        <v>5364</v>
      </c>
      <c r="DI93">
        <f t="shared" si="253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02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54"/>
        <v>150</v>
      </c>
      <c r="DP93">
        <f t="shared" si="255"/>
        <v>37090</v>
      </c>
      <c r="DQ93">
        <f>_xlfn.XLOOKUP(B93,'[12]february-2026'!$A:$A,'[12]february-2026'!$C:$C,0,0)</f>
        <v>29800</v>
      </c>
      <c r="DR93">
        <f t="shared" si="256"/>
        <v>5364</v>
      </c>
      <c r="DS93">
        <f t="shared" si="257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03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58"/>
        <v>150</v>
      </c>
      <c r="DZ93">
        <f t="shared" si="259"/>
        <v>37090</v>
      </c>
      <c r="EA93">
        <f>_xlfn.XLOOKUP(B93,'[1]march-2025'!$A:$A,'[1]march-2025'!$J:$J,0,0)</f>
        <v>0</v>
      </c>
      <c r="EB93">
        <f>_xlfn.XLOOKUP(B93,'[2]april-2025'!$A:$A,'[2]april-2025'!$J:$J,0,0)</f>
        <v>0</v>
      </c>
      <c r="EC93">
        <f>_xlfn.XLOOKUP(B93,'[3]may-2025'!$A:$A,'[3]may-2025'!$J:$J,0,0)</f>
        <v>34471</v>
      </c>
      <c r="ED93">
        <f>_xlfn.XLOOKUP(B93,'[4]june-2025'!$A:$A,'[4]june-2025'!$J:$J,0,0)</f>
        <v>0</v>
      </c>
      <c r="EE93">
        <f>_xlfn.XLOOKUP(B93,'[5]july-2025'!$A:$A,'[5]july-2025'!$J:$J,0,0)</f>
        <v>0</v>
      </c>
      <c r="EF93">
        <f>_xlfn.XLOOKUP(B93,'[6]august-2025'!$A:$A,'[6]august-2025'!$J:$J,0,0)</f>
        <v>0</v>
      </c>
      <c r="EG93">
        <f>_xlfn.XLOOKUP(B93,'[7]september-2025'!$A:$A,'[7]september-2025'!$J:$J,0,0)</f>
        <v>0</v>
      </c>
      <c r="EH93">
        <f>_xlfn.XLOOKUP(B93,'[8]october-2025'!$A:$A,'[8]october-2025'!$J:$J,0,0)</f>
        <v>0</v>
      </c>
      <c r="EI93">
        <f>_xlfn.XLOOKUP(C93,'[9]november-2025'!$A:$A,'[9]november-2025'!$J:$J,0,0)</f>
        <v>0</v>
      </c>
      <c r="EJ93">
        <f>_xlfn.XLOOKUP(B93,'[10]december-2025'!$A:$A,'[10]december-2025'!$J:$J,0,0)</f>
        <v>0</v>
      </c>
      <c r="EK93">
        <f>_xlfn.XLOOKUP(B93,'[11]january-2026'!$A:$A,'[11]january-2026'!$J:$J,0,0)</f>
        <v>0</v>
      </c>
      <c r="EL93">
        <f>_xlfn.XLOOKUP(B93,'[12]february-2026'!$A:$A,'[12]february-2026'!$J:$J,0,0)</f>
        <v>0</v>
      </c>
      <c r="EM93">
        <f t="shared" si="260"/>
        <v>34471</v>
      </c>
      <c r="EN93">
        <f t="shared" si="204"/>
        <v>471844</v>
      </c>
      <c r="EO93">
        <f t="shared" si="205"/>
        <v>1800</v>
      </c>
      <c r="EP93">
        <f t="shared" si="261"/>
        <v>50000</v>
      </c>
      <c r="EQ93">
        <v>0</v>
      </c>
      <c r="ER93">
        <f t="shared" si="262"/>
        <v>454515</v>
      </c>
      <c r="ES93">
        <f t="shared" si="206"/>
        <v>24000</v>
      </c>
      <c r="ET93">
        <f t="shared" si="207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263"/>
        <v>24000</v>
      </c>
      <c r="FF93">
        <f t="shared" si="264"/>
        <v>24000</v>
      </c>
      <c r="FG93">
        <f t="shared" si="265"/>
        <v>430515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208"/>
        <v>0</v>
      </c>
      <c r="FP93">
        <f t="shared" si="266"/>
        <v>430515</v>
      </c>
      <c r="FQ93">
        <f t="shared" si="267"/>
        <v>9026</v>
      </c>
      <c r="FR93">
        <f t="shared" si="268"/>
        <v>0</v>
      </c>
      <c r="FS93">
        <f t="shared" si="269"/>
        <v>9026</v>
      </c>
      <c r="FT93">
        <f t="shared" si="270"/>
        <v>0</v>
      </c>
      <c r="FU93">
        <f t="shared" si="271"/>
        <v>0</v>
      </c>
      <c r="FV93">
        <f t="shared" si="272"/>
        <v>0</v>
      </c>
      <c r="FW93">
        <v>0</v>
      </c>
      <c r="FX93">
        <f t="shared" si="273"/>
        <v>0</v>
      </c>
      <c r="FY93" t="b">
        <f t="shared" si="274"/>
        <v>0</v>
      </c>
      <c r="FZ93">
        <f t="shared" ca="1" si="275"/>
        <v>1967</v>
      </c>
      <c r="GA93">
        <f t="shared" ca="1" si="276"/>
        <v>473811</v>
      </c>
      <c r="GB93">
        <f t="shared" si="277"/>
        <v>75000</v>
      </c>
      <c r="GC93">
        <f t="shared" ca="1" si="278"/>
        <v>398811</v>
      </c>
      <c r="GD93">
        <f t="shared" ca="1" si="279"/>
        <v>0</v>
      </c>
      <c r="GE93">
        <f t="shared" ca="1" si="280"/>
        <v>0</v>
      </c>
      <c r="GF93">
        <f t="shared" ca="1" si="281"/>
        <v>0</v>
      </c>
      <c r="GG93">
        <f t="shared" ca="1" si="282"/>
        <v>0</v>
      </c>
      <c r="GH93">
        <f t="shared" ca="1" si="283"/>
        <v>0</v>
      </c>
      <c r="GI93">
        <f t="shared" ca="1" si="284"/>
        <v>0</v>
      </c>
      <c r="GJ93">
        <f t="shared" ca="1" si="209"/>
        <v>0</v>
      </c>
      <c r="GK93">
        <f t="shared" ca="1" si="285"/>
        <v>0</v>
      </c>
      <c r="GL93">
        <f t="shared" ca="1" si="286"/>
        <v>0</v>
      </c>
      <c r="GM93">
        <f t="shared" ca="1" si="287"/>
        <v>0</v>
      </c>
      <c r="GN93">
        <f t="shared" ca="1" si="288"/>
        <v>0</v>
      </c>
      <c r="GO93">
        <f t="shared" ca="1" si="289"/>
        <v>0</v>
      </c>
      <c r="GP93">
        <f t="shared" ca="1" si="290"/>
        <v>0</v>
      </c>
      <c r="GQ93">
        <f t="shared" ca="1" si="291"/>
        <v>0</v>
      </c>
      <c r="GR93">
        <f t="shared" ca="1" si="292"/>
        <v>0</v>
      </c>
      <c r="GS93">
        <f t="shared" ca="1" si="293"/>
        <v>0</v>
      </c>
      <c r="GT93">
        <f t="shared" ca="1" si="294"/>
        <v>0</v>
      </c>
      <c r="GU93" t="b">
        <f t="shared" ca="1" si="295"/>
        <v>0</v>
      </c>
      <c r="GV93">
        <f t="shared" ca="1" si="296"/>
        <v>0</v>
      </c>
      <c r="GW93">
        <f t="shared" ca="1" si="297"/>
        <v>0</v>
      </c>
      <c r="GX93">
        <f t="shared" ca="1" si="298"/>
        <v>0</v>
      </c>
      <c r="GY93">
        <f t="shared" ca="1" si="299"/>
        <v>0</v>
      </c>
      <c r="GZ93">
        <f t="shared" ca="1" si="300"/>
        <v>0</v>
      </c>
    </row>
    <row r="94" spans="1:208" x14ac:dyDescent="0.3">
      <c r="A94">
        <f>_xlfn.AGGREGATE(3,5,$B$2:B94)</f>
        <v>93</v>
      </c>
      <c r="B94" t="s">
        <v>303</v>
      </c>
      <c r="C94" t="s">
        <v>304</v>
      </c>
      <c r="D94" t="s">
        <v>774</v>
      </c>
      <c r="E94" t="s">
        <v>830</v>
      </c>
      <c r="F94" t="s">
        <v>956</v>
      </c>
      <c r="G94" t="s">
        <v>890</v>
      </c>
      <c r="H94">
        <f t="shared" si="210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1"/>
        <v>4830.0000000000009</v>
      </c>
      <c r="L94">
        <f t="shared" si="212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194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01"/>
        <v>200</v>
      </c>
      <c r="S94">
        <f t="shared" si="213"/>
        <v>41270</v>
      </c>
      <c r="T94">
        <f>_xlfn.XLOOKUP(B94,'[2]april-2025'!$A:$A,'[2]april-2025'!$C:$C,0,0)</f>
        <v>34500</v>
      </c>
      <c r="U94">
        <f t="shared" si="214"/>
        <v>6210</v>
      </c>
      <c r="V94">
        <f t="shared" si="215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16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17"/>
        <v>200</v>
      </c>
      <c r="AC94">
        <f t="shared" si="218"/>
        <v>42650</v>
      </c>
      <c r="AD94">
        <f>_xlfn.XLOOKUP(B94,'[3]may-2025'!$A:$A,'[3]may-2025'!$C:$C,0,0)</f>
        <v>34500</v>
      </c>
      <c r="AE94">
        <f t="shared" si="219"/>
        <v>6210</v>
      </c>
      <c r="AF94">
        <f t="shared" si="220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1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2"/>
        <v>200</v>
      </c>
      <c r="AM94">
        <f t="shared" si="223"/>
        <v>42650</v>
      </c>
      <c r="AN94">
        <f>_xlfn.XLOOKUP(B94,'[4]june-2025'!$A:$A,'[4]june-2025'!$C:$C,0,0)</f>
        <v>34500</v>
      </c>
      <c r="AO94">
        <f t="shared" si="224"/>
        <v>6210</v>
      </c>
      <c r="AP94">
        <f t="shared" si="225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26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27"/>
        <v>200</v>
      </c>
      <c r="AW94">
        <f t="shared" si="228"/>
        <v>42650</v>
      </c>
      <c r="AX94">
        <f>_xlfn.XLOOKUP(B94,'[5]july-2025'!$A:$A,'[5]july-2025'!$C:$C,0,0)</f>
        <v>35500</v>
      </c>
      <c r="AY94">
        <f t="shared" si="229"/>
        <v>6390</v>
      </c>
      <c r="AZ94">
        <v>0</v>
      </c>
      <c r="BA94">
        <f t="shared" si="230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195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1"/>
        <v>200</v>
      </c>
      <c r="BH94">
        <f t="shared" si="232"/>
        <v>43950</v>
      </c>
      <c r="BI94">
        <f>_xlfn.XLOOKUP(B94,'[6]august-2025'!$A:$A,'[6]august-2025'!$C:$C,0,0)</f>
        <v>35500</v>
      </c>
      <c r="BJ94">
        <f t="shared" si="233"/>
        <v>6390</v>
      </c>
      <c r="BK94">
        <f t="shared" si="234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35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196"/>
        <v>200</v>
      </c>
      <c r="BR94">
        <f t="shared" si="197"/>
        <v>43950</v>
      </c>
      <c r="BS94">
        <f>_xlfn.XLOOKUP(B94,'[7]september-2025'!$A:$A,'[7]september-2025'!$C:$C,0,0)</f>
        <v>35500</v>
      </c>
      <c r="BT94">
        <f t="shared" si="236"/>
        <v>6390</v>
      </c>
      <c r="BU94">
        <f t="shared" si="237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198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38"/>
        <v>200</v>
      </c>
      <c r="CB94">
        <f t="shared" si="239"/>
        <v>43950</v>
      </c>
      <c r="CC94">
        <f>_xlfn.XLOOKUP(B94,'[8]october-2025'!$A:$A,'[8]october-2025'!$C:$C,0,0)</f>
        <v>35500</v>
      </c>
      <c r="CD94">
        <f t="shared" si="240"/>
        <v>6390</v>
      </c>
      <c r="CE94">
        <f t="shared" si="241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199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42"/>
        <v>200</v>
      </c>
      <c r="CL94">
        <f t="shared" si="243"/>
        <v>43950</v>
      </c>
      <c r="CM94">
        <f>_xlfn.XLOOKUP(B94,'[9]november-2025'!$A:$A,'[9]november-2025'!$C:$C,0,0)</f>
        <v>35500</v>
      </c>
      <c r="CN94">
        <f t="shared" si="244"/>
        <v>6390</v>
      </c>
      <c r="CO94">
        <f t="shared" si="24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00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46"/>
        <v>200</v>
      </c>
      <c r="CV94">
        <f t="shared" si="247"/>
        <v>43950</v>
      </c>
      <c r="CW94">
        <f>_xlfn.XLOOKUP(B94,'[10]december-2025'!$A:$A,'[10]december-2025'!$C:$C,0,0)</f>
        <v>35500</v>
      </c>
      <c r="CX94">
        <f t="shared" si="248"/>
        <v>6390</v>
      </c>
      <c r="CY94">
        <f t="shared" si="249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0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50"/>
        <v>200</v>
      </c>
      <c r="DF94">
        <f t="shared" si="251"/>
        <v>43950</v>
      </c>
      <c r="DG94">
        <f>_xlfn.XLOOKUP(B94,'[11]january-2026'!$A:$A,'[11]january-2026'!$C:$C,0,0)</f>
        <v>35500</v>
      </c>
      <c r="DH94">
        <f t="shared" si="252"/>
        <v>6390</v>
      </c>
      <c r="DI94">
        <f t="shared" si="253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02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54"/>
        <v>200</v>
      </c>
      <c r="DP94">
        <f t="shared" si="255"/>
        <v>43950</v>
      </c>
      <c r="DQ94">
        <f>_xlfn.XLOOKUP(B94,'[12]february-2026'!$A:$A,'[12]february-2026'!$C:$C,0,0)</f>
        <v>35500</v>
      </c>
      <c r="DR94">
        <f t="shared" si="256"/>
        <v>6390</v>
      </c>
      <c r="DS94">
        <f t="shared" si="257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03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58"/>
        <v>200</v>
      </c>
      <c r="DZ94">
        <f t="shared" si="259"/>
        <v>43950</v>
      </c>
      <c r="EA94">
        <f>_xlfn.XLOOKUP(B94,'[1]march-2025'!$A:$A,'[1]march-2025'!$J:$J,0,0)</f>
        <v>0</v>
      </c>
      <c r="EB94">
        <f>_xlfn.XLOOKUP(B94,'[2]april-2025'!$A:$A,'[2]april-2025'!$J:$J,0,0)</f>
        <v>0</v>
      </c>
      <c r="EC94">
        <f>_xlfn.XLOOKUP(B94,'[3]may-2025'!$A:$A,'[3]may-2025'!$J:$J,0,0)</f>
        <v>0</v>
      </c>
      <c r="ED94">
        <f>_xlfn.XLOOKUP(B94,'[4]june-2025'!$A:$A,'[4]june-2025'!$J:$J,0,0)</f>
        <v>0</v>
      </c>
      <c r="EE94">
        <f>_xlfn.XLOOKUP(B94,'[5]july-2025'!$A:$A,'[5]july-2025'!$J:$J,0,0)</f>
        <v>0</v>
      </c>
      <c r="EF94">
        <f>_xlfn.XLOOKUP(B94,'[6]august-2025'!$A:$A,'[6]august-2025'!$J:$J,0,0)</f>
        <v>0</v>
      </c>
      <c r="EG94">
        <f>_xlfn.XLOOKUP(B94,'[7]september-2025'!$A:$A,'[7]september-2025'!$J:$J,0,0)</f>
        <v>0</v>
      </c>
      <c r="EH94">
        <f>_xlfn.XLOOKUP(B94,'[8]october-2025'!$A:$A,'[8]october-2025'!$J:$J,0,0)</f>
        <v>0</v>
      </c>
      <c r="EI94">
        <f>_xlfn.XLOOKUP(C94,'[9]november-2025'!$A:$A,'[9]november-2025'!$J:$J,0,0)</f>
        <v>0</v>
      </c>
      <c r="EJ94">
        <f>_xlfn.XLOOKUP(B94,'[10]december-2025'!$A:$A,'[10]december-2025'!$J:$J,0,0)</f>
        <v>0</v>
      </c>
      <c r="EK94">
        <f>_xlfn.XLOOKUP(B94,'[11]january-2026'!$A:$A,'[11]january-2026'!$J:$J,0,0)</f>
        <v>0</v>
      </c>
      <c r="EL94">
        <f>_xlfn.XLOOKUP(B94,'[12]february-2026'!$A:$A,'[12]february-2026'!$J:$J,0,0)</f>
        <v>0</v>
      </c>
      <c r="EM94">
        <f t="shared" si="260"/>
        <v>0</v>
      </c>
      <c r="EN94">
        <f t="shared" si="204"/>
        <v>560020</v>
      </c>
      <c r="EO94">
        <f t="shared" si="205"/>
        <v>2400</v>
      </c>
      <c r="EP94">
        <f t="shared" si="261"/>
        <v>50000</v>
      </c>
      <c r="EQ94">
        <v>0</v>
      </c>
      <c r="ER94">
        <f t="shared" si="262"/>
        <v>507620</v>
      </c>
      <c r="ES94">
        <f t="shared" si="206"/>
        <v>30000</v>
      </c>
      <c r="ET94">
        <f t="shared" si="207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263"/>
        <v>30000</v>
      </c>
      <c r="FF94">
        <f t="shared" si="264"/>
        <v>30000</v>
      </c>
      <c r="FG94">
        <f t="shared" si="265"/>
        <v>477620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208"/>
        <v>0</v>
      </c>
      <c r="FP94">
        <f t="shared" si="266"/>
        <v>477620</v>
      </c>
      <c r="FQ94">
        <f t="shared" si="267"/>
        <v>11381</v>
      </c>
      <c r="FR94">
        <f t="shared" si="268"/>
        <v>0</v>
      </c>
      <c r="FS94">
        <f t="shared" si="269"/>
        <v>11381</v>
      </c>
      <c r="FT94">
        <f t="shared" si="270"/>
        <v>0</v>
      </c>
      <c r="FU94">
        <f t="shared" si="271"/>
        <v>0</v>
      </c>
      <c r="FV94">
        <f t="shared" si="272"/>
        <v>0</v>
      </c>
      <c r="FW94">
        <v>0</v>
      </c>
      <c r="FX94">
        <f t="shared" si="273"/>
        <v>0</v>
      </c>
      <c r="FY94" t="b">
        <f t="shared" si="274"/>
        <v>1</v>
      </c>
      <c r="FZ94">
        <f t="shared" ca="1" si="275"/>
        <v>690</v>
      </c>
      <c r="GA94">
        <f t="shared" ca="1" si="276"/>
        <v>560710</v>
      </c>
      <c r="GB94">
        <f t="shared" si="277"/>
        <v>75000</v>
      </c>
      <c r="GC94">
        <f t="shared" ca="1" si="278"/>
        <v>485710</v>
      </c>
      <c r="GD94">
        <f t="shared" ca="1" si="279"/>
        <v>0</v>
      </c>
      <c r="GE94">
        <f t="shared" ca="1" si="280"/>
        <v>0</v>
      </c>
      <c r="GF94">
        <f t="shared" ca="1" si="281"/>
        <v>0</v>
      </c>
      <c r="GG94">
        <f t="shared" ca="1" si="282"/>
        <v>0</v>
      </c>
      <c r="GH94">
        <f t="shared" ca="1" si="283"/>
        <v>0</v>
      </c>
      <c r="GI94">
        <f t="shared" ca="1" si="284"/>
        <v>0</v>
      </c>
      <c r="GJ94">
        <f t="shared" ca="1" si="209"/>
        <v>0</v>
      </c>
      <c r="GK94">
        <f t="shared" ca="1" si="285"/>
        <v>0</v>
      </c>
      <c r="GL94">
        <f t="shared" ca="1" si="286"/>
        <v>0</v>
      </c>
      <c r="GM94">
        <f t="shared" ca="1" si="287"/>
        <v>0</v>
      </c>
      <c r="GN94">
        <f t="shared" ca="1" si="288"/>
        <v>85710</v>
      </c>
      <c r="GO94">
        <f t="shared" ca="1" si="289"/>
        <v>4285.5</v>
      </c>
      <c r="GP94">
        <f t="shared" ca="1" si="290"/>
        <v>4286</v>
      </c>
      <c r="GQ94">
        <f t="shared" ca="1" si="291"/>
        <v>0</v>
      </c>
      <c r="GR94">
        <f t="shared" ca="1" si="292"/>
        <v>0</v>
      </c>
      <c r="GS94">
        <f t="shared" ca="1" si="293"/>
        <v>4286</v>
      </c>
      <c r="GT94">
        <f t="shared" ca="1" si="294"/>
        <v>0</v>
      </c>
      <c r="GU94" t="b">
        <f t="shared" ca="1" si="295"/>
        <v>0</v>
      </c>
      <c r="GV94">
        <f t="shared" ca="1" si="296"/>
        <v>0</v>
      </c>
      <c r="GW94">
        <f t="shared" ca="1" si="297"/>
        <v>4286</v>
      </c>
      <c r="GX94">
        <f t="shared" ca="1" si="298"/>
        <v>0</v>
      </c>
      <c r="GY94">
        <f t="shared" ca="1" si="299"/>
        <v>0</v>
      </c>
      <c r="GZ94">
        <f t="shared" ca="1" si="300"/>
        <v>0</v>
      </c>
    </row>
    <row r="95" spans="1:208" x14ac:dyDescent="0.3">
      <c r="A95">
        <f>_xlfn.AGGREGATE(3,5,$B$2:B95)</f>
        <v>94</v>
      </c>
      <c r="B95" t="s">
        <v>305</v>
      </c>
      <c r="C95" t="s">
        <v>306</v>
      </c>
      <c r="D95" t="s">
        <v>774</v>
      </c>
      <c r="E95" t="s">
        <v>830</v>
      </c>
      <c r="F95" t="s">
        <v>956</v>
      </c>
      <c r="G95" t="s">
        <v>914</v>
      </c>
      <c r="H95">
        <f t="shared" si="210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1"/>
        <v>3556.0000000000005</v>
      </c>
      <c r="L95">
        <f t="shared" si="212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194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01"/>
        <v>150</v>
      </c>
      <c r="S95">
        <f t="shared" si="213"/>
        <v>30354</v>
      </c>
      <c r="T95">
        <f>_xlfn.XLOOKUP(B95,'[2]april-2025'!$A:$A,'[2]april-2025'!$C:$C,0,0)</f>
        <v>25400</v>
      </c>
      <c r="U95">
        <f t="shared" si="214"/>
        <v>4572</v>
      </c>
      <c r="V95">
        <f t="shared" si="215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16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17"/>
        <v>150</v>
      </c>
      <c r="AC95">
        <f t="shared" si="218"/>
        <v>31370</v>
      </c>
      <c r="AD95">
        <f>_xlfn.XLOOKUP(B95,'[3]may-2025'!$A:$A,'[3]may-2025'!$C:$C,0,0)</f>
        <v>25400</v>
      </c>
      <c r="AE95">
        <f t="shared" si="219"/>
        <v>4572</v>
      </c>
      <c r="AF95">
        <f t="shared" si="220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1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2"/>
        <v>150</v>
      </c>
      <c r="AM95">
        <f t="shared" si="223"/>
        <v>31370</v>
      </c>
      <c r="AN95">
        <f>_xlfn.XLOOKUP(B95,'[4]june-2025'!$A:$A,'[4]june-2025'!$C:$C,0,0)</f>
        <v>25400</v>
      </c>
      <c r="AO95">
        <f t="shared" si="224"/>
        <v>4572</v>
      </c>
      <c r="AP95">
        <f t="shared" si="225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26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27"/>
        <v>150</v>
      </c>
      <c r="AW95">
        <f t="shared" si="228"/>
        <v>31370</v>
      </c>
      <c r="AX95">
        <f>_xlfn.XLOOKUP(B95,'[5]july-2025'!$A:$A,'[5]july-2025'!$C:$C,0,0)</f>
        <v>26200</v>
      </c>
      <c r="AY95">
        <f t="shared" si="229"/>
        <v>4716</v>
      </c>
      <c r="AZ95">
        <v>0</v>
      </c>
      <c r="BA95">
        <f t="shared" si="230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195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1"/>
        <v>150</v>
      </c>
      <c r="BH95">
        <f t="shared" si="232"/>
        <v>32410</v>
      </c>
      <c r="BI95">
        <f>_xlfn.XLOOKUP(B95,'[6]august-2025'!$A:$A,'[6]august-2025'!$C:$C,0,0)</f>
        <v>26200</v>
      </c>
      <c r="BJ95">
        <f t="shared" si="233"/>
        <v>4716</v>
      </c>
      <c r="BK95">
        <f t="shared" si="234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35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196"/>
        <v>150</v>
      </c>
      <c r="BR95">
        <f t="shared" si="197"/>
        <v>32410</v>
      </c>
      <c r="BS95">
        <f>_xlfn.XLOOKUP(B95,'[7]september-2025'!$A:$A,'[7]september-2025'!$C:$C,0,0)</f>
        <v>26200</v>
      </c>
      <c r="BT95">
        <f t="shared" si="236"/>
        <v>4716</v>
      </c>
      <c r="BU95">
        <f t="shared" si="237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198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38"/>
        <v>150</v>
      </c>
      <c r="CB95">
        <f t="shared" si="239"/>
        <v>32410</v>
      </c>
      <c r="CC95">
        <f>_xlfn.XLOOKUP(B95,'[8]october-2025'!$A:$A,'[8]october-2025'!$C:$C,0,0)</f>
        <v>26200</v>
      </c>
      <c r="CD95">
        <f t="shared" si="240"/>
        <v>4716</v>
      </c>
      <c r="CE95">
        <f t="shared" si="241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199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42"/>
        <v>150</v>
      </c>
      <c r="CL95">
        <f t="shared" si="243"/>
        <v>32410</v>
      </c>
      <c r="CM95">
        <f>_xlfn.XLOOKUP(B95,'[9]november-2025'!$A:$A,'[9]november-2025'!$C:$C,0,0)</f>
        <v>26200</v>
      </c>
      <c r="CN95">
        <f t="shared" si="244"/>
        <v>4716</v>
      </c>
      <c r="CO95">
        <f t="shared" si="24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00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46"/>
        <v>150</v>
      </c>
      <c r="CV95">
        <f t="shared" si="247"/>
        <v>32410</v>
      </c>
      <c r="CW95">
        <f>_xlfn.XLOOKUP(B95,'[10]december-2025'!$A:$A,'[10]december-2025'!$C:$C,0,0)</f>
        <v>26200</v>
      </c>
      <c r="CX95">
        <f t="shared" si="248"/>
        <v>4716</v>
      </c>
      <c r="CY95">
        <f t="shared" si="249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0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50"/>
        <v>150</v>
      </c>
      <c r="DF95">
        <f t="shared" si="251"/>
        <v>32410</v>
      </c>
      <c r="DG95">
        <f>_xlfn.XLOOKUP(B95,'[11]january-2026'!$A:$A,'[11]january-2026'!$C:$C,0,0)</f>
        <v>26200</v>
      </c>
      <c r="DH95">
        <f t="shared" si="252"/>
        <v>4716</v>
      </c>
      <c r="DI95">
        <f t="shared" si="253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02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54"/>
        <v>150</v>
      </c>
      <c r="DP95">
        <f t="shared" si="255"/>
        <v>32410</v>
      </c>
      <c r="DQ95">
        <f>_xlfn.XLOOKUP(B95,'[12]february-2026'!$A:$A,'[12]february-2026'!$C:$C,0,0)</f>
        <v>26200</v>
      </c>
      <c r="DR95">
        <f t="shared" si="256"/>
        <v>4716</v>
      </c>
      <c r="DS95">
        <f t="shared" si="257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03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58"/>
        <v>150</v>
      </c>
      <c r="DZ95">
        <f t="shared" si="259"/>
        <v>32410</v>
      </c>
      <c r="EA95">
        <f>_xlfn.XLOOKUP(B95,'[1]march-2025'!$A:$A,'[1]march-2025'!$J:$J,0,0)</f>
        <v>0</v>
      </c>
      <c r="EB95">
        <f>_xlfn.XLOOKUP(B95,'[2]april-2025'!$A:$A,'[2]april-2025'!$J:$J,0,0)</f>
        <v>0</v>
      </c>
      <c r="EC95">
        <f>_xlfn.XLOOKUP(B95,'[3]may-2025'!$A:$A,'[3]may-2025'!$J:$J,0,0)</f>
        <v>0</v>
      </c>
      <c r="ED95">
        <f>_xlfn.XLOOKUP(B95,'[4]june-2025'!$A:$A,'[4]june-2025'!$J:$J,0,0)</f>
        <v>0</v>
      </c>
      <c r="EE95">
        <f>_xlfn.XLOOKUP(B95,'[5]july-2025'!$A:$A,'[5]july-2025'!$J:$J,0,0)</f>
        <v>0</v>
      </c>
      <c r="EF95">
        <f>_xlfn.XLOOKUP(B95,'[6]august-2025'!$A:$A,'[6]august-2025'!$J:$J,0,0)</f>
        <v>0</v>
      </c>
      <c r="EG95">
        <f>_xlfn.XLOOKUP(B95,'[7]september-2025'!$A:$A,'[7]september-2025'!$J:$J,0,0)</f>
        <v>0</v>
      </c>
      <c r="EH95">
        <f>_xlfn.XLOOKUP(B95,'[8]october-2025'!$A:$A,'[8]october-2025'!$J:$J,0,0)</f>
        <v>0</v>
      </c>
      <c r="EI95">
        <f>_xlfn.XLOOKUP(C95,'[9]november-2025'!$A:$A,'[9]november-2025'!$J:$J,0,0)</f>
        <v>0</v>
      </c>
      <c r="EJ95">
        <f>_xlfn.XLOOKUP(B95,'[10]december-2025'!$A:$A,'[10]december-2025'!$J:$J,0,0)</f>
        <v>0</v>
      </c>
      <c r="EK95">
        <f>_xlfn.XLOOKUP(B95,'[11]january-2026'!$A:$A,'[11]january-2026'!$J:$J,0,0)</f>
        <v>0</v>
      </c>
      <c r="EL95">
        <f>_xlfn.XLOOKUP(B95,'[12]february-2026'!$A:$A,'[12]february-2026'!$J:$J,0,0)</f>
        <v>0</v>
      </c>
      <c r="EM95">
        <f t="shared" si="260"/>
        <v>0</v>
      </c>
      <c r="EN95">
        <f t="shared" si="204"/>
        <v>416344</v>
      </c>
      <c r="EO95">
        <f t="shared" si="205"/>
        <v>1800</v>
      </c>
      <c r="EP95">
        <f t="shared" si="261"/>
        <v>50000</v>
      </c>
      <c r="EQ95">
        <v>0</v>
      </c>
      <c r="ER95">
        <f t="shared" si="262"/>
        <v>364544</v>
      </c>
      <c r="ES95">
        <f t="shared" si="206"/>
        <v>24000</v>
      </c>
      <c r="ET95">
        <f t="shared" si="207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263"/>
        <v>24000</v>
      </c>
      <c r="FF95">
        <f t="shared" si="264"/>
        <v>24000</v>
      </c>
      <c r="FG95">
        <f t="shared" si="265"/>
        <v>340544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208"/>
        <v>0</v>
      </c>
      <c r="FP95">
        <f t="shared" si="266"/>
        <v>340544</v>
      </c>
      <c r="FQ95">
        <f t="shared" si="267"/>
        <v>4527</v>
      </c>
      <c r="FR95">
        <f t="shared" si="268"/>
        <v>0</v>
      </c>
      <c r="FS95">
        <f t="shared" si="269"/>
        <v>4527</v>
      </c>
      <c r="FT95">
        <f t="shared" si="270"/>
        <v>0</v>
      </c>
      <c r="FU95">
        <f t="shared" si="271"/>
        <v>0</v>
      </c>
      <c r="FV95">
        <f t="shared" si="272"/>
        <v>0</v>
      </c>
      <c r="FW95">
        <v>0</v>
      </c>
      <c r="FX95">
        <f t="shared" si="273"/>
        <v>0</v>
      </c>
      <c r="FY95" t="b">
        <f t="shared" si="274"/>
        <v>0</v>
      </c>
      <c r="FZ95">
        <f t="shared" ca="1" si="275"/>
        <v>1038</v>
      </c>
      <c r="GA95">
        <f t="shared" ca="1" si="276"/>
        <v>417382</v>
      </c>
      <c r="GB95">
        <f t="shared" si="277"/>
        <v>75000</v>
      </c>
      <c r="GC95">
        <f t="shared" ca="1" si="278"/>
        <v>342382</v>
      </c>
      <c r="GD95">
        <f t="shared" ca="1" si="279"/>
        <v>0</v>
      </c>
      <c r="GE95">
        <f t="shared" ca="1" si="280"/>
        <v>0</v>
      </c>
      <c r="GF95">
        <f t="shared" ca="1" si="281"/>
        <v>0</v>
      </c>
      <c r="GG95">
        <f t="shared" ca="1" si="282"/>
        <v>0</v>
      </c>
      <c r="GH95">
        <f t="shared" ca="1" si="283"/>
        <v>0</v>
      </c>
      <c r="GI95">
        <f t="shared" ca="1" si="284"/>
        <v>0</v>
      </c>
      <c r="GJ95">
        <f t="shared" ca="1" si="209"/>
        <v>0</v>
      </c>
      <c r="GK95">
        <f t="shared" ca="1" si="285"/>
        <v>0</v>
      </c>
      <c r="GL95">
        <f t="shared" ca="1" si="286"/>
        <v>0</v>
      </c>
      <c r="GM95">
        <f t="shared" ca="1" si="287"/>
        <v>0</v>
      </c>
      <c r="GN95">
        <f t="shared" ca="1" si="288"/>
        <v>0</v>
      </c>
      <c r="GO95">
        <f t="shared" ca="1" si="289"/>
        <v>0</v>
      </c>
      <c r="GP95">
        <f t="shared" ca="1" si="290"/>
        <v>0</v>
      </c>
      <c r="GQ95">
        <f t="shared" ca="1" si="291"/>
        <v>0</v>
      </c>
      <c r="GR95">
        <f t="shared" ca="1" si="292"/>
        <v>0</v>
      </c>
      <c r="GS95">
        <f t="shared" ca="1" si="293"/>
        <v>0</v>
      </c>
      <c r="GT95">
        <f t="shared" ca="1" si="294"/>
        <v>0</v>
      </c>
      <c r="GU95" t="b">
        <f t="shared" ca="1" si="295"/>
        <v>0</v>
      </c>
      <c r="GV95">
        <f t="shared" ca="1" si="296"/>
        <v>0</v>
      </c>
      <c r="GW95">
        <f t="shared" ca="1" si="297"/>
        <v>0</v>
      </c>
      <c r="GX95">
        <f t="shared" ca="1" si="298"/>
        <v>0</v>
      </c>
      <c r="GY95">
        <f t="shared" ca="1" si="299"/>
        <v>0</v>
      </c>
      <c r="GZ95">
        <f t="shared" ca="1" si="300"/>
        <v>0</v>
      </c>
    </row>
    <row r="96" spans="1:208" x14ac:dyDescent="0.3">
      <c r="A96">
        <f>_xlfn.AGGREGATE(3,5,$B$2:B96)</f>
        <v>95</v>
      </c>
      <c r="B96" t="s">
        <v>307</v>
      </c>
      <c r="C96" t="s">
        <v>308</v>
      </c>
      <c r="D96" t="s">
        <v>774</v>
      </c>
      <c r="E96" t="s">
        <v>830</v>
      </c>
      <c r="F96" t="s">
        <v>956</v>
      </c>
      <c r="G96" t="s">
        <v>880</v>
      </c>
      <c r="H96">
        <f t="shared" si="210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1"/>
        <v>4046.0000000000005</v>
      </c>
      <c r="L96">
        <f t="shared" si="212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194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01"/>
        <v>150</v>
      </c>
      <c r="S96">
        <f t="shared" si="213"/>
        <v>34764</v>
      </c>
      <c r="T96">
        <f>_xlfn.XLOOKUP(B96,'[2]april-2025'!$A:$A,'[2]april-2025'!$C:$C,0,0)</f>
        <v>28900</v>
      </c>
      <c r="U96">
        <f t="shared" si="214"/>
        <v>5202</v>
      </c>
      <c r="V96">
        <f t="shared" si="215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16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17"/>
        <v>150</v>
      </c>
      <c r="AC96">
        <f t="shared" si="218"/>
        <v>35920</v>
      </c>
      <c r="AD96">
        <f>_xlfn.XLOOKUP(B96,'[3]may-2025'!$A:$A,'[3]may-2025'!$C:$C,0,0)</f>
        <v>28900</v>
      </c>
      <c r="AE96">
        <f t="shared" si="219"/>
        <v>5202</v>
      </c>
      <c r="AF96">
        <f t="shared" si="220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1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2"/>
        <v>150</v>
      </c>
      <c r="AM96">
        <f t="shared" si="223"/>
        <v>35920</v>
      </c>
      <c r="AN96">
        <f>_xlfn.XLOOKUP(B96,'[4]june-2025'!$A:$A,'[4]june-2025'!$C:$C,0,0)</f>
        <v>28900</v>
      </c>
      <c r="AO96">
        <f t="shared" si="224"/>
        <v>5202</v>
      </c>
      <c r="AP96">
        <f t="shared" si="225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26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27"/>
        <v>150</v>
      </c>
      <c r="AW96">
        <f t="shared" si="228"/>
        <v>35920</v>
      </c>
      <c r="AX96">
        <f>_xlfn.XLOOKUP(B96,'[5]july-2025'!$A:$A,'[5]july-2025'!$C:$C,0,0)</f>
        <v>29800</v>
      </c>
      <c r="AY96">
        <f t="shared" si="229"/>
        <v>5364</v>
      </c>
      <c r="AZ96">
        <v>0</v>
      </c>
      <c r="BA96">
        <f t="shared" si="230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195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1"/>
        <v>150</v>
      </c>
      <c r="BH96">
        <f t="shared" si="232"/>
        <v>37090</v>
      </c>
      <c r="BI96">
        <f>_xlfn.XLOOKUP(B96,'[6]august-2025'!$A:$A,'[6]august-2025'!$C:$C,0,0)</f>
        <v>29800</v>
      </c>
      <c r="BJ96">
        <f t="shared" si="233"/>
        <v>5364</v>
      </c>
      <c r="BK96">
        <f t="shared" si="234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35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196"/>
        <v>150</v>
      </c>
      <c r="BR96">
        <f t="shared" si="197"/>
        <v>37090</v>
      </c>
      <c r="BS96">
        <f>_xlfn.XLOOKUP(B96,'[7]september-2025'!$A:$A,'[7]september-2025'!$C:$C,0,0)</f>
        <v>29800</v>
      </c>
      <c r="BT96">
        <f t="shared" si="236"/>
        <v>5364</v>
      </c>
      <c r="BU96">
        <f t="shared" si="237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198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38"/>
        <v>150</v>
      </c>
      <c r="CB96">
        <f t="shared" si="239"/>
        <v>37090</v>
      </c>
      <c r="CC96">
        <f>_xlfn.XLOOKUP(B96,'[8]october-2025'!$A:$A,'[8]october-2025'!$C:$C,0,0)</f>
        <v>29800</v>
      </c>
      <c r="CD96">
        <f t="shared" si="240"/>
        <v>5364</v>
      </c>
      <c r="CE96">
        <f t="shared" si="241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199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42"/>
        <v>150</v>
      </c>
      <c r="CL96">
        <f t="shared" si="243"/>
        <v>37090</v>
      </c>
      <c r="CM96">
        <f>_xlfn.XLOOKUP(B96,'[9]november-2025'!$A:$A,'[9]november-2025'!$C:$C,0,0)</f>
        <v>29800</v>
      </c>
      <c r="CN96">
        <f t="shared" si="244"/>
        <v>5364</v>
      </c>
      <c r="CO96">
        <f t="shared" si="24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00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46"/>
        <v>150</v>
      </c>
      <c r="CV96">
        <f t="shared" si="247"/>
        <v>37090</v>
      </c>
      <c r="CW96">
        <f>_xlfn.XLOOKUP(B96,'[10]december-2025'!$A:$A,'[10]december-2025'!$C:$C,0,0)</f>
        <v>29800</v>
      </c>
      <c r="CX96">
        <f t="shared" si="248"/>
        <v>5364</v>
      </c>
      <c r="CY96">
        <f t="shared" si="249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0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50"/>
        <v>150</v>
      </c>
      <c r="DF96">
        <f t="shared" si="251"/>
        <v>37090</v>
      </c>
      <c r="DG96">
        <f>_xlfn.XLOOKUP(B96,'[11]january-2026'!$A:$A,'[11]january-2026'!$C:$C,0,0)</f>
        <v>29800</v>
      </c>
      <c r="DH96">
        <f t="shared" si="252"/>
        <v>5364</v>
      </c>
      <c r="DI96">
        <f t="shared" si="253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02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54"/>
        <v>150</v>
      </c>
      <c r="DP96">
        <f t="shared" si="255"/>
        <v>37090</v>
      </c>
      <c r="DQ96">
        <f>_xlfn.XLOOKUP(B96,'[12]february-2026'!$A:$A,'[12]february-2026'!$C:$C,0,0)</f>
        <v>29800</v>
      </c>
      <c r="DR96">
        <f t="shared" si="256"/>
        <v>5364</v>
      </c>
      <c r="DS96">
        <f t="shared" si="257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03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58"/>
        <v>150</v>
      </c>
      <c r="DZ96">
        <f t="shared" si="259"/>
        <v>37090</v>
      </c>
      <c r="EA96">
        <f>_xlfn.XLOOKUP(B96,'[1]march-2025'!$A:$A,'[1]march-2025'!$J:$J,0,0)</f>
        <v>0</v>
      </c>
      <c r="EB96">
        <f>_xlfn.XLOOKUP(B96,'[2]april-2025'!$A:$A,'[2]april-2025'!$J:$J,0,0)</f>
        <v>0</v>
      </c>
      <c r="EC96">
        <f>_xlfn.XLOOKUP(B96,'[3]may-2025'!$A:$A,'[3]may-2025'!$J:$J,0,0)</f>
        <v>61510</v>
      </c>
      <c r="ED96">
        <f>_xlfn.XLOOKUP(B96,'[4]june-2025'!$A:$A,'[4]june-2025'!$J:$J,0,0)</f>
        <v>0</v>
      </c>
      <c r="EE96">
        <f>_xlfn.XLOOKUP(B96,'[5]july-2025'!$A:$A,'[5]july-2025'!$J:$J,0,0)</f>
        <v>0</v>
      </c>
      <c r="EF96">
        <f>_xlfn.XLOOKUP(B96,'[6]august-2025'!$A:$A,'[6]august-2025'!$J:$J,0,0)</f>
        <v>0</v>
      </c>
      <c r="EG96">
        <f>_xlfn.XLOOKUP(B96,'[7]september-2025'!$A:$A,'[7]september-2025'!$J:$J,0,0)</f>
        <v>0</v>
      </c>
      <c r="EH96">
        <f>_xlfn.XLOOKUP(B96,'[8]october-2025'!$A:$A,'[8]october-2025'!$J:$J,0,0)</f>
        <v>0</v>
      </c>
      <c r="EI96">
        <f>_xlfn.XLOOKUP(C96,'[9]november-2025'!$A:$A,'[9]november-2025'!$J:$J,0,0)</f>
        <v>0</v>
      </c>
      <c r="EJ96">
        <f>_xlfn.XLOOKUP(B96,'[10]december-2025'!$A:$A,'[10]december-2025'!$J:$J,0,0)</f>
        <v>0</v>
      </c>
      <c r="EK96">
        <f>_xlfn.XLOOKUP(B96,'[11]january-2026'!$A:$A,'[11]january-2026'!$J:$J,0,0)</f>
        <v>0</v>
      </c>
      <c r="EL96">
        <f>_xlfn.XLOOKUP(B96,'[12]february-2026'!$A:$A,'[12]february-2026'!$J:$J,0,0)</f>
        <v>0</v>
      </c>
      <c r="EM96">
        <f t="shared" si="260"/>
        <v>61510</v>
      </c>
      <c r="EN96">
        <f t="shared" si="204"/>
        <v>471844</v>
      </c>
      <c r="EO96">
        <f t="shared" si="205"/>
        <v>1800</v>
      </c>
      <c r="EP96">
        <f t="shared" si="261"/>
        <v>50000</v>
      </c>
      <c r="EQ96">
        <v>0</v>
      </c>
      <c r="ER96">
        <f t="shared" si="262"/>
        <v>481554</v>
      </c>
      <c r="ES96">
        <f t="shared" si="206"/>
        <v>24000</v>
      </c>
      <c r="ET96">
        <f t="shared" si="207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263"/>
        <v>24000</v>
      </c>
      <c r="FF96">
        <f t="shared" si="264"/>
        <v>24000</v>
      </c>
      <c r="FG96">
        <f t="shared" si="265"/>
        <v>457554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208"/>
        <v>0</v>
      </c>
      <c r="FP96">
        <f t="shared" si="266"/>
        <v>457554</v>
      </c>
      <c r="FQ96">
        <f t="shared" si="267"/>
        <v>10378</v>
      </c>
      <c r="FR96">
        <f t="shared" si="268"/>
        <v>0</v>
      </c>
      <c r="FS96">
        <f t="shared" si="269"/>
        <v>10378</v>
      </c>
      <c r="FT96">
        <f t="shared" si="270"/>
        <v>0</v>
      </c>
      <c r="FU96">
        <f t="shared" si="271"/>
        <v>0</v>
      </c>
      <c r="FV96">
        <f t="shared" si="272"/>
        <v>0</v>
      </c>
      <c r="FW96">
        <v>0</v>
      </c>
      <c r="FX96">
        <f t="shared" si="273"/>
        <v>0</v>
      </c>
      <c r="FY96" t="b">
        <f t="shared" si="274"/>
        <v>0</v>
      </c>
      <c r="FZ96">
        <f t="shared" ca="1" si="275"/>
        <v>2915</v>
      </c>
      <c r="GA96">
        <f t="shared" ca="1" si="276"/>
        <v>474759</v>
      </c>
      <c r="GB96">
        <f t="shared" si="277"/>
        <v>75000</v>
      </c>
      <c r="GC96">
        <f t="shared" ca="1" si="278"/>
        <v>399759</v>
      </c>
      <c r="GD96">
        <f t="shared" ca="1" si="279"/>
        <v>0</v>
      </c>
      <c r="GE96">
        <f t="shared" ca="1" si="280"/>
        <v>0</v>
      </c>
      <c r="GF96">
        <f t="shared" ca="1" si="281"/>
        <v>0</v>
      </c>
      <c r="GG96">
        <f t="shared" ca="1" si="282"/>
        <v>0</v>
      </c>
      <c r="GH96">
        <f t="shared" ca="1" si="283"/>
        <v>0</v>
      </c>
      <c r="GI96">
        <f t="shared" ca="1" si="284"/>
        <v>0</v>
      </c>
      <c r="GJ96">
        <f t="shared" ca="1" si="209"/>
        <v>0</v>
      </c>
      <c r="GK96">
        <f t="shared" ca="1" si="285"/>
        <v>0</v>
      </c>
      <c r="GL96">
        <f t="shared" ca="1" si="286"/>
        <v>0</v>
      </c>
      <c r="GM96">
        <f t="shared" ca="1" si="287"/>
        <v>0</v>
      </c>
      <c r="GN96">
        <f t="shared" ca="1" si="288"/>
        <v>0</v>
      </c>
      <c r="GO96">
        <f t="shared" ca="1" si="289"/>
        <v>0</v>
      </c>
      <c r="GP96">
        <f t="shared" ca="1" si="290"/>
        <v>0</v>
      </c>
      <c r="GQ96">
        <f t="shared" ca="1" si="291"/>
        <v>0</v>
      </c>
      <c r="GR96">
        <f t="shared" ca="1" si="292"/>
        <v>0</v>
      </c>
      <c r="GS96">
        <f t="shared" ca="1" si="293"/>
        <v>0</v>
      </c>
      <c r="GT96">
        <f t="shared" ca="1" si="294"/>
        <v>0</v>
      </c>
      <c r="GU96" t="b">
        <f t="shared" ca="1" si="295"/>
        <v>0</v>
      </c>
      <c r="GV96">
        <f t="shared" ca="1" si="296"/>
        <v>0</v>
      </c>
      <c r="GW96">
        <f t="shared" ca="1" si="297"/>
        <v>0</v>
      </c>
      <c r="GX96">
        <f t="shared" ca="1" si="298"/>
        <v>0</v>
      </c>
      <c r="GY96">
        <f t="shared" ca="1" si="299"/>
        <v>0</v>
      </c>
      <c r="GZ96">
        <f t="shared" ca="1" si="300"/>
        <v>0</v>
      </c>
    </row>
    <row r="97" spans="1:208" x14ac:dyDescent="0.3">
      <c r="A97">
        <f>_xlfn.AGGREGATE(3,5,$B$2:B97)</f>
        <v>96</v>
      </c>
      <c r="B97" t="s">
        <v>309</v>
      </c>
      <c r="C97" t="s">
        <v>310</v>
      </c>
      <c r="D97" t="s">
        <v>775</v>
      </c>
      <c r="E97" t="s">
        <v>830</v>
      </c>
      <c r="F97" t="s">
        <v>956</v>
      </c>
      <c r="G97" t="s">
        <v>905</v>
      </c>
      <c r="H97">
        <f t="shared" si="210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1"/>
        <v>4830.0000000000009</v>
      </c>
      <c r="L97">
        <f t="shared" si="212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194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01"/>
        <v>200</v>
      </c>
      <c r="S97">
        <f t="shared" si="213"/>
        <v>41670</v>
      </c>
      <c r="T97">
        <f>_xlfn.XLOOKUP(B97,'[2]april-2025'!$A:$A,'[2]april-2025'!$C:$C,0,0)</f>
        <v>34500</v>
      </c>
      <c r="U97">
        <f t="shared" si="214"/>
        <v>6210</v>
      </c>
      <c r="V97">
        <f t="shared" si="215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16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17"/>
        <v>200</v>
      </c>
      <c r="AC97">
        <f t="shared" si="218"/>
        <v>43050</v>
      </c>
      <c r="AD97">
        <f>_xlfn.XLOOKUP(B97,'[3]may-2025'!$A:$A,'[3]may-2025'!$C:$C,0,0)</f>
        <v>34500</v>
      </c>
      <c r="AE97">
        <f t="shared" si="219"/>
        <v>6210</v>
      </c>
      <c r="AF97">
        <f t="shared" si="220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1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2"/>
        <v>200</v>
      </c>
      <c r="AM97">
        <f t="shared" si="223"/>
        <v>43050</v>
      </c>
      <c r="AN97">
        <f>_xlfn.XLOOKUP(B97,'[4]june-2025'!$A:$A,'[4]june-2025'!$C:$C,0,0)</f>
        <v>34500</v>
      </c>
      <c r="AO97">
        <f t="shared" si="224"/>
        <v>6210</v>
      </c>
      <c r="AP97">
        <f t="shared" si="225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26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27"/>
        <v>200</v>
      </c>
      <c r="AW97">
        <f t="shared" si="228"/>
        <v>43050</v>
      </c>
      <c r="AX97">
        <f>_xlfn.XLOOKUP(B97,'[5]july-2025'!$A:$A,'[5]july-2025'!$C:$C,0,0)</f>
        <v>35500</v>
      </c>
      <c r="AY97">
        <f t="shared" si="229"/>
        <v>6390</v>
      </c>
      <c r="AZ97">
        <v>0</v>
      </c>
      <c r="BA97">
        <f t="shared" si="230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195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1"/>
        <v>200</v>
      </c>
      <c r="BH97">
        <f t="shared" si="232"/>
        <v>44350</v>
      </c>
      <c r="BI97">
        <f>_xlfn.XLOOKUP(B97,'[6]august-2025'!$A:$A,'[6]august-2025'!$C:$C,0,0)</f>
        <v>35500</v>
      </c>
      <c r="BJ97">
        <f t="shared" si="233"/>
        <v>6390</v>
      </c>
      <c r="BK97">
        <f t="shared" si="234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35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196"/>
        <v>200</v>
      </c>
      <c r="BR97">
        <f t="shared" si="197"/>
        <v>44350</v>
      </c>
      <c r="BS97">
        <f>_xlfn.XLOOKUP(B97,'[7]september-2025'!$A:$A,'[7]september-2025'!$C:$C,0,0)</f>
        <v>35500</v>
      </c>
      <c r="BT97">
        <f t="shared" si="236"/>
        <v>6390</v>
      </c>
      <c r="BU97">
        <f t="shared" si="237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198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38"/>
        <v>200</v>
      </c>
      <c r="CB97">
        <f t="shared" si="239"/>
        <v>44350</v>
      </c>
      <c r="CC97">
        <f>_xlfn.XLOOKUP(B97,'[8]october-2025'!$A:$A,'[8]october-2025'!$C:$C,0,0)</f>
        <v>35500</v>
      </c>
      <c r="CD97">
        <f t="shared" si="240"/>
        <v>6390</v>
      </c>
      <c r="CE97">
        <f t="shared" si="241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199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42"/>
        <v>200</v>
      </c>
      <c r="CL97">
        <f t="shared" si="243"/>
        <v>44350</v>
      </c>
      <c r="CM97">
        <f>_xlfn.XLOOKUP(B97,'[9]november-2025'!$A:$A,'[9]november-2025'!$C:$C,0,0)</f>
        <v>35500</v>
      </c>
      <c r="CN97">
        <f t="shared" si="244"/>
        <v>6390</v>
      </c>
      <c r="CO97">
        <f t="shared" si="24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00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46"/>
        <v>200</v>
      </c>
      <c r="CV97">
        <f t="shared" si="247"/>
        <v>44350</v>
      </c>
      <c r="CW97">
        <f>_xlfn.XLOOKUP(B97,'[10]december-2025'!$A:$A,'[10]december-2025'!$C:$C,0,0)</f>
        <v>35500</v>
      </c>
      <c r="CX97">
        <f t="shared" si="248"/>
        <v>6390</v>
      </c>
      <c r="CY97">
        <f t="shared" si="249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0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50"/>
        <v>200</v>
      </c>
      <c r="DF97">
        <f t="shared" si="251"/>
        <v>44350</v>
      </c>
      <c r="DG97">
        <f>_xlfn.XLOOKUP(B97,'[11]january-2026'!$A:$A,'[11]january-2026'!$C:$C,0,0)</f>
        <v>35500</v>
      </c>
      <c r="DH97">
        <f t="shared" si="252"/>
        <v>6390</v>
      </c>
      <c r="DI97">
        <f t="shared" si="253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02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54"/>
        <v>200</v>
      </c>
      <c r="DP97">
        <f t="shared" si="255"/>
        <v>44350</v>
      </c>
      <c r="DQ97">
        <f>_xlfn.XLOOKUP(B97,'[12]february-2026'!$A:$A,'[12]february-2026'!$C:$C,0,0)</f>
        <v>35500</v>
      </c>
      <c r="DR97">
        <f t="shared" si="256"/>
        <v>6390</v>
      </c>
      <c r="DS97">
        <f t="shared" si="257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03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58"/>
        <v>200</v>
      </c>
      <c r="DZ97">
        <f t="shared" si="259"/>
        <v>44350</v>
      </c>
      <c r="EA97">
        <f>_xlfn.XLOOKUP(B97,'[1]march-2025'!$A:$A,'[1]march-2025'!$J:$J,0,0)</f>
        <v>0</v>
      </c>
      <c r="EB97">
        <f>_xlfn.XLOOKUP(B97,'[2]april-2025'!$A:$A,'[2]april-2025'!$J:$J,0,0)</f>
        <v>0</v>
      </c>
      <c r="EC97">
        <f>_xlfn.XLOOKUP(B97,'[3]may-2025'!$A:$A,'[3]may-2025'!$J:$J,0,0)</f>
        <v>0</v>
      </c>
      <c r="ED97">
        <f>_xlfn.XLOOKUP(B97,'[4]june-2025'!$A:$A,'[4]june-2025'!$J:$J,0,0)</f>
        <v>0</v>
      </c>
      <c r="EE97">
        <f>_xlfn.XLOOKUP(B97,'[5]july-2025'!$A:$A,'[5]july-2025'!$J:$J,0,0)</f>
        <v>0</v>
      </c>
      <c r="EF97">
        <f>_xlfn.XLOOKUP(B97,'[6]august-2025'!$A:$A,'[6]august-2025'!$J:$J,0,0)</f>
        <v>0</v>
      </c>
      <c r="EG97">
        <f>_xlfn.XLOOKUP(B97,'[7]september-2025'!$A:$A,'[7]september-2025'!$J:$J,0,0)</f>
        <v>0</v>
      </c>
      <c r="EH97">
        <f>_xlfn.XLOOKUP(B97,'[8]october-2025'!$A:$A,'[8]october-2025'!$J:$J,0,0)</f>
        <v>0</v>
      </c>
      <c r="EI97">
        <f>_xlfn.XLOOKUP(C97,'[9]november-2025'!$A:$A,'[9]november-2025'!$J:$J,0,0)</f>
        <v>0</v>
      </c>
      <c r="EJ97">
        <f>_xlfn.XLOOKUP(B97,'[10]december-2025'!$A:$A,'[10]december-2025'!$J:$J,0,0)</f>
        <v>0</v>
      </c>
      <c r="EK97">
        <f>_xlfn.XLOOKUP(B97,'[11]january-2026'!$A:$A,'[11]january-2026'!$J:$J,0,0)</f>
        <v>0</v>
      </c>
      <c r="EL97">
        <f>_xlfn.XLOOKUP(B97,'[12]february-2026'!$A:$A,'[12]february-2026'!$J:$J,0,0)</f>
        <v>0</v>
      </c>
      <c r="EM97">
        <f t="shared" si="260"/>
        <v>0</v>
      </c>
      <c r="EN97">
        <f t="shared" si="204"/>
        <v>564820</v>
      </c>
      <c r="EO97">
        <f t="shared" si="205"/>
        <v>2400</v>
      </c>
      <c r="EP97">
        <f t="shared" si="261"/>
        <v>50000</v>
      </c>
      <c r="EQ97">
        <v>0</v>
      </c>
      <c r="ER97">
        <f t="shared" si="262"/>
        <v>512420</v>
      </c>
      <c r="ES97">
        <f t="shared" si="206"/>
        <v>30000</v>
      </c>
      <c r="ET97">
        <f t="shared" si="207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263"/>
        <v>30000</v>
      </c>
      <c r="FF97">
        <f t="shared" si="264"/>
        <v>30000</v>
      </c>
      <c r="FG97">
        <f t="shared" si="265"/>
        <v>482420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208"/>
        <v>0</v>
      </c>
      <c r="FP97">
        <f t="shared" si="266"/>
        <v>482420</v>
      </c>
      <c r="FQ97">
        <f t="shared" si="267"/>
        <v>11621</v>
      </c>
      <c r="FR97">
        <f t="shared" si="268"/>
        <v>0</v>
      </c>
      <c r="FS97">
        <f t="shared" si="269"/>
        <v>11621</v>
      </c>
      <c r="FT97">
        <f t="shared" si="270"/>
        <v>0</v>
      </c>
      <c r="FU97">
        <f t="shared" si="271"/>
        <v>0</v>
      </c>
      <c r="FV97">
        <f t="shared" si="272"/>
        <v>0</v>
      </c>
      <c r="FW97">
        <v>0</v>
      </c>
      <c r="FX97">
        <f t="shared" si="273"/>
        <v>0</v>
      </c>
      <c r="FY97" t="b">
        <f t="shared" si="274"/>
        <v>1</v>
      </c>
      <c r="FZ97">
        <f t="shared" ca="1" si="275"/>
        <v>703</v>
      </c>
      <c r="GA97">
        <f t="shared" ca="1" si="276"/>
        <v>565523</v>
      </c>
      <c r="GB97">
        <f t="shared" si="277"/>
        <v>75000</v>
      </c>
      <c r="GC97">
        <f t="shared" ca="1" si="278"/>
        <v>490523</v>
      </c>
      <c r="GD97">
        <f t="shared" ca="1" si="279"/>
        <v>0</v>
      </c>
      <c r="GE97">
        <f t="shared" ca="1" si="280"/>
        <v>0</v>
      </c>
      <c r="GF97">
        <f t="shared" ca="1" si="281"/>
        <v>0</v>
      </c>
      <c r="GG97">
        <f t="shared" ca="1" si="282"/>
        <v>0</v>
      </c>
      <c r="GH97">
        <f t="shared" ca="1" si="283"/>
        <v>0</v>
      </c>
      <c r="GI97">
        <f t="shared" ca="1" si="284"/>
        <v>0</v>
      </c>
      <c r="GJ97">
        <f t="shared" ca="1" si="209"/>
        <v>0</v>
      </c>
      <c r="GK97">
        <f t="shared" ca="1" si="285"/>
        <v>0</v>
      </c>
      <c r="GL97">
        <f t="shared" ca="1" si="286"/>
        <v>0</v>
      </c>
      <c r="GM97">
        <f t="shared" ca="1" si="287"/>
        <v>0</v>
      </c>
      <c r="GN97">
        <f t="shared" ca="1" si="288"/>
        <v>90523</v>
      </c>
      <c r="GO97">
        <f t="shared" ca="1" si="289"/>
        <v>4526.1500000000005</v>
      </c>
      <c r="GP97">
        <f t="shared" ca="1" si="290"/>
        <v>4526</v>
      </c>
      <c r="GQ97">
        <f t="shared" ca="1" si="291"/>
        <v>0</v>
      </c>
      <c r="GR97">
        <f t="shared" ca="1" si="292"/>
        <v>0</v>
      </c>
      <c r="GS97">
        <f t="shared" ca="1" si="293"/>
        <v>4526</v>
      </c>
      <c r="GT97">
        <f t="shared" ca="1" si="294"/>
        <v>0</v>
      </c>
      <c r="GU97" t="b">
        <f t="shared" ca="1" si="295"/>
        <v>0</v>
      </c>
      <c r="GV97">
        <f t="shared" ca="1" si="296"/>
        <v>0</v>
      </c>
      <c r="GW97">
        <f t="shared" ca="1" si="297"/>
        <v>4526</v>
      </c>
      <c r="GX97">
        <f t="shared" ca="1" si="298"/>
        <v>0</v>
      </c>
      <c r="GY97">
        <f t="shared" ca="1" si="299"/>
        <v>0</v>
      </c>
      <c r="GZ97">
        <f t="shared" ca="1" si="300"/>
        <v>0</v>
      </c>
    </row>
    <row r="98" spans="1:208" x14ac:dyDescent="0.3">
      <c r="A98">
        <f>_xlfn.AGGREGATE(3,5,$B$2:B98)</f>
        <v>97</v>
      </c>
      <c r="B98" t="s">
        <v>311</v>
      </c>
      <c r="C98" t="s">
        <v>312</v>
      </c>
      <c r="D98" t="s">
        <v>775</v>
      </c>
      <c r="E98" t="s">
        <v>830</v>
      </c>
      <c r="F98" t="s">
        <v>956</v>
      </c>
      <c r="G98" t="s">
        <v>877</v>
      </c>
      <c r="H98">
        <f t="shared" si="210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1"/>
        <v>4830.0000000000009</v>
      </c>
      <c r="L98">
        <f t="shared" si="212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194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01"/>
        <v>200</v>
      </c>
      <c r="S98">
        <f t="shared" si="213"/>
        <v>40770</v>
      </c>
      <c r="T98">
        <f>_xlfn.XLOOKUP(B98,'[2]april-2025'!$A:$A,'[2]april-2025'!$C:$C,0,0)</f>
        <v>34500</v>
      </c>
      <c r="U98">
        <f t="shared" si="214"/>
        <v>6210</v>
      </c>
      <c r="V98">
        <f t="shared" si="215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16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17"/>
        <v>200</v>
      </c>
      <c r="AC98">
        <f t="shared" si="218"/>
        <v>42150</v>
      </c>
      <c r="AD98">
        <f>_xlfn.XLOOKUP(B98,'[3]may-2025'!$A:$A,'[3]may-2025'!$C:$C,0,0)</f>
        <v>34500</v>
      </c>
      <c r="AE98">
        <f t="shared" si="219"/>
        <v>6210</v>
      </c>
      <c r="AF98">
        <f t="shared" si="220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1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2"/>
        <v>200</v>
      </c>
      <c r="AM98">
        <f t="shared" si="223"/>
        <v>42150</v>
      </c>
      <c r="AN98">
        <f>_xlfn.XLOOKUP(B98,'[4]june-2025'!$A:$A,'[4]june-2025'!$C:$C,0,0)</f>
        <v>34500</v>
      </c>
      <c r="AO98">
        <f t="shared" si="224"/>
        <v>6210</v>
      </c>
      <c r="AP98">
        <f t="shared" si="225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26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27"/>
        <v>200</v>
      </c>
      <c r="AW98">
        <f t="shared" si="228"/>
        <v>42150</v>
      </c>
      <c r="AX98">
        <f>_xlfn.XLOOKUP(B98,'[5]july-2025'!$A:$A,'[5]july-2025'!$C:$C,0,0)</f>
        <v>35500</v>
      </c>
      <c r="AY98">
        <f t="shared" si="229"/>
        <v>6390</v>
      </c>
      <c r="AZ98">
        <v>0</v>
      </c>
      <c r="BA98">
        <f t="shared" si="230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195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1"/>
        <v>200</v>
      </c>
      <c r="BH98">
        <f t="shared" si="232"/>
        <v>43450</v>
      </c>
      <c r="BI98">
        <f>_xlfn.XLOOKUP(B98,'[6]august-2025'!$A:$A,'[6]august-2025'!$C:$C,0,0)</f>
        <v>35500</v>
      </c>
      <c r="BJ98">
        <f t="shared" si="233"/>
        <v>6390</v>
      </c>
      <c r="BK98">
        <f t="shared" si="234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35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196"/>
        <v>200</v>
      </c>
      <c r="BR98">
        <f t="shared" si="197"/>
        <v>43450</v>
      </c>
      <c r="BS98">
        <f>_xlfn.XLOOKUP(B98,'[7]september-2025'!$A:$A,'[7]september-2025'!$C:$C,0,0)</f>
        <v>35500</v>
      </c>
      <c r="BT98">
        <f t="shared" si="236"/>
        <v>6390</v>
      </c>
      <c r="BU98">
        <f t="shared" si="237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198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38"/>
        <v>200</v>
      </c>
      <c r="CB98">
        <f t="shared" si="239"/>
        <v>43450</v>
      </c>
      <c r="CC98">
        <f>_xlfn.XLOOKUP(B98,'[8]october-2025'!$A:$A,'[8]october-2025'!$C:$C,0,0)</f>
        <v>35500</v>
      </c>
      <c r="CD98">
        <f t="shared" si="240"/>
        <v>6390</v>
      </c>
      <c r="CE98">
        <f t="shared" si="241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199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42"/>
        <v>200</v>
      </c>
      <c r="CL98">
        <f t="shared" si="243"/>
        <v>43450</v>
      </c>
      <c r="CM98">
        <f>_xlfn.XLOOKUP(B98,'[9]november-2025'!$A:$A,'[9]november-2025'!$C:$C,0,0)</f>
        <v>35500</v>
      </c>
      <c r="CN98">
        <f t="shared" si="244"/>
        <v>6390</v>
      </c>
      <c r="CO98">
        <f t="shared" si="24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00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46"/>
        <v>200</v>
      </c>
      <c r="CV98">
        <f t="shared" si="247"/>
        <v>43450</v>
      </c>
      <c r="CW98">
        <f>_xlfn.XLOOKUP(B98,'[10]december-2025'!$A:$A,'[10]december-2025'!$C:$C,0,0)</f>
        <v>35500</v>
      </c>
      <c r="CX98">
        <f t="shared" si="248"/>
        <v>6390</v>
      </c>
      <c r="CY98">
        <f t="shared" si="249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0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50"/>
        <v>200</v>
      </c>
      <c r="DF98">
        <f t="shared" si="251"/>
        <v>43450</v>
      </c>
      <c r="DG98">
        <f>_xlfn.XLOOKUP(B98,'[11]january-2026'!$A:$A,'[11]january-2026'!$C:$C,0,0)</f>
        <v>35500</v>
      </c>
      <c r="DH98">
        <f t="shared" si="252"/>
        <v>6390</v>
      </c>
      <c r="DI98">
        <f t="shared" si="253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02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54"/>
        <v>200</v>
      </c>
      <c r="DP98">
        <f t="shared" si="255"/>
        <v>43450</v>
      </c>
      <c r="DQ98">
        <f>_xlfn.XLOOKUP(B98,'[12]february-2026'!$A:$A,'[12]february-2026'!$C:$C,0,0)</f>
        <v>35500</v>
      </c>
      <c r="DR98">
        <f t="shared" si="256"/>
        <v>6390</v>
      </c>
      <c r="DS98">
        <f t="shared" si="257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03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58"/>
        <v>200</v>
      </c>
      <c r="DZ98">
        <f t="shared" si="259"/>
        <v>43450</v>
      </c>
      <c r="EA98">
        <f>_xlfn.XLOOKUP(B98,'[1]march-2025'!$A:$A,'[1]march-2025'!$J:$J,0,0)</f>
        <v>0</v>
      </c>
      <c r="EB98">
        <f>_xlfn.XLOOKUP(B98,'[2]april-2025'!$A:$A,'[2]april-2025'!$J:$J,0,0)</f>
        <v>0</v>
      </c>
      <c r="EC98">
        <f>_xlfn.XLOOKUP(B98,'[3]may-2025'!$A:$A,'[3]may-2025'!$J:$J,0,0)</f>
        <v>0</v>
      </c>
      <c r="ED98">
        <f>_xlfn.XLOOKUP(B98,'[4]june-2025'!$A:$A,'[4]june-2025'!$J:$J,0,0)</f>
        <v>0</v>
      </c>
      <c r="EE98">
        <f>_xlfn.XLOOKUP(B98,'[5]july-2025'!$A:$A,'[5]july-2025'!$J:$J,0,0)</f>
        <v>0</v>
      </c>
      <c r="EF98">
        <f>_xlfn.XLOOKUP(B98,'[6]august-2025'!$A:$A,'[6]august-2025'!$J:$J,0,0)</f>
        <v>0</v>
      </c>
      <c r="EG98">
        <f>_xlfn.XLOOKUP(B98,'[7]september-2025'!$A:$A,'[7]september-2025'!$J:$J,0,0)</f>
        <v>0</v>
      </c>
      <c r="EH98">
        <f>_xlfn.XLOOKUP(B98,'[8]october-2025'!$A:$A,'[8]october-2025'!$J:$J,0,0)</f>
        <v>0</v>
      </c>
      <c r="EI98">
        <f>_xlfn.XLOOKUP(C98,'[9]november-2025'!$A:$A,'[9]november-2025'!$J:$J,0,0)</f>
        <v>0</v>
      </c>
      <c r="EJ98">
        <f>_xlfn.XLOOKUP(B98,'[10]december-2025'!$A:$A,'[10]december-2025'!$J:$J,0,0)</f>
        <v>0</v>
      </c>
      <c r="EK98">
        <f>_xlfn.XLOOKUP(B98,'[11]january-2026'!$A:$A,'[11]january-2026'!$J:$J,0,0)</f>
        <v>0</v>
      </c>
      <c r="EL98">
        <f>_xlfn.XLOOKUP(B98,'[12]february-2026'!$A:$A,'[12]february-2026'!$J:$J,0,0)</f>
        <v>0</v>
      </c>
      <c r="EM98">
        <f t="shared" si="260"/>
        <v>0</v>
      </c>
      <c r="EN98">
        <f t="shared" si="204"/>
        <v>560020</v>
      </c>
      <c r="EO98">
        <f t="shared" si="205"/>
        <v>2400</v>
      </c>
      <c r="EP98">
        <f t="shared" si="261"/>
        <v>50000</v>
      </c>
      <c r="EQ98">
        <v>0</v>
      </c>
      <c r="ER98">
        <f t="shared" si="262"/>
        <v>507620</v>
      </c>
      <c r="ES98">
        <f t="shared" si="206"/>
        <v>36000</v>
      </c>
      <c r="ET98">
        <f t="shared" si="207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263"/>
        <v>36000</v>
      </c>
      <c r="FF98">
        <f t="shared" si="264"/>
        <v>36000</v>
      </c>
      <c r="FG98">
        <f t="shared" si="265"/>
        <v>471620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208"/>
        <v>0</v>
      </c>
      <c r="FP98">
        <f t="shared" si="266"/>
        <v>471620</v>
      </c>
      <c r="FQ98">
        <f t="shared" si="267"/>
        <v>11081</v>
      </c>
      <c r="FR98">
        <f t="shared" si="268"/>
        <v>0</v>
      </c>
      <c r="FS98">
        <f t="shared" si="269"/>
        <v>11081</v>
      </c>
      <c r="FT98">
        <f t="shared" si="270"/>
        <v>0</v>
      </c>
      <c r="FU98">
        <f t="shared" si="271"/>
        <v>0</v>
      </c>
      <c r="FV98">
        <f t="shared" si="272"/>
        <v>0</v>
      </c>
      <c r="FW98">
        <v>0</v>
      </c>
      <c r="FX98">
        <f t="shared" si="273"/>
        <v>0</v>
      </c>
      <c r="FY98" t="b">
        <f t="shared" si="274"/>
        <v>1</v>
      </c>
      <c r="FZ98">
        <f t="shared" ca="1" si="275"/>
        <v>554</v>
      </c>
      <c r="GA98">
        <f t="shared" ca="1" si="276"/>
        <v>560574</v>
      </c>
      <c r="GB98">
        <f t="shared" si="277"/>
        <v>75000</v>
      </c>
      <c r="GC98">
        <f t="shared" ca="1" si="278"/>
        <v>485574</v>
      </c>
      <c r="GD98">
        <f t="shared" ca="1" si="279"/>
        <v>0</v>
      </c>
      <c r="GE98">
        <f t="shared" ca="1" si="280"/>
        <v>0</v>
      </c>
      <c r="GF98">
        <f t="shared" ca="1" si="281"/>
        <v>0</v>
      </c>
      <c r="GG98">
        <f t="shared" ca="1" si="282"/>
        <v>0</v>
      </c>
      <c r="GH98">
        <f t="shared" ca="1" si="283"/>
        <v>0</v>
      </c>
      <c r="GI98">
        <f t="shared" ca="1" si="284"/>
        <v>0</v>
      </c>
      <c r="GJ98">
        <f t="shared" ca="1" si="209"/>
        <v>0</v>
      </c>
      <c r="GK98">
        <f t="shared" ca="1" si="285"/>
        <v>0</v>
      </c>
      <c r="GL98">
        <f t="shared" ca="1" si="286"/>
        <v>0</v>
      </c>
      <c r="GM98">
        <f t="shared" ca="1" si="287"/>
        <v>0</v>
      </c>
      <c r="GN98">
        <f t="shared" ca="1" si="288"/>
        <v>85574</v>
      </c>
      <c r="GO98">
        <f t="shared" ca="1" si="289"/>
        <v>4278.7</v>
      </c>
      <c r="GP98">
        <f t="shared" ca="1" si="290"/>
        <v>4279</v>
      </c>
      <c r="GQ98">
        <f t="shared" ca="1" si="291"/>
        <v>0</v>
      </c>
      <c r="GR98">
        <f t="shared" ca="1" si="292"/>
        <v>0</v>
      </c>
      <c r="GS98">
        <f t="shared" ca="1" si="293"/>
        <v>4279</v>
      </c>
      <c r="GT98">
        <f t="shared" ca="1" si="294"/>
        <v>0</v>
      </c>
      <c r="GU98" t="b">
        <f t="shared" ca="1" si="295"/>
        <v>0</v>
      </c>
      <c r="GV98">
        <f t="shared" ca="1" si="296"/>
        <v>0</v>
      </c>
      <c r="GW98">
        <f t="shared" ca="1" si="297"/>
        <v>4279</v>
      </c>
      <c r="GX98">
        <f t="shared" ca="1" si="298"/>
        <v>0</v>
      </c>
      <c r="GY98">
        <f t="shared" ca="1" si="299"/>
        <v>0</v>
      </c>
      <c r="GZ98">
        <f t="shared" ca="1" si="300"/>
        <v>0</v>
      </c>
    </row>
    <row r="99" spans="1:208" x14ac:dyDescent="0.3">
      <c r="A99">
        <f>_xlfn.AGGREGATE(3,5,$B$2:B99)</f>
        <v>98</v>
      </c>
      <c r="B99" t="s">
        <v>313</v>
      </c>
      <c r="C99" t="s">
        <v>314</v>
      </c>
      <c r="D99" t="s">
        <v>775</v>
      </c>
      <c r="E99" t="s">
        <v>830</v>
      </c>
      <c r="F99" t="s">
        <v>956</v>
      </c>
      <c r="G99" t="s">
        <v>915</v>
      </c>
      <c r="H99">
        <f t="shared" ref="H99:H131" si="302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1"/>
        <v>4004.0000000000005</v>
      </c>
      <c r="L99">
        <f t="shared" si="212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194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01"/>
        <v>150</v>
      </c>
      <c r="S99">
        <f t="shared" si="213"/>
        <v>34386</v>
      </c>
      <c r="T99">
        <f>_xlfn.XLOOKUP(B99,'[2]april-2025'!$A:$A,'[2]april-2025'!$C:$C,0,0)</f>
        <v>28600</v>
      </c>
      <c r="U99">
        <f t="shared" si="214"/>
        <v>5148</v>
      </c>
      <c r="V99">
        <f t="shared" si="215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16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17"/>
        <v>150</v>
      </c>
      <c r="AC99">
        <f t="shared" si="218"/>
        <v>35530</v>
      </c>
      <c r="AD99">
        <f>_xlfn.XLOOKUP(B99,'[3]may-2025'!$A:$A,'[3]may-2025'!$C:$C,0,0)</f>
        <v>28600</v>
      </c>
      <c r="AE99">
        <f t="shared" si="219"/>
        <v>5148</v>
      </c>
      <c r="AF99">
        <f t="shared" si="220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1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2"/>
        <v>150</v>
      </c>
      <c r="AM99">
        <f t="shared" si="223"/>
        <v>35530</v>
      </c>
      <c r="AN99">
        <f>_xlfn.XLOOKUP(B99,'[4]june-2025'!$A:$A,'[4]june-2025'!$C:$C,0,0)</f>
        <v>28600</v>
      </c>
      <c r="AO99">
        <f t="shared" si="224"/>
        <v>5148</v>
      </c>
      <c r="AP99">
        <f t="shared" si="225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26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27"/>
        <v>150</v>
      </c>
      <c r="AW99">
        <f t="shared" si="228"/>
        <v>35530</v>
      </c>
      <c r="AX99">
        <f>_xlfn.XLOOKUP(B99,'[5]july-2025'!$A:$A,'[5]july-2025'!$C:$C,0,0)</f>
        <v>29500</v>
      </c>
      <c r="AY99">
        <f t="shared" si="229"/>
        <v>5310</v>
      </c>
      <c r="AZ99">
        <v>0</v>
      </c>
      <c r="BA99">
        <f t="shared" si="230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195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1"/>
        <v>150</v>
      </c>
      <c r="BH99">
        <f t="shared" si="232"/>
        <v>36700</v>
      </c>
      <c r="BI99">
        <f>_xlfn.XLOOKUP(B99,'[6]august-2025'!$A:$A,'[6]august-2025'!$C:$C,0,0)</f>
        <v>29500</v>
      </c>
      <c r="BJ99">
        <f t="shared" si="233"/>
        <v>5310</v>
      </c>
      <c r="BK99">
        <f t="shared" si="234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35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196"/>
        <v>150</v>
      </c>
      <c r="BR99">
        <f t="shared" si="197"/>
        <v>36700</v>
      </c>
      <c r="BS99">
        <f>_xlfn.XLOOKUP(B99,'[7]september-2025'!$A:$A,'[7]september-2025'!$C:$C,0,0)</f>
        <v>29500</v>
      </c>
      <c r="BT99">
        <f t="shared" si="236"/>
        <v>5310</v>
      </c>
      <c r="BU99">
        <f t="shared" si="237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198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38"/>
        <v>150</v>
      </c>
      <c r="CB99">
        <f t="shared" si="239"/>
        <v>36700</v>
      </c>
      <c r="CC99">
        <f>_xlfn.XLOOKUP(B99,'[8]october-2025'!$A:$A,'[8]october-2025'!$C:$C,0,0)</f>
        <v>29500</v>
      </c>
      <c r="CD99">
        <f t="shared" si="240"/>
        <v>5310</v>
      </c>
      <c r="CE99">
        <f t="shared" si="241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199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42"/>
        <v>150</v>
      </c>
      <c r="CL99">
        <f t="shared" si="243"/>
        <v>36700</v>
      </c>
      <c r="CM99">
        <f>_xlfn.XLOOKUP(B99,'[9]november-2025'!$A:$A,'[9]november-2025'!$C:$C,0,0)</f>
        <v>29500</v>
      </c>
      <c r="CN99">
        <f t="shared" si="244"/>
        <v>5310</v>
      </c>
      <c r="CO99">
        <f t="shared" si="24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00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46"/>
        <v>150</v>
      </c>
      <c r="CV99">
        <f t="shared" si="247"/>
        <v>36700</v>
      </c>
      <c r="CW99">
        <f>_xlfn.XLOOKUP(B99,'[10]december-2025'!$A:$A,'[10]december-2025'!$C:$C,0,0)</f>
        <v>29500</v>
      </c>
      <c r="CX99">
        <f t="shared" si="248"/>
        <v>5310</v>
      </c>
      <c r="CY99">
        <f t="shared" si="249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0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50"/>
        <v>150</v>
      </c>
      <c r="DF99">
        <f t="shared" si="251"/>
        <v>36700</v>
      </c>
      <c r="DG99">
        <f>_xlfn.XLOOKUP(B99,'[11]january-2026'!$A:$A,'[11]january-2026'!$C:$C,0,0)</f>
        <v>29500</v>
      </c>
      <c r="DH99">
        <f t="shared" si="252"/>
        <v>5310</v>
      </c>
      <c r="DI99">
        <f t="shared" si="253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02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54"/>
        <v>150</v>
      </c>
      <c r="DP99">
        <f t="shared" si="255"/>
        <v>36700</v>
      </c>
      <c r="DQ99">
        <f>_xlfn.XLOOKUP(B99,'[12]february-2026'!$A:$A,'[12]february-2026'!$C:$C,0,0)</f>
        <v>29500</v>
      </c>
      <c r="DR99">
        <f t="shared" si="256"/>
        <v>5310</v>
      </c>
      <c r="DS99">
        <f t="shared" si="257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03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58"/>
        <v>150</v>
      </c>
      <c r="DZ99">
        <f t="shared" si="259"/>
        <v>36700</v>
      </c>
      <c r="EA99">
        <f>_xlfn.XLOOKUP(B99,'[1]march-2025'!$A:$A,'[1]march-2025'!$J:$J,0,0)</f>
        <v>0</v>
      </c>
      <c r="EB99">
        <f>_xlfn.XLOOKUP(B99,'[2]april-2025'!$A:$A,'[2]april-2025'!$J:$J,0,0)</f>
        <v>0</v>
      </c>
      <c r="EC99">
        <f>_xlfn.XLOOKUP(B99,'[3]may-2025'!$A:$A,'[3]may-2025'!$J:$J,0,0)</f>
        <v>0</v>
      </c>
      <c r="ED99">
        <f>_xlfn.XLOOKUP(B99,'[4]june-2025'!$A:$A,'[4]june-2025'!$J:$J,0,0)</f>
        <v>0</v>
      </c>
      <c r="EE99">
        <f>_xlfn.XLOOKUP(B99,'[5]july-2025'!$A:$A,'[5]july-2025'!$J:$J,0,0)</f>
        <v>0</v>
      </c>
      <c r="EF99">
        <f>_xlfn.XLOOKUP(B99,'[6]august-2025'!$A:$A,'[6]august-2025'!$J:$J,0,0)</f>
        <v>0</v>
      </c>
      <c r="EG99">
        <f>_xlfn.XLOOKUP(B99,'[7]september-2025'!$A:$A,'[7]september-2025'!$J:$J,0,0)</f>
        <v>0</v>
      </c>
      <c r="EH99">
        <f>_xlfn.XLOOKUP(B99,'[8]october-2025'!$A:$A,'[8]october-2025'!$J:$J,0,0)</f>
        <v>0</v>
      </c>
      <c r="EI99">
        <f>_xlfn.XLOOKUP(C99,'[9]november-2025'!$A:$A,'[9]november-2025'!$J:$J,0,0)</f>
        <v>0</v>
      </c>
      <c r="EJ99">
        <f>_xlfn.XLOOKUP(B99,'[10]december-2025'!$A:$A,'[10]december-2025'!$J:$J,0,0)</f>
        <v>0</v>
      </c>
      <c r="EK99">
        <f>_xlfn.XLOOKUP(B99,'[11]january-2026'!$A:$A,'[11]january-2026'!$J:$J,0,0)</f>
        <v>0</v>
      </c>
      <c r="EL99">
        <f>_xlfn.XLOOKUP(B99,'[12]february-2026'!$A:$A,'[12]february-2026'!$J:$J,0,0)</f>
        <v>0</v>
      </c>
      <c r="EM99">
        <f t="shared" si="260"/>
        <v>0</v>
      </c>
      <c r="EN99">
        <f t="shared" si="204"/>
        <v>467176</v>
      </c>
      <c r="EO99">
        <f t="shared" si="205"/>
        <v>1800</v>
      </c>
      <c r="EP99">
        <f t="shared" si="261"/>
        <v>50000</v>
      </c>
      <c r="EQ99">
        <v>0</v>
      </c>
      <c r="ER99">
        <f t="shared" si="262"/>
        <v>415376</v>
      </c>
      <c r="ES99">
        <f t="shared" si="206"/>
        <v>24000</v>
      </c>
      <c r="ET99">
        <f t="shared" si="207"/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si="263"/>
        <v>24000</v>
      </c>
      <c r="FF99">
        <f t="shared" si="264"/>
        <v>24000</v>
      </c>
      <c r="FG99">
        <f t="shared" si="265"/>
        <v>391376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si="208"/>
        <v>0</v>
      </c>
      <c r="FP99">
        <f t="shared" si="266"/>
        <v>391376</v>
      </c>
      <c r="FQ99">
        <f t="shared" si="267"/>
        <v>7069</v>
      </c>
      <c r="FR99">
        <f t="shared" si="268"/>
        <v>0</v>
      </c>
      <c r="FS99">
        <f t="shared" si="269"/>
        <v>7069</v>
      </c>
      <c r="FT99">
        <f t="shared" si="270"/>
        <v>0</v>
      </c>
      <c r="FU99">
        <f t="shared" si="271"/>
        <v>0</v>
      </c>
      <c r="FV99">
        <f t="shared" si="272"/>
        <v>0</v>
      </c>
      <c r="FW99">
        <v>0</v>
      </c>
      <c r="FX99">
        <f t="shared" si="273"/>
        <v>0</v>
      </c>
      <c r="FY99" t="b">
        <f t="shared" si="274"/>
        <v>0</v>
      </c>
      <c r="FZ99">
        <f t="shared" ca="1" si="275"/>
        <v>1726</v>
      </c>
      <c r="GA99">
        <f t="shared" ca="1" si="276"/>
        <v>468902</v>
      </c>
      <c r="GB99">
        <f t="shared" si="277"/>
        <v>75000</v>
      </c>
      <c r="GC99">
        <f t="shared" ca="1" si="278"/>
        <v>393902</v>
      </c>
      <c r="GD99">
        <f t="shared" ca="1" si="279"/>
        <v>0</v>
      </c>
      <c r="GE99">
        <f t="shared" ca="1" si="280"/>
        <v>0</v>
      </c>
      <c r="GF99">
        <f t="shared" ca="1" si="281"/>
        <v>0</v>
      </c>
      <c r="GG99">
        <f t="shared" ca="1" si="282"/>
        <v>0</v>
      </c>
      <c r="GH99">
        <f t="shared" ca="1" si="283"/>
        <v>0</v>
      </c>
      <c r="GI99">
        <f t="shared" ca="1" si="284"/>
        <v>0</v>
      </c>
      <c r="GJ99">
        <f t="shared" ca="1" si="209"/>
        <v>0</v>
      </c>
      <c r="GK99">
        <f t="shared" ca="1" si="285"/>
        <v>0</v>
      </c>
      <c r="GL99">
        <f t="shared" ca="1" si="286"/>
        <v>0</v>
      </c>
      <c r="GM99">
        <f t="shared" ca="1" si="287"/>
        <v>0</v>
      </c>
      <c r="GN99">
        <f t="shared" ca="1" si="288"/>
        <v>0</v>
      </c>
      <c r="GO99">
        <f t="shared" ca="1" si="289"/>
        <v>0</v>
      </c>
      <c r="GP99">
        <f t="shared" ca="1" si="290"/>
        <v>0</v>
      </c>
      <c r="GQ99">
        <f t="shared" ca="1" si="291"/>
        <v>0</v>
      </c>
      <c r="GR99">
        <f t="shared" ca="1" si="292"/>
        <v>0</v>
      </c>
      <c r="GS99">
        <f t="shared" ca="1" si="293"/>
        <v>0</v>
      </c>
      <c r="GT99">
        <f t="shared" ca="1" si="294"/>
        <v>0</v>
      </c>
      <c r="GU99" t="b">
        <f t="shared" ca="1" si="295"/>
        <v>0</v>
      </c>
      <c r="GV99">
        <f t="shared" ca="1" si="296"/>
        <v>0</v>
      </c>
      <c r="GW99">
        <f t="shared" ca="1" si="297"/>
        <v>0</v>
      </c>
      <c r="GX99">
        <f t="shared" ca="1" si="298"/>
        <v>0</v>
      </c>
      <c r="GY99">
        <f t="shared" ca="1" si="299"/>
        <v>0</v>
      </c>
      <c r="GZ99">
        <f t="shared" ca="1" si="300"/>
        <v>0</v>
      </c>
    </row>
    <row r="100" spans="1:208" x14ac:dyDescent="0.3">
      <c r="A100">
        <f>_xlfn.AGGREGATE(3,5,$B$2:B100)</f>
        <v>99</v>
      </c>
      <c r="B100" t="s">
        <v>316</v>
      </c>
      <c r="C100" t="s">
        <v>317</v>
      </c>
      <c r="D100" t="s">
        <v>775</v>
      </c>
      <c r="E100" t="s">
        <v>830</v>
      </c>
      <c r="F100" t="s">
        <v>956</v>
      </c>
      <c r="G100" t="s">
        <v>916</v>
      </c>
      <c r="H100">
        <f t="shared" si="302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1"/>
        <v>4424</v>
      </c>
      <c r="L100">
        <f t="shared" si="212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194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01"/>
        <v>200</v>
      </c>
      <c r="S100">
        <f t="shared" si="213"/>
        <v>38116</v>
      </c>
      <c r="T100">
        <f>_xlfn.XLOOKUP(B100,'[2]april-2025'!$A:$A,'[2]april-2025'!$C:$C,0,0)</f>
        <v>31600</v>
      </c>
      <c r="U100">
        <f t="shared" si="214"/>
        <v>5688</v>
      </c>
      <c r="V100">
        <f t="shared" si="215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16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17"/>
        <v>200</v>
      </c>
      <c r="AC100">
        <f t="shared" si="218"/>
        <v>39380</v>
      </c>
      <c r="AD100">
        <f>_xlfn.XLOOKUP(B100,'[3]may-2025'!$A:$A,'[3]may-2025'!$C:$C,0,0)</f>
        <v>31600</v>
      </c>
      <c r="AE100">
        <f t="shared" si="219"/>
        <v>5688</v>
      </c>
      <c r="AF100">
        <f t="shared" si="220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1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2"/>
        <v>200</v>
      </c>
      <c r="AM100">
        <f t="shared" si="223"/>
        <v>39380</v>
      </c>
      <c r="AN100">
        <f>_xlfn.XLOOKUP(B100,'[4]june-2025'!$A:$A,'[4]june-2025'!$C:$C,0,0)</f>
        <v>31600</v>
      </c>
      <c r="AO100">
        <f t="shared" si="224"/>
        <v>5688</v>
      </c>
      <c r="AP100">
        <f t="shared" si="225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26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27"/>
        <v>200</v>
      </c>
      <c r="AW100">
        <f t="shared" si="228"/>
        <v>39380</v>
      </c>
      <c r="AX100">
        <f>_xlfn.XLOOKUP(B100,'[5]july-2025'!$A:$A,'[5]july-2025'!$C:$C,0,0)</f>
        <v>32500</v>
      </c>
      <c r="AY100">
        <f t="shared" si="229"/>
        <v>5850</v>
      </c>
      <c r="AZ100">
        <v>0</v>
      </c>
      <c r="BA100">
        <f t="shared" si="230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195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1"/>
        <v>200</v>
      </c>
      <c r="BH100">
        <f t="shared" si="232"/>
        <v>40550</v>
      </c>
      <c r="BI100">
        <f>_xlfn.XLOOKUP(B100,'[6]august-2025'!$A:$A,'[6]august-2025'!$C:$C,0,0)</f>
        <v>32500</v>
      </c>
      <c r="BJ100">
        <f t="shared" si="233"/>
        <v>5850</v>
      </c>
      <c r="BK100">
        <f t="shared" si="234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35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196"/>
        <v>200</v>
      </c>
      <c r="BR100">
        <f t="shared" si="197"/>
        <v>40550</v>
      </c>
      <c r="BS100">
        <f>_xlfn.XLOOKUP(B100,'[7]september-2025'!$A:$A,'[7]september-2025'!$C:$C,0,0)</f>
        <v>32500</v>
      </c>
      <c r="BT100">
        <f t="shared" si="236"/>
        <v>5850</v>
      </c>
      <c r="BU100">
        <f t="shared" si="237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198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38"/>
        <v>200</v>
      </c>
      <c r="CB100">
        <f t="shared" si="239"/>
        <v>40550</v>
      </c>
      <c r="CC100">
        <f>_xlfn.XLOOKUP(B100,'[8]october-2025'!$A:$A,'[8]october-2025'!$C:$C,0,0)</f>
        <v>32500</v>
      </c>
      <c r="CD100">
        <f t="shared" si="240"/>
        <v>5850</v>
      </c>
      <c r="CE100">
        <f t="shared" si="241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199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42"/>
        <v>200</v>
      </c>
      <c r="CL100">
        <f t="shared" si="243"/>
        <v>40550</v>
      </c>
      <c r="CM100">
        <f>_xlfn.XLOOKUP(B100,'[9]november-2025'!$A:$A,'[9]november-2025'!$C:$C,0,0)</f>
        <v>32500</v>
      </c>
      <c r="CN100">
        <f t="shared" si="244"/>
        <v>5850</v>
      </c>
      <c r="CO100">
        <f t="shared" si="24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00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46"/>
        <v>200</v>
      </c>
      <c r="CV100">
        <f t="shared" si="247"/>
        <v>40550</v>
      </c>
      <c r="CW100">
        <f>_xlfn.XLOOKUP(B100,'[10]december-2025'!$A:$A,'[10]december-2025'!$C:$C,0,0)</f>
        <v>32500</v>
      </c>
      <c r="CX100">
        <f t="shared" si="248"/>
        <v>5850</v>
      </c>
      <c r="CY100">
        <f t="shared" si="249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0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50"/>
        <v>200</v>
      </c>
      <c r="DF100">
        <f t="shared" si="251"/>
        <v>40550</v>
      </c>
      <c r="DG100">
        <f>_xlfn.XLOOKUP(B100,'[11]january-2026'!$A:$A,'[11]january-2026'!$C:$C,0,0)</f>
        <v>32500</v>
      </c>
      <c r="DH100">
        <f t="shared" si="252"/>
        <v>5850</v>
      </c>
      <c r="DI100">
        <f t="shared" si="253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02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54"/>
        <v>200</v>
      </c>
      <c r="DP100">
        <f t="shared" si="255"/>
        <v>40550</v>
      </c>
      <c r="DQ100">
        <f>_xlfn.XLOOKUP(B100,'[12]february-2026'!$A:$A,'[12]february-2026'!$C:$C,0,0)</f>
        <v>32500</v>
      </c>
      <c r="DR100">
        <f t="shared" si="256"/>
        <v>5850</v>
      </c>
      <c r="DS100">
        <f t="shared" si="257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03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58"/>
        <v>200</v>
      </c>
      <c r="DZ100">
        <f t="shared" si="259"/>
        <v>40550</v>
      </c>
      <c r="EA100">
        <f>_xlfn.XLOOKUP(B100,'[1]march-2025'!$A:$A,'[1]march-2025'!$J:$J,0,0)</f>
        <v>0</v>
      </c>
      <c r="EB100">
        <f>_xlfn.XLOOKUP(B100,'[2]april-2025'!$A:$A,'[2]april-2025'!$J:$J,0,0)</f>
        <v>0</v>
      </c>
      <c r="EC100">
        <f>_xlfn.XLOOKUP(B100,'[3]may-2025'!$A:$A,'[3]may-2025'!$J:$J,0,0)</f>
        <v>0</v>
      </c>
      <c r="ED100">
        <f>_xlfn.XLOOKUP(B100,'[4]june-2025'!$A:$A,'[4]june-2025'!$J:$J,0,0)</f>
        <v>0</v>
      </c>
      <c r="EE100">
        <f>_xlfn.XLOOKUP(B100,'[5]july-2025'!$A:$A,'[5]july-2025'!$J:$J,0,0)</f>
        <v>0</v>
      </c>
      <c r="EF100">
        <f>_xlfn.XLOOKUP(B100,'[6]august-2025'!$A:$A,'[6]august-2025'!$J:$J,0,0)</f>
        <v>0</v>
      </c>
      <c r="EG100">
        <f>_xlfn.XLOOKUP(B100,'[7]september-2025'!$A:$A,'[7]september-2025'!$J:$J,0,0)</f>
        <v>0</v>
      </c>
      <c r="EH100">
        <f>_xlfn.XLOOKUP(B100,'[8]october-2025'!$A:$A,'[8]october-2025'!$J:$J,0,0)</f>
        <v>0</v>
      </c>
      <c r="EI100">
        <f>_xlfn.XLOOKUP(C100,'[9]november-2025'!$A:$A,'[9]november-2025'!$J:$J,0,0)</f>
        <v>0</v>
      </c>
      <c r="EJ100">
        <f>_xlfn.XLOOKUP(B100,'[10]december-2025'!$A:$A,'[10]december-2025'!$J:$J,0,0)</f>
        <v>0</v>
      </c>
      <c r="EK100">
        <f>_xlfn.XLOOKUP(B100,'[11]january-2026'!$A:$A,'[11]january-2026'!$J:$J,0,0)</f>
        <v>0</v>
      </c>
      <c r="EL100">
        <f>_xlfn.XLOOKUP(B100,'[12]february-2026'!$A:$A,'[12]february-2026'!$J:$J,0,0)</f>
        <v>0</v>
      </c>
      <c r="EM100">
        <f t="shared" si="260"/>
        <v>0</v>
      </c>
      <c r="EN100">
        <f t="shared" si="204"/>
        <v>513856</v>
      </c>
      <c r="EO100">
        <f t="shared" si="205"/>
        <v>2400</v>
      </c>
      <c r="EP100">
        <f t="shared" si="261"/>
        <v>50000</v>
      </c>
      <c r="EQ100">
        <v>0</v>
      </c>
      <c r="ER100">
        <f t="shared" si="262"/>
        <v>461456</v>
      </c>
      <c r="ES100">
        <f t="shared" si="206"/>
        <v>24000</v>
      </c>
      <c r="ET100">
        <f t="shared" si="207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263"/>
        <v>24000</v>
      </c>
      <c r="FF100">
        <f t="shared" si="264"/>
        <v>24000</v>
      </c>
      <c r="FG100">
        <f t="shared" si="265"/>
        <v>437456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208"/>
        <v>0</v>
      </c>
      <c r="FP100">
        <f t="shared" si="266"/>
        <v>437456</v>
      </c>
      <c r="FQ100">
        <f t="shared" si="267"/>
        <v>9373</v>
      </c>
      <c r="FR100">
        <f t="shared" si="268"/>
        <v>0</v>
      </c>
      <c r="FS100">
        <f t="shared" si="269"/>
        <v>9373</v>
      </c>
      <c r="FT100">
        <f t="shared" si="270"/>
        <v>0</v>
      </c>
      <c r="FU100">
        <f t="shared" si="271"/>
        <v>0</v>
      </c>
      <c r="FV100">
        <f t="shared" si="272"/>
        <v>0</v>
      </c>
      <c r="FW100">
        <v>0</v>
      </c>
      <c r="FX100">
        <f t="shared" si="273"/>
        <v>0</v>
      </c>
      <c r="FY100" t="b">
        <f t="shared" si="274"/>
        <v>1</v>
      </c>
      <c r="FZ100">
        <f t="shared" ca="1" si="275"/>
        <v>556</v>
      </c>
      <c r="GA100">
        <f t="shared" ca="1" si="276"/>
        <v>514412</v>
      </c>
      <c r="GB100">
        <f t="shared" si="277"/>
        <v>75000</v>
      </c>
      <c r="GC100">
        <f t="shared" ca="1" si="278"/>
        <v>439412</v>
      </c>
      <c r="GD100">
        <f t="shared" ca="1" si="279"/>
        <v>0</v>
      </c>
      <c r="GE100">
        <f t="shared" ca="1" si="280"/>
        <v>0</v>
      </c>
      <c r="GF100">
        <f t="shared" ca="1" si="281"/>
        <v>0</v>
      </c>
      <c r="GG100">
        <f t="shared" ca="1" si="282"/>
        <v>0</v>
      </c>
      <c r="GH100">
        <f t="shared" ca="1" si="283"/>
        <v>0</v>
      </c>
      <c r="GI100">
        <f t="shared" ca="1" si="284"/>
        <v>0</v>
      </c>
      <c r="GJ100">
        <f t="shared" ca="1" si="209"/>
        <v>0</v>
      </c>
      <c r="GK100">
        <f t="shared" ca="1" si="285"/>
        <v>0</v>
      </c>
      <c r="GL100">
        <f t="shared" ca="1" si="286"/>
        <v>0</v>
      </c>
      <c r="GM100">
        <f t="shared" ca="1" si="287"/>
        <v>0</v>
      </c>
      <c r="GN100">
        <f t="shared" ca="1" si="288"/>
        <v>39412</v>
      </c>
      <c r="GO100">
        <f t="shared" ca="1" si="289"/>
        <v>1970.6000000000001</v>
      </c>
      <c r="GP100">
        <f t="shared" ca="1" si="290"/>
        <v>1971</v>
      </c>
      <c r="GQ100">
        <f t="shared" ca="1" si="291"/>
        <v>0</v>
      </c>
      <c r="GR100">
        <f t="shared" ca="1" si="292"/>
        <v>0</v>
      </c>
      <c r="GS100">
        <f t="shared" ca="1" si="293"/>
        <v>1971</v>
      </c>
      <c r="GT100">
        <f t="shared" ca="1" si="294"/>
        <v>0</v>
      </c>
      <c r="GU100" t="b">
        <f t="shared" ca="1" si="295"/>
        <v>0</v>
      </c>
      <c r="GV100">
        <f t="shared" ca="1" si="296"/>
        <v>0</v>
      </c>
      <c r="GW100">
        <f t="shared" ca="1" si="297"/>
        <v>1971</v>
      </c>
      <c r="GX100">
        <f t="shared" ca="1" si="298"/>
        <v>0</v>
      </c>
      <c r="GY100">
        <f t="shared" ca="1" si="299"/>
        <v>0</v>
      </c>
      <c r="GZ100">
        <f t="shared" ca="1" si="300"/>
        <v>0</v>
      </c>
    </row>
    <row r="101" spans="1:208" x14ac:dyDescent="0.3">
      <c r="A101">
        <f>_xlfn.AGGREGATE(3,5,$B$2:B101)</f>
        <v>100</v>
      </c>
      <c r="B101" t="s">
        <v>315</v>
      </c>
      <c r="C101" t="s">
        <v>859</v>
      </c>
      <c r="D101" t="s">
        <v>775</v>
      </c>
      <c r="E101" t="s">
        <v>830</v>
      </c>
      <c r="F101" t="s">
        <v>956</v>
      </c>
      <c r="G101" t="s">
        <v>917</v>
      </c>
      <c r="H101">
        <f t="shared" si="302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1"/>
        <v>4690</v>
      </c>
      <c r="L101">
        <f t="shared" si="212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194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01"/>
        <v>200</v>
      </c>
      <c r="S101">
        <f t="shared" si="213"/>
        <v>40010</v>
      </c>
      <c r="T101">
        <f>_xlfn.XLOOKUP(B101,'[2]april-2025'!$A:$A,'[2]april-2025'!$C:$C,0,0)</f>
        <v>33500</v>
      </c>
      <c r="U101">
        <f t="shared" si="214"/>
        <v>6030</v>
      </c>
      <c r="V101">
        <f t="shared" si="215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16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17"/>
        <v>200</v>
      </c>
      <c r="AC101">
        <f t="shared" si="218"/>
        <v>41350</v>
      </c>
      <c r="AD101">
        <f>_xlfn.XLOOKUP(B101,'[3]may-2025'!$A:$A,'[3]may-2025'!$C:$C,0,0)</f>
        <v>33500</v>
      </c>
      <c r="AE101">
        <f t="shared" si="219"/>
        <v>6030</v>
      </c>
      <c r="AF101">
        <f t="shared" si="220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1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2"/>
        <v>200</v>
      </c>
      <c r="AM101">
        <f t="shared" si="223"/>
        <v>41350</v>
      </c>
      <c r="AN101">
        <f>_xlfn.XLOOKUP(B101,'[4]june-2025'!$A:$A,'[4]june-2025'!$C:$C,0,0)</f>
        <v>33500</v>
      </c>
      <c r="AO101">
        <f t="shared" si="224"/>
        <v>6030</v>
      </c>
      <c r="AP101">
        <f t="shared" si="225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26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27"/>
        <v>200</v>
      </c>
      <c r="AW101">
        <f t="shared" si="228"/>
        <v>41350</v>
      </c>
      <c r="AX101">
        <f>_xlfn.XLOOKUP(B101,'[5]july-2025'!$A:$A,'[5]july-2025'!$C:$C,0,0)</f>
        <v>34500</v>
      </c>
      <c r="AY101">
        <f t="shared" si="229"/>
        <v>6210</v>
      </c>
      <c r="AZ101">
        <v>0</v>
      </c>
      <c r="BA101">
        <f t="shared" si="230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195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1"/>
        <v>200</v>
      </c>
      <c r="BH101">
        <f t="shared" si="232"/>
        <v>42650</v>
      </c>
      <c r="BI101">
        <f>_xlfn.XLOOKUP(B101,'[6]august-2025'!$A:$A,'[6]august-2025'!$C:$C,0,0)</f>
        <v>34500</v>
      </c>
      <c r="BJ101">
        <f t="shared" si="233"/>
        <v>6210</v>
      </c>
      <c r="BK101">
        <f t="shared" si="234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35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196"/>
        <v>200</v>
      </c>
      <c r="BR101">
        <f t="shared" si="197"/>
        <v>42650</v>
      </c>
      <c r="BS101">
        <f>_xlfn.XLOOKUP(B101,'[7]september-2025'!$A:$A,'[7]september-2025'!$C:$C,0,0)</f>
        <v>34500</v>
      </c>
      <c r="BT101">
        <f t="shared" si="236"/>
        <v>6210</v>
      </c>
      <c r="BU101">
        <f t="shared" si="237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198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38"/>
        <v>200</v>
      </c>
      <c r="CB101">
        <f t="shared" si="239"/>
        <v>42650</v>
      </c>
      <c r="CC101">
        <f>_xlfn.XLOOKUP(B101,'[8]october-2025'!$A:$A,'[8]october-2025'!$C:$C,0,0)</f>
        <v>34500</v>
      </c>
      <c r="CD101">
        <f t="shared" si="240"/>
        <v>6210</v>
      </c>
      <c r="CE101">
        <f t="shared" si="241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199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42"/>
        <v>200</v>
      </c>
      <c r="CL101">
        <f t="shared" si="243"/>
        <v>42650</v>
      </c>
      <c r="CM101">
        <f>_xlfn.XLOOKUP(B101,'[9]november-2025'!$A:$A,'[9]november-2025'!$C:$C,0,0)</f>
        <v>34500</v>
      </c>
      <c r="CN101">
        <f t="shared" si="244"/>
        <v>6210</v>
      </c>
      <c r="CO101">
        <f t="shared" si="24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00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46"/>
        <v>200</v>
      </c>
      <c r="CV101">
        <f t="shared" si="247"/>
        <v>42650</v>
      </c>
      <c r="CW101">
        <f>_xlfn.XLOOKUP(B101,'[10]december-2025'!$A:$A,'[10]december-2025'!$C:$C,0,0)</f>
        <v>34500</v>
      </c>
      <c r="CX101">
        <f t="shared" si="248"/>
        <v>6210</v>
      </c>
      <c r="CY101">
        <f t="shared" si="249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0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50"/>
        <v>200</v>
      </c>
      <c r="DF101">
        <f t="shared" si="251"/>
        <v>42650</v>
      </c>
      <c r="DG101">
        <f>_xlfn.XLOOKUP(B101,'[11]january-2026'!$A:$A,'[11]january-2026'!$C:$C,0,0)</f>
        <v>34500</v>
      </c>
      <c r="DH101">
        <f t="shared" si="252"/>
        <v>6210</v>
      </c>
      <c r="DI101">
        <f t="shared" si="253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02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54"/>
        <v>200</v>
      </c>
      <c r="DP101">
        <f t="shared" si="255"/>
        <v>42650</v>
      </c>
      <c r="DQ101">
        <f>_xlfn.XLOOKUP(B101,'[12]february-2026'!$A:$A,'[12]february-2026'!$C:$C,0,0)</f>
        <v>34500</v>
      </c>
      <c r="DR101">
        <f t="shared" si="256"/>
        <v>6210</v>
      </c>
      <c r="DS101">
        <f t="shared" si="257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03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58"/>
        <v>200</v>
      </c>
      <c r="DZ101">
        <f t="shared" si="259"/>
        <v>42650</v>
      </c>
      <c r="EA101">
        <f>_xlfn.XLOOKUP(B101,'[1]march-2025'!$A:$A,'[1]march-2025'!$J:$J,0,0)</f>
        <v>0</v>
      </c>
      <c r="EB101">
        <f>_xlfn.XLOOKUP(B101,'[2]april-2025'!$A:$A,'[2]april-2025'!$J:$J,0,0)</f>
        <v>0</v>
      </c>
      <c r="EC101">
        <f>_xlfn.XLOOKUP(B101,'[3]may-2025'!$A:$A,'[3]may-2025'!$J:$J,0,0)</f>
        <v>0</v>
      </c>
      <c r="ED101">
        <f>_xlfn.XLOOKUP(B101,'[4]june-2025'!$A:$A,'[4]june-2025'!$J:$J,0,0)</f>
        <v>0</v>
      </c>
      <c r="EE101">
        <f>_xlfn.XLOOKUP(B101,'[5]july-2025'!$A:$A,'[5]july-2025'!$J:$J,0,0)</f>
        <v>0</v>
      </c>
      <c r="EF101">
        <f>_xlfn.XLOOKUP(B101,'[6]august-2025'!$A:$A,'[6]august-2025'!$J:$J,0,0)</f>
        <v>0</v>
      </c>
      <c r="EG101">
        <f>_xlfn.XLOOKUP(B101,'[7]september-2025'!$A:$A,'[7]september-2025'!$J:$J,0,0)</f>
        <v>0</v>
      </c>
      <c r="EH101">
        <f>_xlfn.XLOOKUP(B101,'[8]october-2025'!$A:$A,'[8]october-2025'!$J:$J,0,0)</f>
        <v>0</v>
      </c>
      <c r="EI101">
        <f>_xlfn.XLOOKUP(C101,'[9]november-2025'!$A:$A,'[9]november-2025'!$J:$J,0,0)</f>
        <v>0</v>
      </c>
      <c r="EJ101">
        <f>_xlfn.XLOOKUP(B101,'[10]december-2025'!$A:$A,'[10]december-2025'!$J:$J,0,0)</f>
        <v>0</v>
      </c>
      <c r="EK101">
        <f>_xlfn.XLOOKUP(B101,'[11]january-2026'!$A:$A,'[11]january-2026'!$J:$J,0,0)</f>
        <v>0</v>
      </c>
      <c r="EL101">
        <f>_xlfn.XLOOKUP(B101,'[12]february-2026'!$A:$A,'[12]february-2026'!$J:$J,0,0)</f>
        <v>0</v>
      </c>
      <c r="EM101">
        <f t="shared" si="260"/>
        <v>0</v>
      </c>
      <c r="EN101">
        <f t="shared" si="204"/>
        <v>544460</v>
      </c>
      <c r="EO101">
        <f t="shared" si="205"/>
        <v>2400</v>
      </c>
      <c r="EP101">
        <f t="shared" si="261"/>
        <v>50000</v>
      </c>
      <c r="EQ101">
        <v>0</v>
      </c>
      <c r="ER101">
        <f t="shared" si="262"/>
        <v>492060</v>
      </c>
      <c r="ES101">
        <f t="shared" si="206"/>
        <v>30000</v>
      </c>
      <c r="ET101">
        <f t="shared" si="207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263"/>
        <v>30000</v>
      </c>
      <c r="FF101">
        <f t="shared" si="264"/>
        <v>30000</v>
      </c>
      <c r="FG101">
        <f t="shared" si="265"/>
        <v>462060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208"/>
        <v>0</v>
      </c>
      <c r="FP101">
        <f t="shared" si="266"/>
        <v>462060</v>
      </c>
      <c r="FQ101">
        <f t="shared" si="267"/>
        <v>10603</v>
      </c>
      <c r="FR101">
        <f t="shared" si="268"/>
        <v>0</v>
      </c>
      <c r="FS101">
        <f t="shared" si="269"/>
        <v>10603</v>
      </c>
      <c r="FT101">
        <f t="shared" si="270"/>
        <v>0</v>
      </c>
      <c r="FU101">
        <f t="shared" si="271"/>
        <v>0</v>
      </c>
      <c r="FV101">
        <f t="shared" si="272"/>
        <v>0</v>
      </c>
      <c r="FW101">
        <v>0</v>
      </c>
      <c r="FX101">
        <f t="shared" si="273"/>
        <v>0</v>
      </c>
      <c r="FY101" t="b">
        <f t="shared" si="274"/>
        <v>1</v>
      </c>
      <c r="FZ101">
        <f t="shared" ca="1" si="275"/>
        <v>519</v>
      </c>
      <c r="GA101">
        <f t="shared" ca="1" si="276"/>
        <v>544979</v>
      </c>
      <c r="GB101">
        <f t="shared" si="277"/>
        <v>75000</v>
      </c>
      <c r="GC101">
        <f t="shared" ca="1" si="278"/>
        <v>469979</v>
      </c>
      <c r="GD101">
        <f t="shared" ca="1" si="279"/>
        <v>0</v>
      </c>
      <c r="GE101">
        <f t="shared" ca="1" si="280"/>
        <v>0</v>
      </c>
      <c r="GF101">
        <f t="shared" ca="1" si="281"/>
        <v>0</v>
      </c>
      <c r="GG101">
        <f t="shared" ca="1" si="282"/>
        <v>0</v>
      </c>
      <c r="GH101">
        <f t="shared" ca="1" si="283"/>
        <v>0</v>
      </c>
      <c r="GI101">
        <f t="shared" ca="1" si="284"/>
        <v>0</v>
      </c>
      <c r="GJ101">
        <f t="shared" ca="1" si="209"/>
        <v>0</v>
      </c>
      <c r="GK101">
        <f t="shared" ca="1" si="285"/>
        <v>0</v>
      </c>
      <c r="GL101">
        <f t="shared" ca="1" si="286"/>
        <v>0</v>
      </c>
      <c r="GM101">
        <f t="shared" ca="1" si="287"/>
        <v>0</v>
      </c>
      <c r="GN101">
        <f t="shared" ca="1" si="288"/>
        <v>69979</v>
      </c>
      <c r="GO101">
        <f t="shared" ca="1" si="289"/>
        <v>3498.9500000000003</v>
      </c>
      <c r="GP101">
        <f t="shared" ca="1" si="290"/>
        <v>3499</v>
      </c>
      <c r="GQ101">
        <f t="shared" ca="1" si="291"/>
        <v>0</v>
      </c>
      <c r="GR101">
        <f t="shared" ca="1" si="292"/>
        <v>0</v>
      </c>
      <c r="GS101">
        <f t="shared" ca="1" si="293"/>
        <v>3499</v>
      </c>
      <c r="GT101">
        <f t="shared" ca="1" si="294"/>
        <v>0</v>
      </c>
      <c r="GU101" t="b">
        <f t="shared" ca="1" si="295"/>
        <v>0</v>
      </c>
      <c r="GV101">
        <f t="shared" ca="1" si="296"/>
        <v>0</v>
      </c>
      <c r="GW101">
        <f t="shared" ca="1" si="297"/>
        <v>3499</v>
      </c>
      <c r="GX101">
        <f t="shared" ca="1" si="298"/>
        <v>0</v>
      </c>
      <c r="GY101">
        <f t="shared" ca="1" si="299"/>
        <v>0</v>
      </c>
      <c r="GZ101">
        <f t="shared" ca="1" si="300"/>
        <v>0</v>
      </c>
    </row>
    <row r="102" spans="1:208" x14ac:dyDescent="0.3">
      <c r="A102">
        <f>_xlfn.AGGREGATE(3,5,$B$2:B102)</f>
        <v>101</v>
      </c>
      <c r="B102" t="s">
        <v>318</v>
      </c>
      <c r="C102" t="s">
        <v>319</v>
      </c>
      <c r="D102" t="s">
        <v>776</v>
      </c>
      <c r="E102" t="s">
        <v>830</v>
      </c>
      <c r="F102" t="s">
        <v>956</v>
      </c>
      <c r="G102" t="s">
        <v>898</v>
      </c>
      <c r="H102">
        <f t="shared" si="302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1"/>
        <v>6818.0000000000009</v>
      </c>
      <c r="L102">
        <f t="shared" si="212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194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01"/>
        <v>200</v>
      </c>
      <c r="S102">
        <f t="shared" si="213"/>
        <v>57002</v>
      </c>
      <c r="T102">
        <f>_xlfn.XLOOKUP(B102,'[2]april-2025'!$A:$A,'[2]april-2025'!$C:$C,0,0)</f>
        <v>48700</v>
      </c>
      <c r="U102">
        <f t="shared" si="214"/>
        <v>8766</v>
      </c>
      <c r="V102">
        <f t="shared" si="215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16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17"/>
        <v>200</v>
      </c>
      <c r="AC102">
        <f t="shared" si="218"/>
        <v>58950</v>
      </c>
      <c r="AD102">
        <f>_xlfn.XLOOKUP(B102,'[3]may-2025'!$A:$A,'[3]may-2025'!$C:$C,0,0)</f>
        <v>48700</v>
      </c>
      <c r="AE102">
        <f t="shared" si="219"/>
        <v>8766</v>
      </c>
      <c r="AF102">
        <f t="shared" si="220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1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2"/>
        <v>200</v>
      </c>
      <c r="AM102">
        <f t="shared" si="223"/>
        <v>58950</v>
      </c>
      <c r="AN102">
        <f>_xlfn.XLOOKUP(B102,'[4]june-2025'!$A:$A,'[4]june-2025'!$C:$C,0,0)</f>
        <v>48700</v>
      </c>
      <c r="AO102">
        <f t="shared" si="224"/>
        <v>8766</v>
      </c>
      <c r="AP102">
        <f t="shared" si="225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26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27"/>
        <v>200</v>
      </c>
      <c r="AW102">
        <f t="shared" si="228"/>
        <v>58950</v>
      </c>
      <c r="AX102">
        <f>_xlfn.XLOOKUP(B102,'[5]july-2025'!$A:$A,'[5]july-2025'!$C:$C,0,0)</f>
        <v>51700</v>
      </c>
      <c r="AY102">
        <f t="shared" si="229"/>
        <v>9306</v>
      </c>
      <c r="AZ102">
        <v>0</v>
      </c>
      <c r="BA102">
        <f t="shared" si="230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195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1"/>
        <v>200</v>
      </c>
      <c r="BH102">
        <f t="shared" si="232"/>
        <v>62850</v>
      </c>
      <c r="BI102">
        <f>_xlfn.XLOOKUP(B102,'[6]august-2025'!$A:$A,'[6]august-2025'!$C:$C,0,0)</f>
        <v>51700</v>
      </c>
      <c r="BJ102">
        <f t="shared" si="233"/>
        <v>9306</v>
      </c>
      <c r="BK102">
        <f t="shared" si="234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35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196"/>
        <v>200</v>
      </c>
      <c r="BR102">
        <f t="shared" si="197"/>
        <v>62850</v>
      </c>
      <c r="BS102">
        <f>_xlfn.XLOOKUP(B102,'[7]september-2025'!$A:$A,'[7]september-2025'!$C:$C,0,0)</f>
        <v>51700</v>
      </c>
      <c r="BT102">
        <f t="shared" si="236"/>
        <v>9306</v>
      </c>
      <c r="BU102">
        <f t="shared" si="237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198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38"/>
        <v>200</v>
      </c>
      <c r="CB102">
        <f t="shared" si="239"/>
        <v>62850</v>
      </c>
      <c r="CC102">
        <f>_xlfn.XLOOKUP(B102,'[8]october-2025'!$A:$A,'[8]october-2025'!$C:$C,0,0)</f>
        <v>51700</v>
      </c>
      <c r="CD102">
        <f t="shared" si="240"/>
        <v>9306</v>
      </c>
      <c r="CE102">
        <f t="shared" si="241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199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42"/>
        <v>200</v>
      </c>
      <c r="CL102">
        <f t="shared" si="243"/>
        <v>62850</v>
      </c>
      <c r="CM102">
        <f>_xlfn.XLOOKUP(B102,'[9]november-2025'!$A:$A,'[9]november-2025'!$C:$C,0,0)</f>
        <v>51700</v>
      </c>
      <c r="CN102">
        <f t="shared" si="244"/>
        <v>9306</v>
      </c>
      <c r="CO102">
        <f t="shared" si="24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00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46"/>
        <v>200</v>
      </c>
      <c r="CV102">
        <f t="shared" si="247"/>
        <v>62850</v>
      </c>
      <c r="CW102">
        <f>_xlfn.XLOOKUP(B102,'[10]december-2025'!$A:$A,'[10]december-2025'!$C:$C,0,0)</f>
        <v>51700</v>
      </c>
      <c r="CX102">
        <f t="shared" si="248"/>
        <v>9306</v>
      </c>
      <c r="CY102">
        <f t="shared" si="249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0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50"/>
        <v>200</v>
      </c>
      <c r="DF102">
        <f t="shared" si="251"/>
        <v>62850</v>
      </c>
      <c r="DG102">
        <f>_xlfn.XLOOKUP(B102,'[11]january-2026'!$A:$A,'[11]january-2026'!$C:$C,0,0)</f>
        <v>51700</v>
      </c>
      <c r="DH102">
        <f t="shared" si="252"/>
        <v>9306</v>
      </c>
      <c r="DI102">
        <f t="shared" si="253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02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54"/>
        <v>200</v>
      </c>
      <c r="DP102">
        <f t="shared" si="255"/>
        <v>62850</v>
      </c>
      <c r="DQ102">
        <f>_xlfn.XLOOKUP(B102,'[12]february-2026'!$A:$A,'[12]february-2026'!$C:$C,0,0)</f>
        <v>51700</v>
      </c>
      <c r="DR102">
        <f t="shared" si="256"/>
        <v>9306</v>
      </c>
      <c r="DS102">
        <f t="shared" si="257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03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58"/>
        <v>200</v>
      </c>
      <c r="DZ102">
        <f t="shared" si="259"/>
        <v>62850</v>
      </c>
      <c r="EA102">
        <f>_xlfn.XLOOKUP(B102,'[1]march-2025'!$A:$A,'[1]march-2025'!$J:$J,0,0)</f>
        <v>0</v>
      </c>
      <c r="EB102">
        <f>_xlfn.XLOOKUP(B102,'[2]april-2025'!$A:$A,'[2]april-2025'!$J:$J,0,0)</f>
        <v>0</v>
      </c>
      <c r="EC102">
        <f>_xlfn.XLOOKUP(B102,'[3]may-2025'!$A:$A,'[3]may-2025'!$J:$J,0,0)</f>
        <v>0</v>
      </c>
      <c r="ED102">
        <f>_xlfn.XLOOKUP(B102,'[4]june-2025'!$A:$A,'[4]june-2025'!$J:$J,0,0)</f>
        <v>0</v>
      </c>
      <c r="EE102">
        <f>_xlfn.XLOOKUP(B102,'[5]july-2025'!$A:$A,'[5]july-2025'!$J:$J,0,0)</f>
        <v>0</v>
      </c>
      <c r="EF102">
        <f>_xlfn.XLOOKUP(B102,'[6]august-2025'!$A:$A,'[6]august-2025'!$J:$J,0,0)</f>
        <v>0</v>
      </c>
      <c r="EG102">
        <f>_xlfn.XLOOKUP(B102,'[7]september-2025'!$A:$A,'[7]september-2025'!$J:$J,0,0)</f>
        <v>0</v>
      </c>
      <c r="EH102">
        <f>_xlfn.XLOOKUP(B102,'[8]october-2025'!$A:$A,'[8]october-2025'!$J:$J,0,0)</f>
        <v>0</v>
      </c>
      <c r="EI102">
        <f>_xlfn.XLOOKUP(C102,'[9]november-2025'!$A:$A,'[9]november-2025'!$J:$J,0,0)</f>
        <v>0</v>
      </c>
      <c r="EJ102">
        <f>_xlfn.XLOOKUP(B102,'[10]december-2025'!$A:$A,'[10]december-2025'!$J:$J,0,0)</f>
        <v>0</v>
      </c>
      <c r="EK102">
        <f>_xlfn.XLOOKUP(B102,'[11]january-2026'!$A:$A,'[11]january-2026'!$J:$J,0,0)</f>
        <v>0</v>
      </c>
      <c r="EL102">
        <f>_xlfn.XLOOKUP(B102,'[12]february-2026'!$A:$A,'[12]february-2026'!$J:$J,0,0)</f>
        <v>0</v>
      </c>
      <c r="EM102">
        <f t="shared" si="260"/>
        <v>0</v>
      </c>
      <c r="EN102">
        <f t="shared" si="204"/>
        <v>806572</v>
      </c>
      <c r="EO102">
        <f t="shared" si="205"/>
        <v>2400</v>
      </c>
      <c r="EP102">
        <f t="shared" si="261"/>
        <v>50000</v>
      </c>
      <c r="EQ102">
        <v>0</v>
      </c>
      <c r="ER102">
        <f t="shared" si="262"/>
        <v>754172</v>
      </c>
      <c r="ES102">
        <f t="shared" si="206"/>
        <v>60000</v>
      </c>
      <c r="ET102">
        <f t="shared" si="207"/>
        <v>720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263"/>
        <v>60720</v>
      </c>
      <c r="FF102">
        <f t="shared" si="264"/>
        <v>60720</v>
      </c>
      <c r="FG102">
        <f t="shared" si="265"/>
        <v>693452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208"/>
        <v>0</v>
      </c>
      <c r="FP102">
        <f t="shared" si="266"/>
        <v>693452</v>
      </c>
      <c r="FQ102">
        <f t="shared" si="267"/>
        <v>12500</v>
      </c>
      <c r="FR102">
        <f t="shared" si="268"/>
        <v>38690</v>
      </c>
      <c r="FS102">
        <f t="shared" si="269"/>
        <v>51190</v>
      </c>
      <c r="FT102">
        <f t="shared" si="270"/>
        <v>51190</v>
      </c>
      <c r="FU102">
        <f t="shared" si="271"/>
        <v>2047.6000000000001</v>
      </c>
      <c r="FV102">
        <f t="shared" si="272"/>
        <v>53238</v>
      </c>
      <c r="FW102">
        <v>0</v>
      </c>
      <c r="FX102">
        <f t="shared" si="273"/>
        <v>53238</v>
      </c>
      <c r="FY102" t="b">
        <f t="shared" si="274"/>
        <v>1</v>
      </c>
      <c r="FZ102">
        <f t="shared" ca="1" si="275"/>
        <v>933</v>
      </c>
      <c r="GA102">
        <f t="shared" ca="1" si="276"/>
        <v>807505</v>
      </c>
      <c r="GB102">
        <f t="shared" si="277"/>
        <v>75000</v>
      </c>
      <c r="GC102">
        <f t="shared" ca="1" si="278"/>
        <v>732505</v>
      </c>
      <c r="GD102">
        <f t="shared" ca="1" si="279"/>
        <v>0</v>
      </c>
      <c r="GE102">
        <f t="shared" ca="1" si="280"/>
        <v>0</v>
      </c>
      <c r="GF102">
        <f t="shared" ca="1" si="281"/>
        <v>0</v>
      </c>
      <c r="GG102">
        <f t="shared" ca="1" si="282"/>
        <v>0</v>
      </c>
      <c r="GH102">
        <f t="shared" ca="1" si="283"/>
        <v>0</v>
      </c>
      <c r="GI102">
        <f t="shared" ca="1" si="284"/>
        <v>0</v>
      </c>
      <c r="GJ102">
        <f t="shared" ca="1" si="209"/>
        <v>0</v>
      </c>
      <c r="GK102">
        <f t="shared" ca="1" si="285"/>
        <v>0</v>
      </c>
      <c r="GL102">
        <f t="shared" ca="1" si="286"/>
        <v>0</v>
      </c>
      <c r="GM102">
        <f t="shared" ca="1" si="287"/>
        <v>0</v>
      </c>
      <c r="GN102">
        <f t="shared" ca="1" si="288"/>
        <v>332505</v>
      </c>
      <c r="GO102">
        <f t="shared" ca="1" si="289"/>
        <v>16625.25</v>
      </c>
      <c r="GP102">
        <f t="shared" ca="1" si="290"/>
        <v>16625</v>
      </c>
      <c r="GQ102">
        <f t="shared" ca="1" si="291"/>
        <v>0</v>
      </c>
      <c r="GR102">
        <f t="shared" ca="1" si="292"/>
        <v>0</v>
      </c>
      <c r="GS102">
        <f t="shared" ca="1" si="293"/>
        <v>16625</v>
      </c>
      <c r="GT102">
        <f t="shared" ca="1" si="294"/>
        <v>0</v>
      </c>
      <c r="GU102" t="b">
        <f t="shared" ca="1" si="295"/>
        <v>0</v>
      </c>
      <c r="GV102">
        <f t="shared" ca="1" si="296"/>
        <v>0</v>
      </c>
      <c r="GW102">
        <f t="shared" ca="1" si="297"/>
        <v>16625</v>
      </c>
      <c r="GX102">
        <f t="shared" ca="1" si="298"/>
        <v>0</v>
      </c>
      <c r="GY102">
        <f t="shared" ca="1" si="299"/>
        <v>0</v>
      </c>
      <c r="GZ102">
        <f t="shared" ca="1" si="300"/>
        <v>0</v>
      </c>
    </row>
    <row r="103" spans="1:208" x14ac:dyDescent="0.3">
      <c r="A103">
        <f>_xlfn.AGGREGATE(3,5,$B$2:B103)</f>
        <v>102</v>
      </c>
      <c r="B103" t="s">
        <v>320</v>
      </c>
      <c r="C103" t="s">
        <v>321</v>
      </c>
      <c r="D103" t="s">
        <v>776</v>
      </c>
      <c r="E103" t="s">
        <v>830</v>
      </c>
      <c r="F103" t="s">
        <v>956</v>
      </c>
      <c r="G103" t="s">
        <v>878</v>
      </c>
      <c r="H103">
        <f t="shared" si="302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1"/>
        <v>4424</v>
      </c>
      <c r="L103">
        <f t="shared" si="212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194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01"/>
        <v>200</v>
      </c>
      <c r="S103">
        <f t="shared" si="213"/>
        <v>38116</v>
      </c>
      <c r="T103">
        <f>_xlfn.XLOOKUP(B103,'[2]april-2025'!$A:$A,'[2]april-2025'!$C:$C,0,0)</f>
        <v>31600</v>
      </c>
      <c r="U103">
        <f t="shared" si="214"/>
        <v>5688</v>
      </c>
      <c r="V103">
        <f t="shared" si="215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16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17"/>
        <v>200</v>
      </c>
      <c r="AC103">
        <f t="shared" si="218"/>
        <v>39380</v>
      </c>
      <c r="AD103">
        <f>_xlfn.XLOOKUP(B103,'[3]may-2025'!$A:$A,'[3]may-2025'!$C:$C,0,0)</f>
        <v>31600</v>
      </c>
      <c r="AE103">
        <f t="shared" si="219"/>
        <v>5688</v>
      </c>
      <c r="AF103">
        <f t="shared" si="220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1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2"/>
        <v>200</v>
      </c>
      <c r="AM103">
        <f t="shared" si="223"/>
        <v>39380</v>
      </c>
      <c r="AN103">
        <f>_xlfn.XLOOKUP(B103,'[4]june-2025'!$A:$A,'[4]june-2025'!$C:$C,0,0)</f>
        <v>31600</v>
      </c>
      <c r="AO103">
        <f t="shared" si="224"/>
        <v>5688</v>
      </c>
      <c r="AP103">
        <f t="shared" si="225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26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27"/>
        <v>200</v>
      </c>
      <c r="AW103">
        <f t="shared" si="228"/>
        <v>39380</v>
      </c>
      <c r="AX103">
        <f>_xlfn.XLOOKUP(B103,'[5]july-2025'!$A:$A,'[5]july-2025'!$C:$C,0,0)</f>
        <v>32500</v>
      </c>
      <c r="AY103">
        <f t="shared" si="229"/>
        <v>5850</v>
      </c>
      <c r="AZ103">
        <v>0</v>
      </c>
      <c r="BA103">
        <f t="shared" si="230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195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1"/>
        <v>200</v>
      </c>
      <c r="BH103">
        <f t="shared" si="232"/>
        <v>40550</v>
      </c>
      <c r="BI103">
        <f>_xlfn.XLOOKUP(B103,'[6]august-2025'!$A:$A,'[6]august-2025'!$C:$C,0,0)</f>
        <v>32500</v>
      </c>
      <c r="BJ103">
        <f t="shared" si="233"/>
        <v>5850</v>
      </c>
      <c r="BK103">
        <f t="shared" si="234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35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196"/>
        <v>200</v>
      </c>
      <c r="BR103">
        <f t="shared" si="197"/>
        <v>40550</v>
      </c>
      <c r="BS103">
        <f>_xlfn.XLOOKUP(B103,'[7]september-2025'!$A:$A,'[7]september-2025'!$C:$C,0,0)</f>
        <v>32500</v>
      </c>
      <c r="BT103">
        <f t="shared" si="236"/>
        <v>5850</v>
      </c>
      <c r="BU103">
        <f t="shared" si="237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198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38"/>
        <v>200</v>
      </c>
      <c r="CB103">
        <f t="shared" si="239"/>
        <v>40550</v>
      </c>
      <c r="CC103">
        <f>_xlfn.XLOOKUP(B103,'[8]october-2025'!$A:$A,'[8]october-2025'!$C:$C,0,0)</f>
        <v>32500</v>
      </c>
      <c r="CD103">
        <f t="shared" si="240"/>
        <v>5850</v>
      </c>
      <c r="CE103">
        <f t="shared" si="241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199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42"/>
        <v>200</v>
      </c>
      <c r="CL103">
        <f t="shared" si="243"/>
        <v>40550</v>
      </c>
      <c r="CM103">
        <f>_xlfn.XLOOKUP(B103,'[9]november-2025'!$A:$A,'[9]november-2025'!$C:$C,0,0)</f>
        <v>32500</v>
      </c>
      <c r="CN103">
        <f t="shared" si="244"/>
        <v>5850</v>
      </c>
      <c r="CO103">
        <f t="shared" si="24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00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46"/>
        <v>200</v>
      </c>
      <c r="CV103">
        <f t="shared" si="247"/>
        <v>40550</v>
      </c>
      <c r="CW103">
        <f>_xlfn.XLOOKUP(B103,'[10]december-2025'!$A:$A,'[10]december-2025'!$C:$C,0,0)</f>
        <v>32500</v>
      </c>
      <c r="CX103">
        <f t="shared" si="248"/>
        <v>5850</v>
      </c>
      <c r="CY103">
        <f t="shared" si="249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0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50"/>
        <v>200</v>
      </c>
      <c r="DF103">
        <f t="shared" si="251"/>
        <v>40550</v>
      </c>
      <c r="DG103">
        <f>_xlfn.XLOOKUP(B103,'[11]january-2026'!$A:$A,'[11]january-2026'!$C:$C,0,0)</f>
        <v>32500</v>
      </c>
      <c r="DH103">
        <f t="shared" si="252"/>
        <v>5850</v>
      </c>
      <c r="DI103">
        <f t="shared" si="253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02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54"/>
        <v>200</v>
      </c>
      <c r="DP103">
        <f t="shared" si="255"/>
        <v>40550</v>
      </c>
      <c r="DQ103">
        <f>_xlfn.XLOOKUP(B103,'[12]february-2026'!$A:$A,'[12]february-2026'!$C:$C,0,0)</f>
        <v>32500</v>
      </c>
      <c r="DR103">
        <f t="shared" si="256"/>
        <v>5850</v>
      </c>
      <c r="DS103">
        <f t="shared" si="257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03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58"/>
        <v>200</v>
      </c>
      <c r="DZ103">
        <f t="shared" si="259"/>
        <v>40550</v>
      </c>
      <c r="EA103">
        <f>_xlfn.XLOOKUP(B103,'[1]march-2025'!$A:$A,'[1]march-2025'!$J:$J,0,0)</f>
        <v>0</v>
      </c>
      <c r="EB103">
        <f>_xlfn.XLOOKUP(B103,'[2]april-2025'!$A:$A,'[2]april-2025'!$J:$J,0,0)</f>
        <v>0</v>
      </c>
      <c r="EC103">
        <f>_xlfn.XLOOKUP(B103,'[3]may-2025'!$A:$A,'[3]may-2025'!$J:$J,0,0)</f>
        <v>0</v>
      </c>
      <c r="ED103">
        <f>_xlfn.XLOOKUP(B103,'[4]june-2025'!$A:$A,'[4]june-2025'!$J:$J,0,0)</f>
        <v>0</v>
      </c>
      <c r="EE103">
        <f>_xlfn.XLOOKUP(B103,'[5]july-2025'!$A:$A,'[5]july-2025'!$J:$J,0,0)</f>
        <v>0</v>
      </c>
      <c r="EF103">
        <f>_xlfn.XLOOKUP(B103,'[6]august-2025'!$A:$A,'[6]august-2025'!$J:$J,0,0)</f>
        <v>0</v>
      </c>
      <c r="EG103">
        <f>_xlfn.XLOOKUP(B103,'[7]september-2025'!$A:$A,'[7]september-2025'!$J:$J,0,0)</f>
        <v>0</v>
      </c>
      <c r="EH103">
        <f>_xlfn.XLOOKUP(B103,'[8]october-2025'!$A:$A,'[8]october-2025'!$J:$J,0,0)</f>
        <v>0</v>
      </c>
      <c r="EI103">
        <f>_xlfn.XLOOKUP(C103,'[9]november-2025'!$A:$A,'[9]november-2025'!$J:$J,0,0)</f>
        <v>0</v>
      </c>
      <c r="EJ103">
        <f>_xlfn.XLOOKUP(B103,'[10]december-2025'!$A:$A,'[10]december-2025'!$J:$J,0,0)</f>
        <v>0</v>
      </c>
      <c r="EK103">
        <f>_xlfn.XLOOKUP(B103,'[11]january-2026'!$A:$A,'[11]january-2026'!$J:$J,0,0)</f>
        <v>0</v>
      </c>
      <c r="EL103">
        <f>_xlfn.XLOOKUP(B103,'[12]february-2026'!$A:$A,'[12]february-2026'!$J:$J,0,0)</f>
        <v>0</v>
      </c>
      <c r="EM103">
        <f t="shared" si="260"/>
        <v>0</v>
      </c>
      <c r="EN103">
        <f t="shared" si="204"/>
        <v>513856</v>
      </c>
      <c r="EO103">
        <f t="shared" si="205"/>
        <v>2400</v>
      </c>
      <c r="EP103">
        <f t="shared" si="261"/>
        <v>50000</v>
      </c>
      <c r="EQ103">
        <v>0</v>
      </c>
      <c r="ER103">
        <f t="shared" si="262"/>
        <v>461456</v>
      </c>
      <c r="ES103">
        <f t="shared" si="206"/>
        <v>24000</v>
      </c>
      <c r="ET103">
        <f t="shared" si="207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263"/>
        <v>24000</v>
      </c>
      <c r="FF103">
        <f t="shared" si="264"/>
        <v>24000</v>
      </c>
      <c r="FG103">
        <f t="shared" si="265"/>
        <v>437456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208"/>
        <v>0</v>
      </c>
      <c r="FP103">
        <f t="shared" si="266"/>
        <v>437456</v>
      </c>
      <c r="FQ103">
        <f t="shared" si="267"/>
        <v>9373</v>
      </c>
      <c r="FR103">
        <f t="shared" si="268"/>
        <v>0</v>
      </c>
      <c r="FS103">
        <f t="shared" si="269"/>
        <v>9373</v>
      </c>
      <c r="FT103">
        <f t="shared" si="270"/>
        <v>0</v>
      </c>
      <c r="FU103">
        <f t="shared" si="271"/>
        <v>0</v>
      </c>
      <c r="FV103">
        <f t="shared" si="272"/>
        <v>0</v>
      </c>
      <c r="FW103">
        <v>0</v>
      </c>
      <c r="FX103">
        <f t="shared" si="273"/>
        <v>0</v>
      </c>
      <c r="FY103" t="b">
        <f t="shared" si="274"/>
        <v>1</v>
      </c>
      <c r="FZ103">
        <f t="shared" ca="1" si="275"/>
        <v>775</v>
      </c>
      <c r="GA103">
        <f t="shared" ca="1" si="276"/>
        <v>514631</v>
      </c>
      <c r="GB103">
        <f t="shared" si="277"/>
        <v>75000</v>
      </c>
      <c r="GC103">
        <f t="shared" ca="1" si="278"/>
        <v>439631</v>
      </c>
      <c r="GD103">
        <f t="shared" ca="1" si="279"/>
        <v>0</v>
      </c>
      <c r="GE103">
        <f t="shared" ca="1" si="280"/>
        <v>0</v>
      </c>
      <c r="GF103">
        <f t="shared" ca="1" si="281"/>
        <v>0</v>
      </c>
      <c r="GG103">
        <f t="shared" ca="1" si="282"/>
        <v>0</v>
      </c>
      <c r="GH103">
        <f t="shared" ca="1" si="283"/>
        <v>0</v>
      </c>
      <c r="GI103">
        <f t="shared" ca="1" si="284"/>
        <v>0</v>
      </c>
      <c r="GJ103">
        <f t="shared" ca="1" si="209"/>
        <v>0</v>
      </c>
      <c r="GK103">
        <f t="shared" ca="1" si="285"/>
        <v>0</v>
      </c>
      <c r="GL103">
        <f t="shared" ca="1" si="286"/>
        <v>0</v>
      </c>
      <c r="GM103">
        <f t="shared" ca="1" si="287"/>
        <v>0</v>
      </c>
      <c r="GN103">
        <f t="shared" ca="1" si="288"/>
        <v>39631</v>
      </c>
      <c r="GO103">
        <f t="shared" ca="1" si="289"/>
        <v>1981.5500000000002</v>
      </c>
      <c r="GP103">
        <f t="shared" ca="1" si="290"/>
        <v>1982</v>
      </c>
      <c r="GQ103">
        <f t="shared" ca="1" si="291"/>
        <v>0</v>
      </c>
      <c r="GR103">
        <f t="shared" ca="1" si="292"/>
        <v>0</v>
      </c>
      <c r="GS103">
        <f t="shared" ca="1" si="293"/>
        <v>1982</v>
      </c>
      <c r="GT103">
        <f t="shared" ca="1" si="294"/>
        <v>0</v>
      </c>
      <c r="GU103" t="b">
        <f t="shared" ca="1" si="295"/>
        <v>0</v>
      </c>
      <c r="GV103">
        <f t="shared" ca="1" si="296"/>
        <v>0</v>
      </c>
      <c r="GW103">
        <f t="shared" ca="1" si="297"/>
        <v>1982</v>
      </c>
      <c r="GX103">
        <f t="shared" ca="1" si="298"/>
        <v>0</v>
      </c>
      <c r="GY103">
        <f t="shared" ca="1" si="299"/>
        <v>0</v>
      </c>
      <c r="GZ103">
        <f t="shared" ca="1" si="300"/>
        <v>0</v>
      </c>
    </row>
    <row r="104" spans="1:208" x14ac:dyDescent="0.3">
      <c r="A104">
        <f>_xlfn.AGGREGATE(3,5,$B$2:B104)</f>
        <v>103</v>
      </c>
      <c r="B104" t="s">
        <v>322</v>
      </c>
      <c r="C104" t="s">
        <v>323</v>
      </c>
      <c r="D104" t="s">
        <v>776</v>
      </c>
      <c r="E104" t="s">
        <v>830</v>
      </c>
      <c r="F104" t="s">
        <v>956</v>
      </c>
      <c r="G104" t="s">
        <v>918</v>
      </c>
      <c r="H104">
        <f t="shared" si="302"/>
        <v>6800</v>
      </c>
      <c r="I104">
        <f>_xlfn.XLOOKUP(B104,'[1]march-2025'!$A:$A,'[1]march-2025'!$J:$J,0,0)</f>
        <v>22822</v>
      </c>
      <c r="J104">
        <f>_xlfn.XLOOKUP(B104,'[1]march-2025'!$A:$A,'[1]march-2025'!$C:$C,0,0)</f>
        <v>25400</v>
      </c>
      <c r="K104">
        <f t="shared" si="211"/>
        <v>3556.0000000000005</v>
      </c>
      <c r="L104">
        <f t="shared" si="212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194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01"/>
        <v>150</v>
      </c>
      <c r="S104">
        <f t="shared" si="213"/>
        <v>30354</v>
      </c>
      <c r="T104">
        <f>_xlfn.XLOOKUP(B104,'[2]april-2025'!$A:$A,'[2]april-2025'!$C:$C,0,0)</f>
        <v>25400</v>
      </c>
      <c r="U104">
        <f t="shared" si="214"/>
        <v>4572</v>
      </c>
      <c r="V104">
        <f t="shared" si="215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16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17"/>
        <v>150</v>
      </c>
      <c r="AC104">
        <f t="shared" si="218"/>
        <v>31370</v>
      </c>
      <c r="AD104">
        <f>_xlfn.XLOOKUP(B104,'[3]may-2025'!$A:$A,'[3]may-2025'!$C:$C,0,0)</f>
        <v>25400</v>
      </c>
      <c r="AE104">
        <f t="shared" si="219"/>
        <v>4572</v>
      </c>
      <c r="AF104">
        <f t="shared" si="220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1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2"/>
        <v>150</v>
      </c>
      <c r="AM104">
        <f t="shared" si="223"/>
        <v>31370</v>
      </c>
      <c r="AN104">
        <f>_xlfn.XLOOKUP(B104,'[4]june-2025'!$A:$A,'[4]june-2025'!$C:$C,0,0)</f>
        <v>25400</v>
      </c>
      <c r="AO104">
        <f t="shared" si="224"/>
        <v>4572</v>
      </c>
      <c r="AP104">
        <f t="shared" si="225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26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27"/>
        <v>150</v>
      </c>
      <c r="AW104">
        <f t="shared" si="228"/>
        <v>31370</v>
      </c>
      <c r="AX104">
        <f>_xlfn.XLOOKUP(B104,'[5]july-2025'!$A:$A,'[5]july-2025'!$C:$C,0,0)</f>
        <v>26200</v>
      </c>
      <c r="AY104">
        <f t="shared" si="229"/>
        <v>4716</v>
      </c>
      <c r="AZ104">
        <v>0</v>
      </c>
      <c r="BA104">
        <f t="shared" si="230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195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1"/>
        <v>150</v>
      </c>
      <c r="BH104">
        <f t="shared" si="232"/>
        <v>32410</v>
      </c>
      <c r="BI104">
        <f>_xlfn.XLOOKUP(B104,'[6]august-2025'!$A:$A,'[6]august-2025'!$C:$C,0,0)</f>
        <v>26200</v>
      </c>
      <c r="BJ104">
        <f t="shared" si="233"/>
        <v>4716</v>
      </c>
      <c r="BK104">
        <f t="shared" si="234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35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196"/>
        <v>150</v>
      </c>
      <c r="BR104">
        <f t="shared" si="197"/>
        <v>32410</v>
      </c>
      <c r="BS104">
        <f>_xlfn.XLOOKUP(B104,'[7]september-2025'!$A:$A,'[7]september-2025'!$C:$C,0,0)</f>
        <v>26200</v>
      </c>
      <c r="BT104">
        <f t="shared" si="236"/>
        <v>4716</v>
      </c>
      <c r="BU104">
        <f t="shared" si="237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198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38"/>
        <v>150</v>
      </c>
      <c r="CB104">
        <f t="shared" si="239"/>
        <v>32410</v>
      </c>
      <c r="CC104">
        <f>_xlfn.XLOOKUP(B104,'[8]october-2025'!$A:$A,'[8]october-2025'!$C:$C,0,0)</f>
        <v>26200</v>
      </c>
      <c r="CD104">
        <f t="shared" si="240"/>
        <v>4716</v>
      </c>
      <c r="CE104">
        <f t="shared" si="241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199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42"/>
        <v>150</v>
      </c>
      <c r="CL104">
        <f t="shared" si="243"/>
        <v>32410</v>
      </c>
      <c r="CM104">
        <f>_xlfn.XLOOKUP(B104,'[9]november-2025'!$A:$A,'[9]november-2025'!$C:$C,0,0)</f>
        <v>26200</v>
      </c>
      <c r="CN104">
        <f t="shared" si="244"/>
        <v>4716</v>
      </c>
      <c r="CO104">
        <f t="shared" si="24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00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46"/>
        <v>150</v>
      </c>
      <c r="CV104">
        <f t="shared" si="247"/>
        <v>32410</v>
      </c>
      <c r="CW104">
        <f>_xlfn.XLOOKUP(B104,'[10]december-2025'!$A:$A,'[10]december-2025'!$C:$C,0,0)</f>
        <v>26200</v>
      </c>
      <c r="CX104">
        <f t="shared" si="248"/>
        <v>4716</v>
      </c>
      <c r="CY104">
        <f t="shared" si="249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0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50"/>
        <v>150</v>
      </c>
      <c r="DF104">
        <f t="shared" si="251"/>
        <v>32410</v>
      </c>
      <c r="DG104">
        <f>_xlfn.XLOOKUP(B104,'[11]january-2026'!$A:$A,'[11]january-2026'!$C:$C,0,0)</f>
        <v>26200</v>
      </c>
      <c r="DH104">
        <f t="shared" si="252"/>
        <v>4716</v>
      </c>
      <c r="DI104">
        <f t="shared" si="253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02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54"/>
        <v>150</v>
      </c>
      <c r="DP104">
        <f t="shared" si="255"/>
        <v>32410</v>
      </c>
      <c r="DQ104">
        <f>_xlfn.XLOOKUP(B104,'[12]february-2026'!$A:$A,'[12]february-2026'!$C:$C,0,0)</f>
        <v>26200</v>
      </c>
      <c r="DR104">
        <f t="shared" si="256"/>
        <v>4716</v>
      </c>
      <c r="DS104">
        <f t="shared" si="257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03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58"/>
        <v>150</v>
      </c>
      <c r="DZ104">
        <f t="shared" si="259"/>
        <v>32410</v>
      </c>
      <c r="EA104">
        <f>_xlfn.XLOOKUP(B104,'[1]march-2025'!$A:$A,'[1]march-2025'!$J:$J,0,0)</f>
        <v>22822</v>
      </c>
      <c r="EB104">
        <f>_xlfn.XLOOKUP(B104,'[2]april-2025'!$A:$A,'[2]april-2025'!$J:$J,0,0)</f>
        <v>0</v>
      </c>
      <c r="EC104">
        <f>_xlfn.XLOOKUP(B104,'[3]may-2025'!$A:$A,'[3]may-2025'!$J:$J,0,0)</f>
        <v>0</v>
      </c>
      <c r="ED104">
        <f>_xlfn.XLOOKUP(B104,'[4]june-2025'!$A:$A,'[4]june-2025'!$J:$J,0,0)</f>
        <v>0</v>
      </c>
      <c r="EE104">
        <f>_xlfn.XLOOKUP(B104,'[5]july-2025'!$A:$A,'[5]july-2025'!$J:$J,0,0)</f>
        <v>0</v>
      </c>
      <c r="EF104">
        <f>_xlfn.XLOOKUP(B104,'[6]august-2025'!$A:$A,'[6]august-2025'!$J:$J,0,0)</f>
        <v>0</v>
      </c>
      <c r="EG104">
        <f>_xlfn.XLOOKUP(B104,'[7]september-2025'!$A:$A,'[7]september-2025'!$J:$J,0,0)</f>
        <v>0</v>
      </c>
      <c r="EH104">
        <f>_xlfn.XLOOKUP(B104,'[8]october-2025'!$A:$A,'[8]october-2025'!$J:$J,0,0)</f>
        <v>0</v>
      </c>
      <c r="EI104">
        <f>_xlfn.XLOOKUP(C104,'[9]november-2025'!$A:$A,'[9]november-2025'!$J:$J,0,0)</f>
        <v>0</v>
      </c>
      <c r="EJ104">
        <f>_xlfn.XLOOKUP(B104,'[10]december-2025'!$A:$A,'[10]december-2025'!$J:$J,0,0)</f>
        <v>0</v>
      </c>
      <c r="EK104">
        <f>_xlfn.XLOOKUP(B104,'[11]january-2026'!$A:$A,'[11]january-2026'!$J:$J,0,0)</f>
        <v>0</v>
      </c>
      <c r="EL104">
        <f>_xlfn.XLOOKUP(B104,'[12]february-2026'!$A:$A,'[12]february-2026'!$J:$J,0,0)</f>
        <v>0</v>
      </c>
      <c r="EM104">
        <f t="shared" si="260"/>
        <v>22822</v>
      </c>
      <c r="EN104">
        <f t="shared" si="204"/>
        <v>439166</v>
      </c>
      <c r="EO104">
        <f t="shared" si="205"/>
        <v>1800</v>
      </c>
      <c r="EP104">
        <f t="shared" si="261"/>
        <v>50000</v>
      </c>
      <c r="EQ104">
        <v>0</v>
      </c>
      <c r="ER104">
        <f t="shared" si="262"/>
        <v>410188</v>
      </c>
      <c r="ES104">
        <f t="shared" si="206"/>
        <v>24000</v>
      </c>
      <c r="ET104">
        <f t="shared" si="207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263"/>
        <v>24000</v>
      </c>
      <c r="FF104">
        <f t="shared" si="264"/>
        <v>24000</v>
      </c>
      <c r="FG104">
        <f t="shared" si="265"/>
        <v>386188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208"/>
        <v>0</v>
      </c>
      <c r="FP104">
        <f t="shared" si="266"/>
        <v>386188</v>
      </c>
      <c r="FQ104">
        <f t="shared" si="267"/>
        <v>6809</v>
      </c>
      <c r="FR104">
        <f t="shared" si="268"/>
        <v>0</v>
      </c>
      <c r="FS104">
        <f t="shared" si="269"/>
        <v>6809</v>
      </c>
      <c r="FT104">
        <f t="shared" si="270"/>
        <v>0</v>
      </c>
      <c r="FU104">
        <f t="shared" si="271"/>
        <v>0</v>
      </c>
      <c r="FV104">
        <f t="shared" si="272"/>
        <v>0</v>
      </c>
      <c r="FW104">
        <v>0</v>
      </c>
      <c r="FX104">
        <f t="shared" si="273"/>
        <v>0</v>
      </c>
      <c r="FY104" t="b">
        <f t="shared" si="274"/>
        <v>0</v>
      </c>
      <c r="FZ104">
        <f t="shared" ca="1" si="275"/>
        <v>2194</v>
      </c>
      <c r="GA104">
        <f t="shared" ca="1" si="276"/>
        <v>441360</v>
      </c>
      <c r="GB104">
        <f t="shared" si="277"/>
        <v>75000</v>
      </c>
      <c r="GC104">
        <f t="shared" ca="1" si="278"/>
        <v>366360</v>
      </c>
      <c r="GD104">
        <f t="shared" ca="1" si="279"/>
        <v>0</v>
      </c>
      <c r="GE104">
        <f t="shared" ca="1" si="280"/>
        <v>0</v>
      </c>
      <c r="GF104">
        <f t="shared" ca="1" si="281"/>
        <v>0</v>
      </c>
      <c r="GG104">
        <f t="shared" ca="1" si="282"/>
        <v>0</v>
      </c>
      <c r="GH104">
        <f t="shared" ca="1" si="283"/>
        <v>0</v>
      </c>
      <c r="GI104">
        <f t="shared" ca="1" si="284"/>
        <v>0</v>
      </c>
      <c r="GJ104">
        <f t="shared" ca="1" si="209"/>
        <v>0</v>
      </c>
      <c r="GK104">
        <f t="shared" ca="1" si="285"/>
        <v>0</v>
      </c>
      <c r="GL104">
        <f t="shared" ca="1" si="286"/>
        <v>0</v>
      </c>
      <c r="GM104">
        <f t="shared" ca="1" si="287"/>
        <v>0</v>
      </c>
      <c r="GN104">
        <f t="shared" ca="1" si="288"/>
        <v>0</v>
      </c>
      <c r="GO104">
        <f t="shared" ca="1" si="289"/>
        <v>0</v>
      </c>
      <c r="GP104">
        <f t="shared" ca="1" si="290"/>
        <v>0</v>
      </c>
      <c r="GQ104">
        <f t="shared" ca="1" si="291"/>
        <v>0</v>
      </c>
      <c r="GR104">
        <f t="shared" ca="1" si="292"/>
        <v>0</v>
      </c>
      <c r="GS104">
        <f t="shared" ca="1" si="293"/>
        <v>0</v>
      </c>
      <c r="GT104">
        <f t="shared" ca="1" si="294"/>
        <v>0</v>
      </c>
      <c r="GU104" t="b">
        <f t="shared" ca="1" si="295"/>
        <v>0</v>
      </c>
      <c r="GV104">
        <f t="shared" ca="1" si="296"/>
        <v>0</v>
      </c>
      <c r="GW104">
        <f t="shared" ca="1" si="297"/>
        <v>0</v>
      </c>
      <c r="GX104">
        <f t="shared" ca="1" si="298"/>
        <v>0</v>
      </c>
      <c r="GY104">
        <f t="shared" ca="1" si="299"/>
        <v>0</v>
      </c>
      <c r="GZ104">
        <f t="shared" ca="1" si="300"/>
        <v>0</v>
      </c>
    </row>
    <row r="105" spans="1:208" x14ac:dyDescent="0.3">
      <c r="A105">
        <f>_xlfn.AGGREGATE(3,5,$B$2:B105)</f>
        <v>104</v>
      </c>
      <c r="B105" t="s">
        <v>324</v>
      </c>
      <c r="C105" t="s">
        <v>325</v>
      </c>
      <c r="D105" t="s">
        <v>777</v>
      </c>
      <c r="E105" t="s">
        <v>830</v>
      </c>
      <c r="F105" t="s">
        <v>956</v>
      </c>
      <c r="G105" t="s">
        <v>877</v>
      </c>
      <c r="H105">
        <f t="shared" si="302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1"/>
        <v>4830.0000000000009</v>
      </c>
      <c r="L105">
        <f t="shared" si="212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194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01"/>
        <v>200</v>
      </c>
      <c r="S105">
        <f t="shared" si="213"/>
        <v>40170</v>
      </c>
      <c r="T105">
        <f>_xlfn.XLOOKUP(B105,'[2]april-2025'!$A:$A,'[2]april-2025'!$C:$C,0,0)</f>
        <v>34500</v>
      </c>
      <c r="U105">
        <f t="shared" si="214"/>
        <v>6210</v>
      </c>
      <c r="V105">
        <f t="shared" si="215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16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17"/>
        <v>200</v>
      </c>
      <c r="AC105">
        <f t="shared" si="218"/>
        <v>41550</v>
      </c>
      <c r="AD105">
        <f>_xlfn.XLOOKUP(B105,'[3]may-2025'!$A:$A,'[3]may-2025'!$C:$C,0,0)</f>
        <v>34500</v>
      </c>
      <c r="AE105">
        <f t="shared" si="219"/>
        <v>6210</v>
      </c>
      <c r="AF105">
        <f t="shared" si="220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1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2"/>
        <v>200</v>
      </c>
      <c r="AM105">
        <f t="shared" si="223"/>
        <v>41550</v>
      </c>
      <c r="AN105">
        <f>_xlfn.XLOOKUP(B105,'[4]june-2025'!$A:$A,'[4]june-2025'!$C:$C,0,0)</f>
        <v>34500</v>
      </c>
      <c r="AO105">
        <f t="shared" si="224"/>
        <v>6210</v>
      </c>
      <c r="AP105">
        <f t="shared" si="225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26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27"/>
        <v>200</v>
      </c>
      <c r="AW105">
        <f t="shared" si="228"/>
        <v>41550</v>
      </c>
      <c r="AX105">
        <f>_xlfn.XLOOKUP(B105,'[5]july-2025'!$A:$A,'[5]july-2025'!$C:$C,0,0)</f>
        <v>35500</v>
      </c>
      <c r="AY105">
        <f t="shared" si="229"/>
        <v>6390</v>
      </c>
      <c r="AZ105">
        <v>0</v>
      </c>
      <c r="BA105">
        <f t="shared" si="230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195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1"/>
        <v>200</v>
      </c>
      <c r="BH105">
        <f t="shared" si="232"/>
        <v>42850</v>
      </c>
      <c r="BI105">
        <f>_xlfn.XLOOKUP(B105,'[6]august-2025'!$A:$A,'[6]august-2025'!$C:$C,0,0)</f>
        <v>35500</v>
      </c>
      <c r="BJ105">
        <f t="shared" si="233"/>
        <v>6390</v>
      </c>
      <c r="BK105">
        <f t="shared" si="234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35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196"/>
        <v>200</v>
      </c>
      <c r="BR105">
        <f t="shared" si="197"/>
        <v>42850</v>
      </c>
      <c r="BS105">
        <f>_xlfn.XLOOKUP(B105,'[7]september-2025'!$A:$A,'[7]september-2025'!$C:$C,0,0)</f>
        <v>35500</v>
      </c>
      <c r="BT105">
        <f t="shared" si="236"/>
        <v>6390</v>
      </c>
      <c r="BU105">
        <f t="shared" si="237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198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38"/>
        <v>200</v>
      </c>
      <c r="CB105">
        <f t="shared" si="239"/>
        <v>42850</v>
      </c>
      <c r="CC105">
        <f>_xlfn.XLOOKUP(B105,'[8]october-2025'!$A:$A,'[8]october-2025'!$C:$C,0,0)</f>
        <v>35500</v>
      </c>
      <c r="CD105">
        <f t="shared" si="240"/>
        <v>6390</v>
      </c>
      <c r="CE105">
        <f t="shared" si="241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199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42"/>
        <v>200</v>
      </c>
      <c r="CL105">
        <f t="shared" si="243"/>
        <v>42850</v>
      </c>
      <c r="CM105">
        <f>_xlfn.XLOOKUP(B105,'[9]november-2025'!$A:$A,'[9]november-2025'!$C:$C,0,0)</f>
        <v>35500</v>
      </c>
      <c r="CN105">
        <f t="shared" si="244"/>
        <v>6390</v>
      </c>
      <c r="CO105">
        <f t="shared" si="24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00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46"/>
        <v>200</v>
      </c>
      <c r="CV105">
        <f t="shared" si="247"/>
        <v>42850</v>
      </c>
      <c r="CW105">
        <f>_xlfn.XLOOKUP(B105,'[10]december-2025'!$A:$A,'[10]december-2025'!$C:$C,0,0)</f>
        <v>35500</v>
      </c>
      <c r="CX105">
        <f t="shared" si="248"/>
        <v>6390</v>
      </c>
      <c r="CY105">
        <f t="shared" si="249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0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50"/>
        <v>200</v>
      </c>
      <c r="DF105">
        <f t="shared" si="251"/>
        <v>42850</v>
      </c>
      <c r="DG105">
        <f>_xlfn.XLOOKUP(B105,'[11]january-2026'!$A:$A,'[11]january-2026'!$C:$C,0,0)</f>
        <v>35500</v>
      </c>
      <c r="DH105">
        <f t="shared" si="252"/>
        <v>6390</v>
      </c>
      <c r="DI105">
        <f t="shared" si="253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02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54"/>
        <v>200</v>
      </c>
      <c r="DP105">
        <f t="shared" si="255"/>
        <v>42850</v>
      </c>
      <c r="DQ105">
        <f>_xlfn.XLOOKUP(B105,'[12]february-2026'!$A:$A,'[12]february-2026'!$C:$C,0,0)</f>
        <v>35500</v>
      </c>
      <c r="DR105">
        <f t="shared" si="256"/>
        <v>6390</v>
      </c>
      <c r="DS105">
        <f t="shared" si="257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03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58"/>
        <v>200</v>
      </c>
      <c r="DZ105">
        <f t="shared" si="259"/>
        <v>42850</v>
      </c>
      <c r="EA105">
        <f>_xlfn.XLOOKUP(B105,'[1]march-2025'!$A:$A,'[1]march-2025'!$J:$J,0,0)</f>
        <v>0</v>
      </c>
      <c r="EB105">
        <f>_xlfn.XLOOKUP(B105,'[2]april-2025'!$A:$A,'[2]april-2025'!$J:$J,0,0)</f>
        <v>0</v>
      </c>
      <c r="EC105">
        <f>_xlfn.XLOOKUP(B105,'[3]may-2025'!$A:$A,'[3]may-2025'!$J:$J,0,0)</f>
        <v>0</v>
      </c>
      <c r="ED105">
        <f>_xlfn.XLOOKUP(B105,'[4]june-2025'!$A:$A,'[4]june-2025'!$J:$J,0,0)</f>
        <v>0</v>
      </c>
      <c r="EE105">
        <f>_xlfn.XLOOKUP(B105,'[5]july-2025'!$A:$A,'[5]july-2025'!$J:$J,0,0)</f>
        <v>0</v>
      </c>
      <c r="EF105">
        <f>_xlfn.XLOOKUP(B105,'[6]august-2025'!$A:$A,'[6]august-2025'!$J:$J,0,0)</f>
        <v>0</v>
      </c>
      <c r="EG105">
        <f>_xlfn.XLOOKUP(B105,'[7]september-2025'!$A:$A,'[7]september-2025'!$J:$J,0,0)</f>
        <v>0</v>
      </c>
      <c r="EH105">
        <f>_xlfn.XLOOKUP(B105,'[8]october-2025'!$A:$A,'[8]october-2025'!$J:$J,0,0)</f>
        <v>0</v>
      </c>
      <c r="EI105">
        <f>_xlfn.XLOOKUP(C105,'[9]november-2025'!$A:$A,'[9]november-2025'!$J:$J,0,0)</f>
        <v>0</v>
      </c>
      <c r="EJ105">
        <f>_xlfn.XLOOKUP(B105,'[10]december-2025'!$A:$A,'[10]december-2025'!$J:$J,0,0)</f>
        <v>0</v>
      </c>
      <c r="EK105">
        <f>_xlfn.XLOOKUP(B105,'[11]january-2026'!$A:$A,'[11]january-2026'!$J:$J,0,0)</f>
        <v>0</v>
      </c>
      <c r="EL105">
        <f>_xlfn.XLOOKUP(B105,'[12]february-2026'!$A:$A,'[12]february-2026'!$J:$J,0,0)</f>
        <v>0</v>
      </c>
      <c r="EM105">
        <f t="shared" si="260"/>
        <v>0</v>
      </c>
      <c r="EN105">
        <f t="shared" si="204"/>
        <v>564820</v>
      </c>
      <c r="EO105">
        <f t="shared" si="205"/>
        <v>2400</v>
      </c>
      <c r="EP105">
        <f t="shared" si="261"/>
        <v>50000</v>
      </c>
      <c r="EQ105">
        <v>0</v>
      </c>
      <c r="ER105">
        <f t="shared" si="262"/>
        <v>512420</v>
      </c>
      <c r="ES105">
        <f t="shared" si="206"/>
        <v>48000</v>
      </c>
      <c r="ET105">
        <f t="shared" si="207"/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263"/>
        <v>48000</v>
      </c>
      <c r="FF105">
        <f t="shared" si="264"/>
        <v>48000</v>
      </c>
      <c r="FG105">
        <f t="shared" si="265"/>
        <v>464420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208"/>
        <v>0</v>
      </c>
      <c r="FP105">
        <f t="shared" si="266"/>
        <v>464420</v>
      </c>
      <c r="FQ105">
        <f t="shared" si="267"/>
        <v>10721</v>
      </c>
      <c r="FR105">
        <f t="shared" si="268"/>
        <v>0</v>
      </c>
      <c r="FS105">
        <f t="shared" si="269"/>
        <v>10721</v>
      </c>
      <c r="FT105">
        <f t="shared" si="270"/>
        <v>0</v>
      </c>
      <c r="FU105">
        <f t="shared" si="271"/>
        <v>0</v>
      </c>
      <c r="FV105">
        <f t="shared" si="272"/>
        <v>0</v>
      </c>
      <c r="FW105">
        <v>0</v>
      </c>
      <c r="FX105">
        <f t="shared" si="273"/>
        <v>0</v>
      </c>
      <c r="FY105" t="b">
        <f t="shared" si="274"/>
        <v>1</v>
      </c>
      <c r="FZ105">
        <f t="shared" ca="1" si="275"/>
        <v>977</v>
      </c>
      <c r="GA105">
        <f t="shared" ca="1" si="276"/>
        <v>565797</v>
      </c>
      <c r="GB105">
        <f t="shared" si="277"/>
        <v>75000</v>
      </c>
      <c r="GC105">
        <f t="shared" ca="1" si="278"/>
        <v>490797</v>
      </c>
      <c r="GD105">
        <f t="shared" ca="1" si="279"/>
        <v>0</v>
      </c>
      <c r="GE105">
        <f t="shared" ca="1" si="280"/>
        <v>0</v>
      </c>
      <c r="GF105">
        <f t="shared" ca="1" si="281"/>
        <v>0</v>
      </c>
      <c r="GG105">
        <f t="shared" ca="1" si="282"/>
        <v>0</v>
      </c>
      <c r="GH105">
        <f t="shared" ca="1" si="283"/>
        <v>0</v>
      </c>
      <c r="GI105">
        <f t="shared" ca="1" si="284"/>
        <v>0</v>
      </c>
      <c r="GJ105">
        <f t="shared" ca="1" si="209"/>
        <v>0</v>
      </c>
      <c r="GK105">
        <f t="shared" ca="1" si="285"/>
        <v>0</v>
      </c>
      <c r="GL105">
        <f t="shared" ca="1" si="286"/>
        <v>0</v>
      </c>
      <c r="GM105">
        <f t="shared" ca="1" si="287"/>
        <v>0</v>
      </c>
      <c r="GN105">
        <f t="shared" ca="1" si="288"/>
        <v>90797</v>
      </c>
      <c r="GO105">
        <f t="shared" ca="1" si="289"/>
        <v>4539.8500000000004</v>
      </c>
      <c r="GP105">
        <f t="shared" ca="1" si="290"/>
        <v>4540</v>
      </c>
      <c r="GQ105">
        <f t="shared" ca="1" si="291"/>
        <v>0</v>
      </c>
      <c r="GR105">
        <f t="shared" ca="1" si="292"/>
        <v>0</v>
      </c>
      <c r="GS105">
        <f t="shared" ca="1" si="293"/>
        <v>4540</v>
      </c>
      <c r="GT105">
        <f t="shared" ca="1" si="294"/>
        <v>0</v>
      </c>
      <c r="GU105" t="b">
        <f t="shared" ca="1" si="295"/>
        <v>0</v>
      </c>
      <c r="GV105">
        <f t="shared" ca="1" si="296"/>
        <v>0</v>
      </c>
      <c r="GW105">
        <f t="shared" ca="1" si="297"/>
        <v>4540</v>
      </c>
      <c r="GX105">
        <f t="shared" ca="1" si="298"/>
        <v>0</v>
      </c>
      <c r="GY105">
        <f t="shared" ca="1" si="299"/>
        <v>0</v>
      </c>
      <c r="GZ105">
        <f t="shared" ca="1" si="300"/>
        <v>0</v>
      </c>
    </row>
    <row r="106" spans="1:208" x14ac:dyDescent="0.3">
      <c r="A106">
        <f>_xlfn.AGGREGATE(3,5,$B$2:B106)</f>
        <v>105</v>
      </c>
      <c r="B106" t="s">
        <v>326</v>
      </c>
      <c r="C106" t="s">
        <v>327</v>
      </c>
      <c r="D106" t="s">
        <v>777</v>
      </c>
      <c r="E106" t="s">
        <v>830</v>
      </c>
      <c r="F106" t="s">
        <v>956</v>
      </c>
      <c r="G106" t="s">
        <v>877</v>
      </c>
      <c r="H106">
        <f t="shared" si="302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1"/>
        <v>4830.0000000000009</v>
      </c>
      <c r="L106">
        <f t="shared" si="212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194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01"/>
        <v>200</v>
      </c>
      <c r="S106">
        <f t="shared" si="213"/>
        <v>39770</v>
      </c>
      <c r="T106">
        <f>_xlfn.XLOOKUP(B106,'[2]april-2025'!$A:$A,'[2]april-2025'!$C:$C,0,0)</f>
        <v>34500</v>
      </c>
      <c r="U106">
        <f t="shared" si="214"/>
        <v>6210</v>
      </c>
      <c r="V106">
        <f t="shared" si="215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16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17"/>
        <v>200</v>
      </c>
      <c r="AC106">
        <f t="shared" si="218"/>
        <v>41150</v>
      </c>
      <c r="AD106">
        <f>_xlfn.XLOOKUP(B106,'[3]may-2025'!$A:$A,'[3]may-2025'!$C:$C,0,0)</f>
        <v>34500</v>
      </c>
      <c r="AE106">
        <f t="shared" si="219"/>
        <v>6210</v>
      </c>
      <c r="AF106">
        <f t="shared" si="220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1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2"/>
        <v>200</v>
      </c>
      <c r="AM106">
        <f t="shared" si="223"/>
        <v>41150</v>
      </c>
      <c r="AN106">
        <f>_xlfn.XLOOKUP(B106,'[4]june-2025'!$A:$A,'[4]june-2025'!$C:$C,0,0)</f>
        <v>34500</v>
      </c>
      <c r="AO106">
        <f t="shared" si="224"/>
        <v>6210</v>
      </c>
      <c r="AP106">
        <f t="shared" si="225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26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27"/>
        <v>200</v>
      </c>
      <c r="AW106">
        <f t="shared" si="228"/>
        <v>41150</v>
      </c>
      <c r="AX106">
        <f>_xlfn.XLOOKUP(B106,'[5]july-2025'!$A:$A,'[5]july-2025'!$C:$C,0,0)</f>
        <v>35500</v>
      </c>
      <c r="AY106">
        <f t="shared" si="229"/>
        <v>6390</v>
      </c>
      <c r="AZ106">
        <v>0</v>
      </c>
      <c r="BA106">
        <f t="shared" si="230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195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1"/>
        <v>200</v>
      </c>
      <c r="BH106">
        <f t="shared" si="232"/>
        <v>42450</v>
      </c>
      <c r="BI106">
        <f>_xlfn.XLOOKUP(B106,'[6]august-2025'!$A:$A,'[6]august-2025'!$C:$C,0,0)</f>
        <v>35500</v>
      </c>
      <c r="BJ106">
        <f t="shared" si="233"/>
        <v>6390</v>
      </c>
      <c r="BK106">
        <f t="shared" si="234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35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196"/>
        <v>200</v>
      </c>
      <c r="BR106">
        <f t="shared" si="197"/>
        <v>42450</v>
      </c>
      <c r="BS106">
        <f>_xlfn.XLOOKUP(B106,'[7]september-2025'!$A:$A,'[7]september-2025'!$C:$C,0,0)</f>
        <v>35500</v>
      </c>
      <c r="BT106">
        <f t="shared" si="236"/>
        <v>6390</v>
      </c>
      <c r="BU106">
        <f t="shared" si="237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198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38"/>
        <v>200</v>
      </c>
      <c r="CB106">
        <f t="shared" si="239"/>
        <v>42450</v>
      </c>
      <c r="CC106">
        <f>_xlfn.XLOOKUP(B106,'[8]october-2025'!$A:$A,'[8]october-2025'!$C:$C,0,0)</f>
        <v>35500</v>
      </c>
      <c r="CD106">
        <f t="shared" si="240"/>
        <v>6390</v>
      </c>
      <c r="CE106">
        <f t="shared" si="241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199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42"/>
        <v>200</v>
      </c>
      <c r="CL106">
        <f t="shared" si="243"/>
        <v>42450</v>
      </c>
      <c r="CM106">
        <f>_xlfn.XLOOKUP(B106,'[9]november-2025'!$A:$A,'[9]november-2025'!$C:$C,0,0)</f>
        <v>35500</v>
      </c>
      <c r="CN106">
        <f t="shared" si="244"/>
        <v>6390</v>
      </c>
      <c r="CO106">
        <f t="shared" si="24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00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46"/>
        <v>200</v>
      </c>
      <c r="CV106">
        <f t="shared" si="247"/>
        <v>42450</v>
      </c>
      <c r="CW106">
        <f>_xlfn.XLOOKUP(B106,'[10]december-2025'!$A:$A,'[10]december-2025'!$C:$C,0,0)</f>
        <v>35500</v>
      </c>
      <c r="CX106">
        <f t="shared" si="248"/>
        <v>6390</v>
      </c>
      <c r="CY106">
        <f t="shared" si="249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0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50"/>
        <v>200</v>
      </c>
      <c r="DF106">
        <f t="shared" si="251"/>
        <v>42450</v>
      </c>
      <c r="DG106">
        <f>_xlfn.XLOOKUP(B106,'[11]january-2026'!$A:$A,'[11]january-2026'!$C:$C,0,0)</f>
        <v>35500</v>
      </c>
      <c r="DH106">
        <f t="shared" si="252"/>
        <v>6390</v>
      </c>
      <c r="DI106">
        <f t="shared" si="253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02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54"/>
        <v>200</v>
      </c>
      <c r="DP106">
        <f t="shared" si="255"/>
        <v>42450</v>
      </c>
      <c r="DQ106">
        <f>_xlfn.XLOOKUP(B106,'[12]february-2026'!$A:$A,'[12]february-2026'!$C:$C,0,0)</f>
        <v>35500</v>
      </c>
      <c r="DR106">
        <f t="shared" si="256"/>
        <v>6390</v>
      </c>
      <c r="DS106">
        <f t="shared" si="257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03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58"/>
        <v>200</v>
      </c>
      <c r="DZ106">
        <f t="shared" si="259"/>
        <v>42450</v>
      </c>
      <c r="EA106">
        <f>_xlfn.XLOOKUP(B106,'[1]march-2025'!$A:$A,'[1]march-2025'!$J:$J,0,0)</f>
        <v>0</v>
      </c>
      <c r="EB106">
        <f>_xlfn.XLOOKUP(B106,'[2]april-2025'!$A:$A,'[2]april-2025'!$J:$J,0,0)</f>
        <v>0</v>
      </c>
      <c r="EC106">
        <f>_xlfn.XLOOKUP(B106,'[3]may-2025'!$A:$A,'[3]may-2025'!$J:$J,0,0)</f>
        <v>0</v>
      </c>
      <c r="ED106">
        <f>_xlfn.XLOOKUP(B106,'[4]june-2025'!$A:$A,'[4]june-2025'!$J:$J,0,0)</f>
        <v>0</v>
      </c>
      <c r="EE106">
        <f>_xlfn.XLOOKUP(B106,'[5]july-2025'!$A:$A,'[5]july-2025'!$J:$J,0,0)</f>
        <v>0</v>
      </c>
      <c r="EF106">
        <f>_xlfn.XLOOKUP(B106,'[6]august-2025'!$A:$A,'[6]august-2025'!$J:$J,0,0)</f>
        <v>0</v>
      </c>
      <c r="EG106">
        <f>_xlfn.XLOOKUP(B106,'[7]september-2025'!$A:$A,'[7]september-2025'!$J:$J,0,0)</f>
        <v>0</v>
      </c>
      <c r="EH106">
        <f>_xlfn.XLOOKUP(B106,'[8]october-2025'!$A:$A,'[8]october-2025'!$J:$J,0,0)</f>
        <v>0</v>
      </c>
      <c r="EI106">
        <f>_xlfn.XLOOKUP(C106,'[9]november-2025'!$A:$A,'[9]november-2025'!$J:$J,0,0)</f>
        <v>0</v>
      </c>
      <c r="EJ106">
        <f>_xlfn.XLOOKUP(B106,'[10]december-2025'!$A:$A,'[10]december-2025'!$J:$J,0,0)</f>
        <v>0</v>
      </c>
      <c r="EK106">
        <f>_xlfn.XLOOKUP(B106,'[11]january-2026'!$A:$A,'[11]january-2026'!$J:$J,0,0)</f>
        <v>0</v>
      </c>
      <c r="EL106">
        <f>_xlfn.XLOOKUP(B106,'[12]february-2026'!$A:$A,'[12]february-2026'!$J:$J,0,0)</f>
        <v>0</v>
      </c>
      <c r="EM106">
        <f t="shared" si="260"/>
        <v>0</v>
      </c>
      <c r="EN106">
        <f t="shared" si="204"/>
        <v>560020</v>
      </c>
      <c r="EO106">
        <f t="shared" si="205"/>
        <v>2400</v>
      </c>
      <c r="EP106">
        <f t="shared" si="261"/>
        <v>50000</v>
      </c>
      <c r="EQ106">
        <v>0</v>
      </c>
      <c r="ER106">
        <f t="shared" si="262"/>
        <v>507620</v>
      </c>
      <c r="ES106">
        <f t="shared" si="206"/>
        <v>48000</v>
      </c>
      <c r="ET106">
        <f t="shared" si="207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263"/>
        <v>48000</v>
      </c>
      <c r="FF106">
        <f t="shared" si="264"/>
        <v>48000</v>
      </c>
      <c r="FG106">
        <f t="shared" si="265"/>
        <v>459620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208"/>
        <v>0</v>
      </c>
      <c r="FP106">
        <f t="shared" si="266"/>
        <v>459620</v>
      </c>
      <c r="FQ106">
        <f t="shared" si="267"/>
        <v>10481</v>
      </c>
      <c r="FR106">
        <f t="shared" si="268"/>
        <v>0</v>
      </c>
      <c r="FS106">
        <f t="shared" si="269"/>
        <v>10481</v>
      </c>
      <c r="FT106">
        <f t="shared" si="270"/>
        <v>0</v>
      </c>
      <c r="FU106">
        <f t="shared" si="271"/>
        <v>0</v>
      </c>
      <c r="FV106">
        <f t="shared" si="272"/>
        <v>0</v>
      </c>
      <c r="FW106">
        <v>0</v>
      </c>
      <c r="FX106">
        <f t="shared" si="273"/>
        <v>0</v>
      </c>
      <c r="FY106" t="b">
        <f t="shared" si="274"/>
        <v>1</v>
      </c>
      <c r="FZ106">
        <f t="shared" ca="1" si="275"/>
        <v>713</v>
      </c>
      <c r="GA106">
        <f t="shared" ca="1" si="276"/>
        <v>560733</v>
      </c>
      <c r="GB106">
        <f t="shared" si="277"/>
        <v>75000</v>
      </c>
      <c r="GC106">
        <f t="shared" ca="1" si="278"/>
        <v>485733</v>
      </c>
      <c r="GD106">
        <f t="shared" ca="1" si="279"/>
        <v>0</v>
      </c>
      <c r="GE106">
        <f t="shared" ca="1" si="280"/>
        <v>0</v>
      </c>
      <c r="GF106">
        <f t="shared" ca="1" si="281"/>
        <v>0</v>
      </c>
      <c r="GG106">
        <f t="shared" ca="1" si="282"/>
        <v>0</v>
      </c>
      <c r="GH106">
        <f t="shared" ca="1" si="283"/>
        <v>0</v>
      </c>
      <c r="GI106">
        <f t="shared" ca="1" si="284"/>
        <v>0</v>
      </c>
      <c r="GJ106">
        <f t="shared" ca="1" si="209"/>
        <v>0</v>
      </c>
      <c r="GK106">
        <f t="shared" ca="1" si="285"/>
        <v>0</v>
      </c>
      <c r="GL106">
        <f t="shared" ca="1" si="286"/>
        <v>0</v>
      </c>
      <c r="GM106">
        <f t="shared" ca="1" si="287"/>
        <v>0</v>
      </c>
      <c r="GN106">
        <f t="shared" ca="1" si="288"/>
        <v>85733</v>
      </c>
      <c r="GO106">
        <f t="shared" ca="1" si="289"/>
        <v>4286.6500000000005</v>
      </c>
      <c r="GP106">
        <f t="shared" ca="1" si="290"/>
        <v>4287</v>
      </c>
      <c r="GQ106">
        <f t="shared" ca="1" si="291"/>
        <v>0</v>
      </c>
      <c r="GR106">
        <f t="shared" ca="1" si="292"/>
        <v>0</v>
      </c>
      <c r="GS106">
        <f t="shared" ca="1" si="293"/>
        <v>4287</v>
      </c>
      <c r="GT106">
        <f t="shared" ca="1" si="294"/>
        <v>0</v>
      </c>
      <c r="GU106" t="b">
        <f t="shared" ca="1" si="295"/>
        <v>0</v>
      </c>
      <c r="GV106">
        <f t="shared" ca="1" si="296"/>
        <v>0</v>
      </c>
      <c r="GW106">
        <f t="shared" ca="1" si="297"/>
        <v>4287</v>
      </c>
      <c r="GX106">
        <f t="shared" ca="1" si="298"/>
        <v>0</v>
      </c>
      <c r="GY106">
        <f t="shared" ca="1" si="299"/>
        <v>0</v>
      </c>
      <c r="GZ106">
        <f t="shared" ca="1" si="300"/>
        <v>0</v>
      </c>
    </row>
    <row r="107" spans="1:208" x14ac:dyDescent="0.3">
      <c r="A107">
        <f>_xlfn.AGGREGATE(3,5,$B$2:B107)</f>
        <v>106</v>
      </c>
      <c r="B107" t="s">
        <v>328</v>
      </c>
      <c r="C107" t="s">
        <v>329</v>
      </c>
      <c r="D107" t="s">
        <v>777</v>
      </c>
      <c r="E107" t="s">
        <v>830</v>
      </c>
      <c r="F107" t="s">
        <v>956</v>
      </c>
      <c r="G107" t="s">
        <v>878</v>
      </c>
      <c r="H107">
        <f t="shared" si="302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1"/>
        <v>3780.0000000000005</v>
      </c>
      <c r="L107">
        <f t="shared" si="212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194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01"/>
        <v>150</v>
      </c>
      <c r="S107">
        <f t="shared" si="213"/>
        <v>32370</v>
      </c>
      <c r="T107">
        <f>_xlfn.XLOOKUP(B107,'[2]april-2025'!$A:$A,'[2]april-2025'!$C:$C,0,0)</f>
        <v>27000</v>
      </c>
      <c r="U107">
        <f t="shared" si="214"/>
        <v>4860</v>
      </c>
      <c r="V107">
        <f t="shared" si="215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16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17"/>
        <v>150</v>
      </c>
      <c r="AC107">
        <f t="shared" si="218"/>
        <v>33450</v>
      </c>
      <c r="AD107">
        <f>_xlfn.XLOOKUP(B107,'[3]may-2025'!$A:$A,'[3]may-2025'!$C:$C,0,0)</f>
        <v>31600</v>
      </c>
      <c r="AE107">
        <f t="shared" si="219"/>
        <v>5688</v>
      </c>
      <c r="AF107">
        <f t="shared" si="220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1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2"/>
        <v>200</v>
      </c>
      <c r="AM107">
        <f t="shared" si="223"/>
        <v>39380</v>
      </c>
      <c r="AN107">
        <f>_xlfn.XLOOKUP(B107,'[4]june-2025'!$A:$A,'[4]june-2025'!$C:$C,0,0)</f>
        <v>31600</v>
      </c>
      <c r="AO107">
        <f t="shared" si="224"/>
        <v>5688</v>
      </c>
      <c r="AP107">
        <f t="shared" si="225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26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27"/>
        <v>200</v>
      </c>
      <c r="AW107">
        <f t="shared" si="228"/>
        <v>39380</v>
      </c>
      <c r="AX107">
        <f>_xlfn.XLOOKUP(B107,'[5]july-2025'!$A:$A,'[5]july-2025'!$C:$C,0,0)</f>
        <v>32500</v>
      </c>
      <c r="AY107">
        <f t="shared" si="229"/>
        <v>5850</v>
      </c>
      <c r="AZ107">
        <v>0</v>
      </c>
      <c r="BA107">
        <f t="shared" si="230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195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1"/>
        <v>200</v>
      </c>
      <c r="BH107">
        <f t="shared" si="232"/>
        <v>40550</v>
      </c>
      <c r="BI107">
        <f>_xlfn.XLOOKUP(B107,'[6]august-2025'!$A:$A,'[6]august-2025'!$C:$C,0,0)</f>
        <v>32500</v>
      </c>
      <c r="BJ107">
        <f t="shared" si="233"/>
        <v>5850</v>
      </c>
      <c r="BK107">
        <f t="shared" si="234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35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196"/>
        <v>200</v>
      </c>
      <c r="BR107">
        <f t="shared" si="197"/>
        <v>40550</v>
      </c>
      <c r="BS107">
        <f>_xlfn.XLOOKUP(B107,'[7]september-2025'!$A:$A,'[7]september-2025'!$C:$C,0,0)</f>
        <v>32500</v>
      </c>
      <c r="BT107">
        <f t="shared" si="236"/>
        <v>5850</v>
      </c>
      <c r="BU107">
        <f t="shared" si="237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198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38"/>
        <v>200</v>
      </c>
      <c r="CB107">
        <f t="shared" si="239"/>
        <v>40550</v>
      </c>
      <c r="CC107">
        <f>_xlfn.XLOOKUP(B107,'[8]october-2025'!$A:$A,'[8]october-2025'!$C:$C,0,0)</f>
        <v>32500</v>
      </c>
      <c r="CD107">
        <f t="shared" si="240"/>
        <v>5850</v>
      </c>
      <c r="CE107">
        <f t="shared" si="241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199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42"/>
        <v>200</v>
      </c>
      <c r="CL107">
        <f t="shared" si="243"/>
        <v>40550</v>
      </c>
      <c r="CM107">
        <f>_xlfn.XLOOKUP(B107,'[9]november-2025'!$A:$A,'[9]november-2025'!$C:$C,0,0)</f>
        <v>32500</v>
      </c>
      <c r="CN107">
        <f t="shared" si="244"/>
        <v>5850</v>
      </c>
      <c r="CO107">
        <f t="shared" si="24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00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46"/>
        <v>200</v>
      </c>
      <c r="CV107">
        <f t="shared" si="247"/>
        <v>40550</v>
      </c>
      <c r="CW107">
        <f>_xlfn.XLOOKUP(B107,'[10]december-2025'!$A:$A,'[10]december-2025'!$C:$C,0,0)</f>
        <v>32500</v>
      </c>
      <c r="CX107">
        <f t="shared" si="248"/>
        <v>5850</v>
      </c>
      <c r="CY107">
        <f t="shared" si="249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0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50"/>
        <v>200</v>
      </c>
      <c r="DF107">
        <f t="shared" si="251"/>
        <v>40550</v>
      </c>
      <c r="DG107">
        <f>_xlfn.XLOOKUP(B107,'[11]january-2026'!$A:$A,'[11]january-2026'!$C:$C,0,0)</f>
        <v>32500</v>
      </c>
      <c r="DH107">
        <f t="shared" si="252"/>
        <v>5850</v>
      </c>
      <c r="DI107">
        <f t="shared" si="253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02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54"/>
        <v>200</v>
      </c>
      <c r="DP107">
        <f t="shared" si="255"/>
        <v>40550</v>
      </c>
      <c r="DQ107">
        <f>_xlfn.XLOOKUP(B107,'[12]february-2026'!$A:$A,'[12]february-2026'!$C:$C,0,0)</f>
        <v>32500</v>
      </c>
      <c r="DR107">
        <f t="shared" si="256"/>
        <v>5850</v>
      </c>
      <c r="DS107">
        <f t="shared" si="257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03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58"/>
        <v>200</v>
      </c>
      <c r="DZ107">
        <f t="shared" si="259"/>
        <v>40550</v>
      </c>
      <c r="EA107">
        <f>_xlfn.XLOOKUP(B107,'[1]march-2025'!$A:$A,'[1]march-2025'!$J:$J,0,0)</f>
        <v>0</v>
      </c>
      <c r="EB107">
        <f>_xlfn.XLOOKUP(B107,'[2]april-2025'!$A:$A,'[2]april-2025'!$J:$J,0,0)</f>
        <v>0</v>
      </c>
      <c r="EC107">
        <f>_xlfn.XLOOKUP(B107,'[3]may-2025'!$A:$A,'[3]may-2025'!$J:$J,0,0)</f>
        <v>0</v>
      </c>
      <c r="ED107">
        <f>_xlfn.XLOOKUP(B107,'[4]june-2025'!$A:$A,'[4]june-2025'!$J:$J,0,0)</f>
        <v>0</v>
      </c>
      <c r="EE107">
        <f>_xlfn.XLOOKUP(B107,'[5]july-2025'!$A:$A,'[5]july-2025'!$J:$J,0,0)</f>
        <v>0</v>
      </c>
      <c r="EF107">
        <f>_xlfn.XLOOKUP(B107,'[6]august-2025'!$A:$A,'[6]august-2025'!$J:$J,0,0)</f>
        <v>0</v>
      </c>
      <c r="EG107">
        <f>_xlfn.XLOOKUP(B107,'[7]september-2025'!$A:$A,'[7]september-2025'!$J:$J,0,0)</f>
        <v>0</v>
      </c>
      <c r="EH107">
        <f>_xlfn.XLOOKUP(B107,'[8]october-2025'!$A:$A,'[8]october-2025'!$J:$J,0,0)</f>
        <v>0</v>
      </c>
      <c r="EI107">
        <f>_xlfn.XLOOKUP(C107,'[9]november-2025'!$A:$A,'[9]november-2025'!$J:$J,0,0)</f>
        <v>0</v>
      </c>
      <c r="EJ107">
        <f>_xlfn.XLOOKUP(B107,'[10]december-2025'!$A:$A,'[10]december-2025'!$J:$J,0,0)</f>
        <v>0</v>
      </c>
      <c r="EK107">
        <f>_xlfn.XLOOKUP(B107,'[11]january-2026'!$A:$A,'[11]january-2026'!$J:$J,0,0)</f>
        <v>0</v>
      </c>
      <c r="EL107">
        <f>_xlfn.XLOOKUP(B107,'[12]february-2026'!$A:$A,'[12]february-2026'!$J:$J,0,0)</f>
        <v>0</v>
      </c>
      <c r="EM107">
        <f t="shared" si="260"/>
        <v>0</v>
      </c>
      <c r="EN107">
        <f t="shared" si="204"/>
        <v>502080</v>
      </c>
      <c r="EO107">
        <f t="shared" si="205"/>
        <v>2300</v>
      </c>
      <c r="EP107">
        <f t="shared" si="261"/>
        <v>50000</v>
      </c>
      <c r="EQ107">
        <v>0</v>
      </c>
      <c r="ER107">
        <f t="shared" si="262"/>
        <v>449780</v>
      </c>
      <c r="ES107">
        <f t="shared" si="206"/>
        <v>24000</v>
      </c>
      <c r="ET107">
        <f t="shared" si="207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263"/>
        <v>24000</v>
      </c>
      <c r="FF107">
        <f t="shared" si="264"/>
        <v>24000</v>
      </c>
      <c r="FG107">
        <f t="shared" si="265"/>
        <v>425780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208"/>
        <v>0</v>
      </c>
      <c r="FP107">
        <f t="shared" si="266"/>
        <v>425780</v>
      </c>
      <c r="FQ107">
        <f t="shared" si="267"/>
        <v>8789</v>
      </c>
      <c r="FR107">
        <f t="shared" si="268"/>
        <v>0</v>
      </c>
      <c r="FS107">
        <f t="shared" si="269"/>
        <v>8789</v>
      </c>
      <c r="FT107">
        <f t="shared" si="270"/>
        <v>0</v>
      </c>
      <c r="FU107">
        <f t="shared" si="271"/>
        <v>0</v>
      </c>
      <c r="FV107">
        <f t="shared" si="272"/>
        <v>0</v>
      </c>
      <c r="FW107">
        <v>0</v>
      </c>
      <c r="FX107">
        <f t="shared" si="273"/>
        <v>0</v>
      </c>
      <c r="FY107" t="b">
        <f t="shared" si="274"/>
        <v>1</v>
      </c>
      <c r="FZ107">
        <f t="shared" ca="1" si="275"/>
        <v>668</v>
      </c>
      <c r="GA107">
        <f t="shared" ca="1" si="276"/>
        <v>502748</v>
      </c>
      <c r="GB107">
        <f t="shared" si="277"/>
        <v>75000</v>
      </c>
      <c r="GC107">
        <f t="shared" ca="1" si="278"/>
        <v>427748</v>
      </c>
      <c r="GD107">
        <f t="shared" ca="1" si="279"/>
        <v>0</v>
      </c>
      <c r="GE107">
        <f t="shared" ca="1" si="280"/>
        <v>0</v>
      </c>
      <c r="GF107">
        <f t="shared" ca="1" si="281"/>
        <v>0</v>
      </c>
      <c r="GG107">
        <f t="shared" ca="1" si="282"/>
        <v>0</v>
      </c>
      <c r="GH107">
        <f t="shared" ca="1" si="283"/>
        <v>0</v>
      </c>
      <c r="GI107">
        <f t="shared" ca="1" si="284"/>
        <v>0</v>
      </c>
      <c r="GJ107">
        <f t="shared" ca="1" si="209"/>
        <v>0</v>
      </c>
      <c r="GK107">
        <f t="shared" ca="1" si="285"/>
        <v>0</v>
      </c>
      <c r="GL107">
        <f t="shared" ca="1" si="286"/>
        <v>0</v>
      </c>
      <c r="GM107">
        <f t="shared" ca="1" si="287"/>
        <v>0</v>
      </c>
      <c r="GN107">
        <f t="shared" ca="1" si="288"/>
        <v>27748</v>
      </c>
      <c r="GO107">
        <f t="shared" ca="1" si="289"/>
        <v>1387.4</v>
      </c>
      <c r="GP107">
        <f t="shared" ca="1" si="290"/>
        <v>1387</v>
      </c>
      <c r="GQ107">
        <f t="shared" ca="1" si="291"/>
        <v>0</v>
      </c>
      <c r="GR107">
        <f t="shared" ca="1" si="292"/>
        <v>0</v>
      </c>
      <c r="GS107">
        <f t="shared" ca="1" si="293"/>
        <v>1387</v>
      </c>
      <c r="GT107">
        <f t="shared" ca="1" si="294"/>
        <v>0</v>
      </c>
      <c r="GU107" t="b">
        <f t="shared" ca="1" si="295"/>
        <v>0</v>
      </c>
      <c r="GV107">
        <f t="shared" ca="1" si="296"/>
        <v>0</v>
      </c>
      <c r="GW107">
        <f t="shared" ca="1" si="297"/>
        <v>1387</v>
      </c>
      <c r="GX107">
        <f t="shared" ca="1" si="298"/>
        <v>0</v>
      </c>
      <c r="GY107">
        <f t="shared" ca="1" si="299"/>
        <v>0</v>
      </c>
      <c r="GZ107">
        <f t="shared" ca="1" si="300"/>
        <v>0</v>
      </c>
    </row>
    <row r="108" spans="1:208" x14ac:dyDescent="0.3">
      <c r="A108">
        <f>_xlfn.AGGREGATE(3,5,$B$2:B108)</f>
        <v>107</v>
      </c>
      <c r="B108" t="s">
        <v>330</v>
      </c>
      <c r="C108" t="s">
        <v>331</v>
      </c>
      <c r="D108" t="s">
        <v>777</v>
      </c>
      <c r="E108" t="s">
        <v>830</v>
      </c>
      <c r="F108" t="s">
        <v>956</v>
      </c>
      <c r="G108" t="s">
        <v>903</v>
      </c>
      <c r="H108">
        <f t="shared" si="302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1"/>
        <v>4046.0000000000005</v>
      </c>
      <c r="L108">
        <f t="shared" si="212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194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01"/>
        <v>150</v>
      </c>
      <c r="S108">
        <f t="shared" si="213"/>
        <v>34764</v>
      </c>
      <c r="T108">
        <f>_xlfn.XLOOKUP(B108,'[2]april-2025'!$A:$A,'[2]april-2025'!$C:$C,0,0)</f>
        <v>28900</v>
      </c>
      <c r="U108">
        <f t="shared" si="214"/>
        <v>5202</v>
      </c>
      <c r="V108">
        <f t="shared" si="215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16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17"/>
        <v>150</v>
      </c>
      <c r="AC108">
        <f t="shared" si="218"/>
        <v>35920</v>
      </c>
      <c r="AD108">
        <f>_xlfn.XLOOKUP(B108,'[3]may-2025'!$A:$A,'[3]may-2025'!$C:$C,0,0)</f>
        <v>28900</v>
      </c>
      <c r="AE108">
        <f t="shared" si="219"/>
        <v>5202</v>
      </c>
      <c r="AF108">
        <f t="shared" si="220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1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2"/>
        <v>150</v>
      </c>
      <c r="AM108">
        <f t="shared" si="223"/>
        <v>35920</v>
      </c>
      <c r="AN108">
        <f>_xlfn.XLOOKUP(B108,'[4]june-2025'!$A:$A,'[4]june-2025'!$C:$C,0,0)</f>
        <v>28900</v>
      </c>
      <c r="AO108">
        <f t="shared" si="224"/>
        <v>5202</v>
      </c>
      <c r="AP108">
        <f t="shared" si="225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26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27"/>
        <v>150</v>
      </c>
      <c r="AW108">
        <f t="shared" si="228"/>
        <v>35920</v>
      </c>
      <c r="AX108">
        <f>_xlfn.XLOOKUP(B108,'[5]july-2025'!$A:$A,'[5]july-2025'!$C:$C,0,0)</f>
        <v>29800</v>
      </c>
      <c r="AY108">
        <f t="shared" si="229"/>
        <v>5364</v>
      </c>
      <c r="AZ108">
        <v>0</v>
      </c>
      <c r="BA108">
        <f t="shared" si="230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195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1"/>
        <v>150</v>
      </c>
      <c r="BH108">
        <f t="shared" si="232"/>
        <v>37090</v>
      </c>
      <c r="BI108">
        <f>_xlfn.XLOOKUP(B108,'[6]august-2025'!$A:$A,'[6]august-2025'!$C:$C,0,0)</f>
        <v>29800</v>
      </c>
      <c r="BJ108">
        <f t="shared" si="233"/>
        <v>5364</v>
      </c>
      <c r="BK108">
        <f t="shared" si="234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35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196"/>
        <v>150</v>
      </c>
      <c r="BR108">
        <f t="shared" si="197"/>
        <v>37090</v>
      </c>
      <c r="BS108">
        <f>_xlfn.XLOOKUP(B108,'[7]september-2025'!$A:$A,'[7]september-2025'!$C:$C,0,0)</f>
        <v>29800</v>
      </c>
      <c r="BT108">
        <f t="shared" si="236"/>
        <v>5364</v>
      </c>
      <c r="BU108">
        <f t="shared" si="237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198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38"/>
        <v>150</v>
      </c>
      <c r="CB108">
        <f t="shared" si="239"/>
        <v>37090</v>
      </c>
      <c r="CC108">
        <f>_xlfn.XLOOKUP(B108,'[8]october-2025'!$A:$A,'[8]october-2025'!$C:$C,0,0)</f>
        <v>29800</v>
      </c>
      <c r="CD108">
        <f t="shared" si="240"/>
        <v>5364</v>
      </c>
      <c r="CE108">
        <f t="shared" si="241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199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42"/>
        <v>150</v>
      </c>
      <c r="CL108">
        <f t="shared" si="243"/>
        <v>37090</v>
      </c>
      <c r="CM108">
        <f>_xlfn.XLOOKUP(B108,'[9]november-2025'!$A:$A,'[9]november-2025'!$C:$C,0,0)</f>
        <v>29800</v>
      </c>
      <c r="CN108">
        <f t="shared" si="244"/>
        <v>5364</v>
      </c>
      <c r="CO108">
        <f t="shared" si="24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00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46"/>
        <v>150</v>
      </c>
      <c r="CV108">
        <f t="shared" si="247"/>
        <v>37090</v>
      </c>
      <c r="CW108">
        <f>_xlfn.XLOOKUP(B108,'[10]december-2025'!$A:$A,'[10]december-2025'!$C:$C,0,0)</f>
        <v>29800</v>
      </c>
      <c r="CX108">
        <f t="shared" si="248"/>
        <v>5364</v>
      </c>
      <c r="CY108">
        <f t="shared" si="249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0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50"/>
        <v>150</v>
      </c>
      <c r="DF108">
        <f t="shared" si="251"/>
        <v>37090</v>
      </c>
      <c r="DG108">
        <f>_xlfn.XLOOKUP(B108,'[11]january-2026'!$A:$A,'[11]january-2026'!$C:$C,0,0)</f>
        <v>29800</v>
      </c>
      <c r="DH108">
        <f t="shared" si="252"/>
        <v>5364</v>
      </c>
      <c r="DI108">
        <f t="shared" si="253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02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54"/>
        <v>150</v>
      </c>
      <c r="DP108">
        <f t="shared" si="255"/>
        <v>37090</v>
      </c>
      <c r="DQ108">
        <f>_xlfn.XLOOKUP(B108,'[12]february-2026'!$A:$A,'[12]february-2026'!$C:$C,0,0)</f>
        <v>29800</v>
      </c>
      <c r="DR108">
        <f t="shared" si="256"/>
        <v>5364</v>
      </c>
      <c r="DS108">
        <f t="shared" si="257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03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58"/>
        <v>150</v>
      </c>
      <c r="DZ108">
        <f t="shared" si="259"/>
        <v>37090</v>
      </c>
      <c r="EA108">
        <f>_xlfn.XLOOKUP(B108,'[1]march-2025'!$A:$A,'[1]march-2025'!$J:$J,0,0)</f>
        <v>0</v>
      </c>
      <c r="EB108">
        <f>_xlfn.XLOOKUP(B108,'[2]april-2025'!$A:$A,'[2]april-2025'!$J:$J,0,0)</f>
        <v>0</v>
      </c>
      <c r="EC108">
        <f>_xlfn.XLOOKUP(B108,'[3]may-2025'!$A:$A,'[3]may-2025'!$J:$J,0,0)</f>
        <v>34471</v>
      </c>
      <c r="ED108">
        <f>_xlfn.XLOOKUP(B108,'[4]june-2025'!$A:$A,'[4]june-2025'!$J:$J,0,0)</f>
        <v>0</v>
      </c>
      <c r="EE108">
        <f>_xlfn.XLOOKUP(B108,'[5]july-2025'!$A:$A,'[5]july-2025'!$J:$J,0,0)</f>
        <v>0</v>
      </c>
      <c r="EF108">
        <f>_xlfn.XLOOKUP(B108,'[6]august-2025'!$A:$A,'[6]august-2025'!$J:$J,0,0)</f>
        <v>0</v>
      </c>
      <c r="EG108">
        <f>_xlfn.XLOOKUP(B108,'[7]september-2025'!$A:$A,'[7]september-2025'!$J:$J,0,0)</f>
        <v>0</v>
      </c>
      <c r="EH108">
        <f>_xlfn.XLOOKUP(B108,'[8]october-2025'!$A:$A,'[8]october-2025'!$J:$J,0,0)</f>
        <v>0</v>
      </c>
      <c r="EI108">
        <f>_xlfn.XLOOKUP(C108,'[9]november-2025'!$A:$A,'[9]november-2025'!$J:$J,0,0)</f>
        <v>0</v>
      </c>
      <c r="EJ108">
        <f>_xlfn.XLOOKUP(B108,'[10]december-2025'!$A:$A,'[10]december-2025'!$J:$J,0,0)</f>
        <v>0</v>
      </c>
      <c r="EK108">
        <f>_xlfn.XLOOKUP(B108,'[11]january-2026'!$A:$A,'[11]january-2026'!$J:$J,0,0)</f>
        <v>0</v>
      </c>
      <c r="EL108">
        <f>_xlfn.XLOOKUP(B108,'[12]february-2026'!$A:$A,'[12]february-2026'!$J:$J,0,0)</f>
        <v>0</v>
      </c>
      <c r="EM108">
        <f t="shared" si="260"/>
        <v>34471</v>
      </c>
      <c r="EN108">
        <f t="shared" si="204"/>
        <v>471844</v>
      </c>
      <c r="EO108">
        <f t="shared" si="205"/>
        <v>1800</v>
      </c>
      <c r="EP108">
        <f t="shared" si="261"/>
        <v>50000</v>
      </c>
      <c r="EQ108">
        <v>0</v>
      </c>
      <c r="ER108">
        <f t="shared" si="262"/>
        <v>454515</v>
      </c>
      <c r="ES108">
        <f t="shared" si="206"/>
        <v>24000</v>
      </c>
      <c r="ET108">
        <f t="shared" si="207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263"/>
        <v>24000</v>
      </c>
      <c r="FF108">
        <f t="shared" si="264"/>
        <v>24000</v>
      </c>
      <c r="FG108">
        <f t="shared" si="265"/>
        <v>430515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208"/>
        <v>0</v>
      </c>
      <c r="FP108">
        <f t="shared" si="266"/>
        <v>430515</v>
      </c>
      <c r="FQ108">
        <f t="shared" si="267"/>
        <v>9026</v>
      </c>
      <c r="FR108">
        <f t="shared" si="268"/>
        <v>0</v>
      </c>
      <c r="FS108">
        <f t="shared" si="269"/>
        <v>9026</v>
      </c>
      <c r="FT108">
        <f t="shared" si="270"/>
        <v>0</v>
      </c>
      <c r="FU108">
        <f t="shared" si="271"/>
        <v>0</v>
      </c>
      <c r="FV108">
        <f t="shared" si="272"/>
        <v>0</v>
      </c>
      <c r="FW108">
        <v>0</v>
      </c>
      <c r="FX108">
        <f t="shared" si="273"/>
        <v>0</v>
      </c>
      <c r="FY108" t="b">
        <f t="shared" si="274"/>
        <v>0</v>
      </c>
      <c r="FZ108">
        <f t="shared" ca="1" si="275"/>
        <v>1839</v>
      </c>
      <c r="GA108">
        <f t="shared" ca="1" si="276"/>
        <v>473683</v>
      </c>
      <c r="GB108">
        <f t="shared" si="277"/>
        <v>75000</v>
      </c>
      <c r="GC108">
        <f t="shared" ca="1" si="278"/>
        <v>398683</v>
      </c>
      <c r="GD108">
        <f t="shared" ca="1" si="279"/>
        <v>0</v>
      </c>
      <c r="GE108">
        <f t="shared" ca="1" si="280"/>
        <v>0</v>
      </c>
      <c r="GF108">
        <f t="shared" ca="1" si="281"/>
        <v>0</v>
      </c>
      <c r="GG108">
        <f t="shared" ca="1" si="282"/>
        <v>0</v>
      </c>
      <c r="GH108">
        <f t="shared" ca="1" si="283"/>
        <v>0</v>
      </c>
      <c r="GI108">
        <f t="shared" ca="1" si="284"/>
        <v>0</v>
      </c>
      <c r="GJ108">
        <f t="shared" ca="1" si="209"/>
        <v>0</v>
      </c>
      <c r="GK108">
        <f t="shared" ca="1" si="285"/>
        <v>0</v>
      </c>
      <c r="GL108">
        <f t="shared" ca="1" si="286"/>
        <v>0</v>
      </c>
      <c r="GM108">
        <f t="shared" ca="1" si="287"/>
        <v>0</v>
      </c>
      <c r="GN108">
        <f t="shared" ca="1" si="288"/>
        <v>0</v>
      </c>
      <c r="GO108">
        <f t="shared" ca="1" si="289"/>
        <v>0</v>
      </c>
      <c r="GP108">
        <f t="shared" ca="1" si="290"/>
        <v>0</v>
      </c>
      <c r="GQ108">
        <f t="shared" ca="1" si="291"/>
        <v>0</v>
      </c>
      <c r="GR108">
        <f t="shared" ca="1" si="292"/>
        <v>0</v>
      </c>
      <c r="GS108">
        <f t="shared" ca="1" si="293"/>
        <v>0</v>
      </c>
      <c r="GT108">
        <f t="shared" ca="1" si="294"/>
        <v>0</v>
      </c>
      <c r="GU108" t="b">
        <f t="shared" ca="1" si="295"/>
        <v>0</v>
      </c>
      <c r="GV108">
        <f t="shared" ca="1" si="296"/>
        <v>0</v>
      </c>
      <c r="GW108">
        <f t="shared" ca="1" si="297"/>
        <v>0</v>
      </c>
      <c r="GX108">
        <f t="shared" ca="1" si="298"/>
        <v>0</v>
      </c>
      <c r="GY108">
        <f t="shared" ca="1" si="299"/>
        <v>0</v>
      </c>
      <c r="GZ108">
        <f t="shared" ca="1" si="300"/>
        <v>0</v>
      </c>
    </row>
    <row r="109" spans="1:208" x14ac:dyDescent="0.3">
      <c r="A109">
        <f>_xlfn.AGGREGATE(3,5,$B$2:B109)</f>
        <v>108</v>
      </c>
      <c r="B109" t="s">
        <v>332</v>
      </c>
      <c r="C109" t="s">
        <v>333</v>
      </c>
      <c r="D109" t="s">
        <v>778</v>
      </c>
      <c r="E109" t="s">
        <v>830</v>
      </c>
      <c r="F109" t="s">
        <v>956</v>
      </c>
      <c r="G109" t="s">
        <v>885</v>
      </c>
      <c r="H109">
        <f t="shared" si="302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1"/>
        <v>4690</v>
      </c>
      <c r="L109">
        <f t="shared" si="212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194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01"/>
        <v>200</v>
      </c>
      <c r="S109">
        <f t="shared" si="213"/>
        <v>40410</v>
      </c>
      <c r="T109">
        <f>_xlfn.XLOOKUP(B109,'[2]april-2025'!$A:$A,'[2]april-2025'!$C:$C,0,0)</f>
        <v>33500</v>
      </c>
      <c r="U109">
        <f t="shared" si="214"/>
        <v>6030</v>
      </c>
      <c r="V109">
        <f t="shared" si="215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16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17"/>
        <v>200</v>
      </c>
      <c r="AC109">
        <f t="shared" si="218"/>
        <v>41750</v>
      </c>
      <c r="AD109">
        <f>_xlfn.XLOOKUP(B109,'[3]may-2025'!$A:$A,'[3]may-2025'!$C:$C,0,0)</f>
        <v>33500</v>
      </c>
      <c r="AE109">
        <f t="shared" si="219"/>
        <v>6030</v>
      </c>
      <c r="AF109">
        <f t="shared" si="220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1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2"/>
        <v>200</v>
      </c>
      <c r="AM109">
        <f t="shared" si="223"/>
        <v>41750</v>
      </c>
      <c r="AN109">
        <f>_xlfn.XLOOKUP(B109,'[4]june-2025'!$A:$A,'[4]june-2025'!$C:$C,0,0)</f>
        <v>33500</v>
      </c>
      <c r="AO109">
        <f t="shared" si="224"/>
        <v>6030</v>
      </c>
      <c r="AP109">
        <f t="shared" si="225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26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27"/>
        <v>200</v>
      </c>
      <c r="AW109">
        <f t="shared" si="228"/>
        <v>41750</v>
      </c>
      <c r="AX109">
        <f>_xlfn.XLOOKUP(B109,'[5]july-2025'!$A:$A,'[5]july-2025'!$C:$C,0,0)</f>
        <v>34500</v>
      </c>
      <c r="AY109">
        <f t="shared" si="229"/>
        <v>6210</v>
      </c>
      <c r="AZ109">
        <v>0</v>
      </c>
      <c r="BA109">
        <f t="shared" si="230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195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1"/>
        <v>200</v>
      </c>
      <c r="BH109">
        <f t="shared" si="232"/>
        <v>43050</v>
      </c>
      <c r="BI109">
        <f>_xlfn.XLOOKUP(B109,'[6]august-2025'!$A:$A,'[6]august-2025'!$C:$C,0,0)</f>
        <v>34500</v>
      </c>
      <c r="BJ109">
        <f t="shared" si="233"/>
        <v>6210</v>
      </c>
      <c r="BK109">
        <f t="shared" si="234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35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196"/>
        <v>200</v>
      </c>
      <c r="BR109">
        <f t="shared" si="197"/>
        <v>43050</v>
      </c>
      <c r="BS109">
        <f>_xlfn.XLOOKUP(B109,'[7]september-2025'!$A:$A,'[7]september-2025'!$C:$C,0,0)</f>
        <v>34500</v>
      </c>
      <c r="BT109">
        <f t="shared" si="236"/>
        <v>6210</v>
      </c>
      <c r="BU109">
        <f t="shared" si="237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198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38"/>
        <v>200</v>
      </c>
      <c r="CB109">
        <f t="shared" si="239"/>
        <v>43050</v>
      </c>
      <c r="CC109">
        <f>_xlfn.XLOOKUP(B109,'[8]october-2025'!$A:$A,'[8]october-2025'!$C:$C,0,0)</f>
        <v>34500</v>
      </c>
      <c r="CD109">
        <f t="shared" si="240"/>
        <v>6210</v>
      </c>
      <c r="CE109">
        <f t="shared" si="241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199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42"/>
        <v>200</v>
      </c>
      <c r="CL109">
        <f t="shared" si="243"/>
        <v>43050</v>
      </c>
      <c r="CM109">
        <f>_xlfn.XLOOKUP(B109,'[9]november-2025'!$A:$A,'[9]november-2025'!$C:$C,0,0)</f>
        <v>34500</v>
      </c>
      <c r="CN109">
        <f t="shared" si="244"/>
        <v>6210</v>
      </c>
      <c r="CO109">
        <f t="shared" si="24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00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46"/>
        <v>200</v>
      </c>
      <c r="CV109">
        <f t="shared" si="247"/>
        <v>43050</v>
      </c>
      <c r="CW109">
        <f>_xlfn.XLOOKUP(B109,'[10]december-2025'!$A:$A,'[10]december-2025'!$C:$C,0,0)</f>
        <v>34500</v>
      </c>
      <c r="CX109">
        <f t="shared" si="248"/>
        <v>6210</v>
      </c>
      <c r="CY109">
        <f t="shared" si="249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0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50"/>
        <v>200</v>
      </c>
      <c r="DF109">
        <f t="shared" si="251"/>
        <v>43050</v>
      </c>
      <c r="DG109">
        <f>_xlfn.XLOOKUP(B109,'[11]january-2026'!$A:$A,'[11]january-2026'!$C:$C,0,0)</f>
        <v>34500</v>
      </c>
      <c r="DH109">
        <f t="shared" si="252"/>
        <v>6210</v>
      </c>
      <c r="DI109">
        <f t="shared" si="253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02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54"/>
        <v>200</v>
      </c>
      <c r="DP109">
        <f t="shared" si="255"/>
        <v>43050</v>
      </c>
      <c r="DQ109">
        <f>_xlfn.XLOOKUP(B109,'[12]february-2026'!$A:$A,'[12]february-2026'!$C:$C,0,0)</f>
        <v>34500</v>
      </c>
      <c r="DR109">
        <f t="shared" si="256"/>
        <v>6210</v>
      </c>
      <c r="DS109">
        <f t="shared" si="257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03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58"/>
        <v>200</v>
      </c>
      <c r="DZ109">
        <f t="shared" si="259"/>
        <v>43050</v>
      </c>
      <c r="EA109">
        <f>_xlfn.XLOOKUP(B109,'[1]march-2025'!$A:$A,'[1]march-2025'!$J:$J,0,0)</f>
        <v>0</v>
      </c>
      <c r="EB109">
        <f>_xlfn.XLOOKUP(B109,'[2]april-2025'!$A:$A,'[2]april-2025'!$J:$J,0,0)</f>
        <v>0</v>
      </c>
      <c r="EC109">
        <f>_xlfn.XLOOKUP(B109,'[3]may-2025'!$A:$A,'[3]may-2025'!$J:$J,0,0)</f>
        <v>0</v>
      </c>
      <c r="ED109">
        <f>_xlfn.XLOOKUP(B109,'[4]june-2025'!$A:$A,'[4]june-2025'!$J:$J,0,0)</f>
        <v>0</v>
      </c>
      <c r="EE109">
        <f>_xlfn.XLOOKUP(B109,'[5]july-2025'!$A:$A,'[5]july-2025'!$J:$J,0,0)</f>
        <v>0</v>
      </c>
      <c r="EF109">
        <f>_xlfn.XLOOKUP(B109,'[6]august-2025'!$A:$A,'[6]august-2025'!$J:$J,0,0)</f>
        <v>0</v>
      </c>
      <c r="EG109">
        <f>_xlfn.XLOOKUP(B109,'[7]september-2025'!$A:$A,'[7]september-2025'!$J:$J,0,0)</f>
        <v>0</v>
      </c>
      <c r="EH109">
        <f>_xlfn.XLOOKUP(B109,'[8]october-2025'!$A:$A,'[8]october-2025'!$J:$J,0,0)</f>
        <v>0</v>
      </c>
      <c r="EI109">
        <f>_xlfn.XLOOKUP(C109,'[9]november-2025'!$A:$A,'[9]november-2025'!$J:$J,0,0)</f>
        <v>0</v>
      </c>
      <c r="EJ109">
        <f>_xlfn.XLOOKUP(B109,'[10]december-2025'!$A:$A,'[10]december-2025'!$J:$J,0,0)</f>
        <v>0</v>
      </c>
      <c r="EK109">
        <f>_xlfn.XLOOKUP(B109,'[11]january-2026'!$A:$A,'[11]january-2026'!$J:$J,0,0)</f>
        <v>0</v>
      </c>
      <c r="EL109">
        <f>_xlfn.XLOOKUP(B109,'[12]february-2026'!$A:$A,'[12]february-2026'!$J:$J,0,0)</f>
        <v>0</v>
      </c>
      <c r="EM109">
        <f t="shared" si="260"/>
        <v>0</v>
      </c>
      <c r="EN109">
        <f t="shared" si="204"/>
        <v>549260</v>
      </c>
      <c r="EO109">
        <f t="shared" si="205"/>
        <v>2400</v>
      </c>
      <c r="EP109">
        <f t="shared" si="261"/>
        <v>50000</v>
      </c>
      <c r="EQ109">
        <v>0</v>
      </c>
      <c r="ER109">
        <f t="shared" si="262"/>
        <v>496860</v>
      </c>
      <c r="ES109">
        <f t="shared" si="206"/>
        <v>30000</v>
      </c>
      <c r="ET109">
        <f t="shared" si="207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263"/>
        <v>30000</v>
      </c>
      <c r="FF109">
        <f t="shared" si="264"/>
        <v>30000</v>
      </c>
      <c r="FG109">
        <f t="shared" si="265"/>
        <v>466860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208"/>
        <v>0</v>
      </c>
      <c r="FP109">
        <f t="shared" si="266"/>
        <v>466860</v>
      </c>
      <c r="FQ109">
        <f t="shared" si="267"/>
        <v>10843</v>
      </c>
      <c r="FR109">
        <f t="shared" si="268"/>
        <v>0</v>
      </c>
      <c r="FS109">
        <f t="shared" si="269"/>
        <v>10843</v>
      </c>
      <c r="FT109">
        <f t="shared" si="270"/>
        <v>0</v>
      </c>
      <c r="FU109">
        <f t="shared" si="271"/>
        <v>0</v>
      </c>
      <c r="FV109">
        <f t="shared" si="272"/>
        <v>0</v>
      </c>
      <c r="FW109">
        <v>0</v>
      </c>
      <c r="FX109">
        <f t="shared" si="273"/>
        <v>0</v>
      </c>
      <c r="FY109" t="b">
        <f t="shared" si="274"/>
        <v>1</v>
      </c>
      <c r="FZ109">
        <f t="shared" ca="1" si="275"/>
        <v>777</v>
      </c>
      <c r="GA109">
        <f t="shared" ca="1" si="276"/>
        <v>550037</v>
      </c>
      <c r="GB109">
        <f t="shared" si="277"/>
        <v>75000</v>
      </c>
      <c r="GC109">
        <f t="shared" ca="1" si="278"/>
        <v>475037</v>
      </c>
      <c r="GD109">
        <f t="shared" ca="1" si="279"/>
        <v>0</v>
      </c>
      <c r="GE109">
        <f t="shared" ca="1" si="280"/>
        <v>0</v>
      </c>
      <c r="GF109">
        <f t="shared" ca="1" si="281"/>
        <v>0</v>
      </c>
      <c r="GG109">
        <f t="shared" ca="1" si="282"/>
        <v>0</v>
      </c>
      <c r="GH109">
        <f t="shared" ca="1" si="283"/>
        <v>0</v>
      </c>
      <c r="GI109">
        <f t="shared" ca="1" si="284"/>
        <v>0</v>
      </c>
      <c r="GJ109">
        <f t="shared" ca="1" si="209"/>
        <v>0</v>
      </c>
      <c r="GK109">
        <f t="shared" ca="1" si="285"/>
        <v>0</v>
      </c>
      <c r="GL109">
        <f t="shared" ca="1" si="286"/>
        <v>0</v>
      </c>
      <c r="GM109">
        <f t="shared" ca="1" si="287"/>
        <v>0</v>
      </c>
      <c r="GN109">
        <f t="shared" ca="1" si="288"/>
        <v>75037</v>
      </c>
      <c r="GO109">
        <f t="shared" ca="1" si="289"/>
        <v>3751.8500000000004</v>
      </c>
      <c r="GP109">
        <f t="shared" ca="1" si="290"/>
        <v>3752</v>
      </c>
      <c r="GQ109">
        <f t="shared" ca="1" si="291"/>
        <v>0</v>
      </c>
      <c r="GR109">
        <f t="shared" ca="1" si="292"/>
        <v>0</v>
      </c>
      <c r="GS109">
        <f t="shared" ca="1" si="293"/>
        <v>3752</v>
      </c>
      <c r="GT109">
        <f t="shared" ca="1" si="294"/>
        <v>0</v>
      </c>
      <c r="GU109" t="b">
        <f t="shared" ca="1" si="295"/>
        <v>0</v>
      </c>
      <c r="GV109">
        <f t="shared" ca="1" si="296"/>
        <v>0</v>
      </c>
      <c r="GW109">
        <f t="shared" ca="1" si="297"/>
        <v>3752</v>
      </c>
      <c r="GX109">
        <f t="shared" ca="1" si="298"/>
        <v>0</v>
      </c>
      <c r="GY109">
        <f t="shared" ca="1" si="299"/>
        <v>0</v>
      </c>
      <c r="GZ109">
        <f t="shared" ca="1" si="300"/>
        <v>0</v>
      </c>
    </row>
    <row r="110" spans="1:208" x14ac:dyDescent="0.3">
      <c r="A110">
        <f>_xlfn.AGGREGATE(3,5,$B$2:B110)</f>
        <v>109</v>
      </c>
      <c r="B110" t="s">
        <v>334</v>
      </c>
      <c r="C110" t="s">
        <v>335</v>
      </c>
      <c r="D110" t="s">
        <v>778</v>
      </c>
      <c r="E110" t="s">
        <v>830</v>
      </c>
      <c r="F110" t="s">
        <v>956</v>
      </c>
      <c r="G110" t="s">
        <v>909</v>
      </c>
      <c r="H110">
        <f t="shared" si="302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1"/>
        <v>4690</v>
      </c>
      <c r="L110">
        <f t="shared" si="212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194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01"/>
        <v>200</v>
      </c>
      <c r="S110">
        <f t="shared" si="213"/>
        <v>40010</v>
      </c>
      <c r="T110">
        <f>_xlfn.XLOOKUP(B110,'[2]april-2025'!$A:$A,'[2]april-2025'!$C:$C,0,0)</f>
        <v>33500</v>
      </c>
      <c r="U110">
        <f t="shared" si="214"/>
        <v>6030</v>
      </c>
      <c r="V110">
        <f t="shared" si="215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16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17"/>
        <v>200</v>
      </c>
      <c r="AC110">
        <f t="shared" si="218"/>
        <v>41350</v>
      </c>
      <c r="AD110">
        <f>_xlfn.XLOOKUP(B110,'[3]may-2025'!$A:$A,'[3]may-2025'!$C:$C,0,0)</f>
        <v>33500</v>
      </c>
      <c r="AE110">
        <f t="shared" si="219"/>
        <v>6030</v>
      </c>
      <c r="AF110">
        <f t="shared" si="220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1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2"/>
        <v>200</v>
      </c>
      <c r="AM110">
        <f t="shared" si="223"/>
        <v>41350</v>
      </c>
      <c r="AN110">
        <f>_xlfn.XLOOKUP(B110,'[4]june-2025'!$A:$A,'[4]june-2025'!$C:$C,0,0)</f>
        <v>33500</v>
      </c>
      <c r="AO110">
        <f t="shared" si="224"/>
        <v>6030</v>
      </c>
      <c r="AP110">
        <f t="shared" si="225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26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27"/>
        <v>200</v>
      </c>
      <c r="AW110">
        <f t="shared" si="228"/>
        <v>41350</v>
      </c>
      <c r="AX110">
        <f>_xlfn.XLOOKUP(B110,'[5]july-2025'!$A:$A,'[5]july-2025'!$C:$C,0,0)</f>
        <v>34500</v>
      </c>
      <c r="AY110">
        <f t="shared" si="229"/>
        <v>6210</v>
      </c>
      <c r="AZ110">
        <v>0</v>
      </c>
      <c r="BA110">
        <f t="shared" si="230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195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1"/>
        <v>200</v>
      </c>
      <c r="BH110">
        <f t="shared" si="232"/>
        <v>42650</v>
      </c>
      <c r="BI110">
        <f>_xlfn.XLOOKUP(B110,'[6]august-2025'!$A:$A,'[6]august-2025'!$C:$C,0,0)</f>
        <v>34500</v>
      </c>
      <c r="BJ110">
        <f t="shared" si="233"/>
        <v>6210</v>
      </c>
      <c r="BK110">
        <f t="shared" si="234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35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196"/>
        <v>200</v>
      </c>
      <c r="BR110">
        <f t="shared" si="197"/>
        <v>42650</v>
      </c>
      <c r="BS110">
        <f>_xlfn.XLOOKUP(B110,'[7]september-2025'!$A:$A,'[7]september-2025'!$C:$C,0,0)</f>
        <v>34500</v>
      </c>
      <c r="BT110">
        <f t="shared" si="236"/>
        <v>6210</v>
      </c>
      <c r="BU110">
        <f t="shared" si="237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198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38"/>
        <v>200</v>
      </c>
      <c r="CB110">
        <f t="shared" si="239"/>
        <v>42650</v>
      </c>
      <c r="CC110">
        <f>_xlfn.XLOOKUP(B110,'[8]october-2025'!$A:$A,'[8]october-2025'!$C:$C,0,0)</f>
        <v>34500</v>
      </c>
      <c r="CD110">
        <f t="shared" si="240"/>
        <v>6210</v>
      </c>
      <c r="CE110">
        <f t="shared" si="241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199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42"/>
        <v>200</v>
      </c>
      <c r="CL110">
        <f t="shared" si="243"/>
        <v>42650</v>
      </c>
      <c r="CM110">
        <f>_xlfn.XLOOKUP(B110,'[9]november-2025'!$A:$A,'[9]november-2025'!$C:$C,0,0)</f>
        <v>34500</v>
      </c>
      <c r="CN110">
        <f t="shared" si="244"/>
        <v>6210</v>
      </c>
      <c r="CO110">
        <f t="shared" si="24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00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46"/>
        <v>200</v>
      </c>
      <c r="CV110">
        <f t="shared" si="247"/>
        <v>42650</v>
      </c>
      <c r="CW110">
        <f>_xlfn.XLOOKUP(B110,'[10]december-2025'!$A:$A,'[10]december-2025'!$C:$C,0,0)</f>
        <v>34500</v>
      </c>
      <c r="CX110">
        <f t="shared" si="248"/>
        <v>6210</v>
      </c>
      <c r="CY110">
        <f t="shared" si="249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0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50"/>
        <v>200</v>
      </c>
      <c r="DF110">
        <f t="shared" si="251"/>
        <v>42650</v>
      </c>
      <c r="DG110">
        <f>_xlfn.XLOOKUP(B110,'[11]january-2026'!$A:$A,'[11]january-2026'!$C:$C,0,0)</f>
        <v>34500</v>
      </c>
      <c r="DH110">
        <f t="shared" si="252"/>
        <v>6210</v>
      </c>
      <c r="DI110">
        <f t="shared" si="253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02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54"/>
        <v>200</v>
      </c>
      <c r="DP110">
        <f t="shared" si="255"/>
        <v>42650</v>
      </c>
      <c r="DQ110">
        <f>_xlfn.XLOOKUP(B110,'[12]february-2026'!$A:$A,'[12]february-2026'!$C:$C,0,0)</f>
        <v>34500</v>
      </c>
      <c r="DR110">
        <f t="shared" si="256"/>
        <v>6210</v>
      </c>
      <c r="DS110">
        <f t="shared" si="257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03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58"/>
        <v>200</v>
      </c>
      <c r="DZ110">
        <f t="shared" si="259"/>
        <v>42650</v>
      </c>
      <c r="EA110">
        <f>_xlfn.XLOOKUP(B110,'[1]march-2025'!$A:$A,'[1]march-2025'!$J:$J,0,0)</f>
        <v>0</v>
      </c>
      <c r="EB110">
        <f>_xlfn.XLOOKUP(B110,'[2]april-2025'!$A:$A,'[2]april-2025'!$J:$J,0,0)</f>
        <v>0</v>
      </c>
      <c r="EC110">
        <f>_xlfn.XLOOKUP(B110,'[3]may-2025'!$A:$A,'[3]may-2025'!$J:$J,0,0)</f>
        <v>0</v>
      </c>
      <c r="ED110">
        <f>_xlfn.XLOOKUP(B110,'[4]june-2025'!$A:$A,'[4]june-2025'!$J:$J,0,0)</f>
        <v>0</v>
      </c>
      <c r="EE110">
        <f>_xlfn.XLOOKUP(B110,'[5]july-2025'!$A:$A,'[5]july-2025'!$J:$J,0,0)</f>
        <v>0</v>
      </c>
      <c r="EF110">
        <f>_xlfn.XLOOKUP(B110,'[6]august-2025'!$A:$A,'[6]august-2025'!$J:$J,0,0)</f>
        <v>0</v>
      </c>
      <c r="EG110">
        <f>_xlfn.XLOOKUP(B110,'[7]september-2025'!$A:$A,'[7]september-2025'!$J:$J,0,0)</f>
        <v>0</v>
      </c>
      <c r="EH110">
        <f>_xlfn.XLOOKUP(B110,'[8]october-2025'!$A:$A,'[8]october-2025'!$J:$J,0,0)</f>
        <v>0</v>
      </c>
      <c r="EI110">
        <f>_xlfn.XLOOKUP(C110,'[9]november-2025'!$A:$A,'[9]november-2025'!$J:$J,0,0)</f>
        <v>0</v>
      </c>
      <c r="EJ110">
        <f>_xlfn.XLOOKUP(B110,'[10]december-2025'!$A:$A,'[10]december-2025'!$J:$J,0,0)</f>
        <v>0</v>
      </c>
      <c r="EK110">
        <f>_xlfn.XLOOKUP(B110,'[11]january-2026'!$A:$A,'[11]january-2026'!$J:$J,0,0)</f>
        <v>0</v>
      </c>
      <c r="EL110">
        <f>_xlfn.XLOOKUP(B110,'[12]february-2026'!$A:$A,'[12]february-2026'!$J:$J,0,0)</f>
        <v>0</v>
      </c>
      <c r="EM110">
        <f t="shared" si="260"/>
        <v>0</v>
      </c>
      <c r="EN110">
        <f t="shared" si="204"/>
        <v>544460</v>
      </c>
      <c r="EO110">
        <f t="shared" si="205"/>
        <v>2400</v>
      </c>
      <c r="EP110">
        <f t="shared" si="261"/>
        <v>50000</v>
      </c>
      <c r="EQ110">
        <v>0</v>
      </c>
      <c r="ER110">
        <f t="shared" si="262"/>
        <v>492060</v>
      </c>
      <c r="ES110">
        <f t="shared" si="206"/>
        <v>30000</v>
      </c>
      <c r="ET110">
        <f t="shared" si="207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263"/>
        <v>30000</v>
      </c>
      <c r="FF110">
        <f t="shared" si="264"/>
        <v>30000</v>
      </c>
      <c r="FG110">
        <f t="shared" si="265"/>
        <v>462060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208"/>
        <v>0</v>
      </c>
      <c r="FP110">
        <f t="shared" si="266"/>
        <v>462060</v>
      </c>
      <c r="FQ110">
        <f t="shared" si="267"/>
        <v>10603</v>
      </c>
      <c r="FR110">
        <f t="shared" si="268"/>
        <v>0</v>
      </c>
      <c r="FS110">
        <f t="shared" si="269"/>
        <v>10603</v>
      </c>
      <c r="FT110">
        <f t="shared" si="270"/>
        <v>0</v>
      </c>
      <c r="FU110">
        <f t="shared" si="271"/>
        <v>0</v>
      </c>
      <c r="FV110">
        <f t="shared" si="272"/>
        <v>0</v>
      </c>
      <c r="FW110">
        <v>0</v>
      </c>
      <c r="FX110">
        <f t="shared" si="273"/>
        <v>0</v>
      </c>
      <c r="FY110" t="b">
        <f t="shared" si="274"/>
        <v>1</v>
      </c>
      <c r="FZ110">
        <f t="shared" ca="1" si="275"/>
        <v>695</v>
      </c>
      <c r="GA110">
        <f t="shared" ca="1" si="276"/>
        <v>545155</v>
      </c>
      <c r="GB110">
        <f t="shared" si="277"/>
        <v>75000</v>
      </c>
      <c r="GC110">
        <f t="shared" ca="1" si="278"/>
        <v>470155</v>
      </c>
      <c r="GD110">
        <f t="shared" ca="1" si="279"/>
        <v>0</v>
      </c>
      <c r="GE110">
        <f t="shared" ca="1" si="280"/>
        <v>0</v>
      </c>
      <c r="GF110">
        <f t="shared" ca="1" si="281"/>
        <v>0</v>
      </c>
      <c r="GG110">
        <f t="shared" ca="1" si="282"/>
        <v>0</v>
      </c>
      <c r="GH110">
        <f t="shared" ca="1" si="283"/>
        <v>0</v>
      </c>
      <c r="GI110">
        <f t="shared" ca="1" si="284"/>
        <v>0</v>
      </c>
      <c r="GJ110">
        <f t="shared" ca="1" si="209"/>
        <v>0</v>
      </c>
      <c r="GK110">
        <f t="shared" ca="1" si="285"/>
        <v>0</v>
      </c>
      <c r="GL110">
        <f t="shared" ca="1" si="286"/>
        <v>0</v>
      </c>
      <c r="GM110">
        <f t="shared" ca="1" si="287"/>
        <v>0</v>
      </c>
      <c r="GN110">
        <f t="shared" ca="1" si="288"/>
        <v>70155</v>
      </c>
      <c r="GO110">
        <f t="shared" ca="1" si="289"/>
        <v>3507.75</v>
      </c>
      <c r="GP110">
        <f t="shared" ca="1" si="290"/>
        <v>3508</v>
      </c>
      <c r="GQ110">
        <f t="shared" ca="1" si="291"/>
        <v>0</v>
      </c>
      <c r="GR110">
        <f t="shared" ca="1" si="292"/>
        <v>0</v>
      </c>
      <c r="GS110">
        <f t="shared" ca="1" si="293"/>
        <v>3508</v>
      </c>
      <c r="GT110">
        <f t="shared" ca="1" si="294"/>
        <v>0</v>
      </c>
      <c r="GU110" t="b">
        <f t="shared" ca="1" si="295"/>
        <v>0</v>
      </c>
      <c r="GV110">
        <f t="shared" ca="1" si="296"/>
        <v>0</v>
      </c>
      <c r="GW110">
        <f t="shared" ca="1" si="297"/>
        <v>3508</v>
      </c>
      <c r="GX110">
        <f t="shared" ca="1" si="298"/>
        <v>0</v>
      </c>
      <c r="GY110">
        <f t="shared" ca="1" si="299"/>
        <v>0</v>
      </c>
      <c r="GZ110">
        <f t="shared" ca="1" si="300"/>
        <v>0</v>
      </c>
    </row>
    <row r="111" spans="1:208" x14ac:dyDescent="0.3">
      <c r="A111">
        <f>_xlfn.AGGREGATE(3,5,$B$2:B111)</f>
        <v>110</v>
      </c>
      <c r="B111" t="s">
        <v>336</v>
      </c>
      <c r="C111" t="s">
        <v>337</v>
      </c>
      <c r="D111" t="s">
        <v>778</v>
      </c>
      <c r="E111" t="s">
        <v>830</v>
      </c>
      <c r="F111" t="s">
        <v>956</v>
      </c>
      <c r="G111" t="s">
        <v>883</v>
      </c>
      <c r="H111">
        <f t="shared" si="302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1"/>
        <v>4424</v>
      </c>
      <c r="L111">
        <f t="shared" si="212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194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01"/>
        <v>150</v>
      </c>
      <c r="S111">
        <f t="shared" si="213"/>
        <v>37666</v>
      </c>
      <c r="T111">
        <f>_xlfn.XLOOKUP(B111,'[2]april-2025'!$A:$A,'[2]april-2025'!$C:$C,0,0)</f>
        <v>31600</v>
      </c>
      <c r="U111">
        <f t="shared" si="214"/>
        <v>5688</v>
      </c>
      <c r="V111">
        <f t="shared" si="215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16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17"/>
        <v>200</v>
      </c>
      <c r="AC111">
        <f t="shared" si="218"/>
        <v>38880</v>
      </c>
      <c r="AD111">
        <f>_xlfn.XLOOKUP(B111,'[3]may-2025'!$A:$A,'[3]may-2025'!$C:$C,0,0)</f>
        <v>31600</v>
      </c>
      <c r="AE111">
        <f t="shared" si="219"/>
        <v>5688</v>
      </c>
      <c r="AF111">
        <f t="shared" si="220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1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2"/>
        <v>200</v>
      </c>
      <c r="AM111">
        <f t="shared" si="223"/>
        <v>38880</v>
      </c>
      <c r="AN111">
        <f>_xlfn.XLOOKUP(B111,'[4]june-2025'!$A:$A,'[4]june-2025'!$C:$C,0,0)</f>
        <v>31600</v>
      </c>
      <c r="AO111">
        <f t="shared" si="224"/>
        <v>5688</v>
      </c>
      <c r="AP111">
        <f t="shared" si="225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26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27"/>
        <v>200</v>
      </c>
      <c r="AW111">
        <f t="shared" si="228"/>
        <v>38880</v>
      </c>
      <c r="AX111">
        <f>_xlfn.XLOOKUP(B111,'[5]july-2025'!$A:$A,'[5]july-2025'!$C:$C,0,0)</f>
        <v>32500</v>
      </c>
      <c r="AY111">
        <f t="shared" si="229"/>
        <v>5850</v>
      </c>
      <c r="AZ111">
        <v>0</v>
      </c>
      <c r="BA111">
        <f t="shared" si="230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195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1"/>
        <v>200</v>
      </c>
      <c r="BH111">
        <f t="shared" si="232"/>
        <v>40050</v>
      </c>
      <c r="BI111">
        <f>_xlfn.XLOOKUP(B111,'[6]august-2025'!$A:$A,'[6]august-2025'!$C:$C,0,0)</f>
        <v>32500</v>
      </c>
      <c r="BJ111">
        <f t="shared" si="233"/>
        <v>5850</v>
      </c>
      <c r="BK111">
        <f t="shared" si="234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35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196"/>
        <v>200</v>
      </c>
      <c r="BR111">
        <f t="shared" si="197"/>
        <v>40050</v>
      </c>
      <c r="BS111">
        <f>_xlfn.XLOOKUP(B111,'[7]september-2025'!$A:$A,'[7]september-2025'!$C:$C,0,0)</f>
        <v>32500</v>
      </c>
      <c r="BT111">
        <f t="shared" si="236"/>
        <v>5850</v>
      </c>
      <c r="BU111">
        <f t="shared" si="237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198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38"/>
        <v>200</v>
      </c>
      <c r="CB111">
        <f t="shared" si="239"/>
        <v>40050</v>
      </c>
      <c r="CC111">
        <f>_xlfn.XLOOKUP(B111,'[8]october-2025'!$A:$A,'[8]october-2025'!$C:$C,0,0)</f>
        <v>32500</v>
      </c>
      <c r="CD111">
        <f t="shared" si="240"/>
        <v>5850</v>
      </c>
      <c r="CE111">
        <f t="shared" si="241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199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42"/>
        <v>200</v>
      </c>
      <c r="CL111">
        <f t="shared" si="243"/>
        <v>40050</v>
      </c>
      <c r="CM111">
        <f>_xlfn.XLOOKUP(B111,'[9]november-2025'!$A:$A,'[9]november-2025'!$C:$C,0,0)</f>
        <v>32500</v>
      </c>
      <c r="CN111">
        <f t="shared" si="244"/>
        <v>5850</v>
      </c>
      <c r="CO111">
        <f t="shared" si="24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00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46"/>
        <v>200</v>
      </c>
      <c r="CV111">
        <f t="shared" si="247"/>
        <v>40050</v>
      </c>
      <c r="CW111">
        <f>_xlfn.XLOOKUP(B111,'[10]december-2025'!$A:$A,'[10]december-2025'!$C:$C,0,0)</f>
        <v>32500</v>
      </c>
      <c r="CX111">
        <f t="shared" si="248"/>
        <v>5850</v>
      </c>
      <c r="CY111">
        <f t="shared" si="249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0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50"/>
        <v>200</v>
      </c>
      <c r="DF111">
        <f t="shared" si="251"/>
        <v>40050</v>
      </c>
      <c r="DG111">
        <f>_xlfn.XLOOKUP(B111,'[11]january-2026'!$A:$A,'[11]january-2026'!$C:$C,0,0)</f>
        <v>32500</v>
      </c>
      <c r="DH111">
        <f t="shared" si="252"/>
        <v>5850</v>
      </c>
      <c r="DI111">
        <f t="shared" si="253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02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54"/>
        <v>200</v>
      </c>
      <c r="DP111">
        <f t="shared" si="255"/>
        <v>40050</v>
      </c>
      <c r="DQ111">
        <f>_xlfn.XLOOKUP(B111,'[12]february-2026'!$A:$A,'[12]february-2026'!$C:$C,0,0)</f>
        <v>32500</v>
      </c>
      <c r="DR111">
        <f t="shared" si="256"/>
        <v>5850</v>
      </c>
      <c r="DS111">
        <f t="shared" si="257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03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58"/>
        <v>200</v>
      </c>
      <c r="DZ111">
        <f t="shared" si="259"/>
        <v>40050</v>
      </c>
      <c r="EA111">
        <f>_xlfn.XLOOKUP(B111,'[1]march-2025'!$A:$A,'[1]march-2025'!$J:$J,0,0)</f>
        <v>0</v>
      </c>
      <c r="EB111">
        <f>_xlfn.XLOOKUP(B111,'[2]april-2025'!$A:$A,'[2]april-2025'!$J:$J,0,0)</f>
        <v>0</v>
      </c>
      <c r="EC111">
        <f>_xlfn.XLOOKUP(B111,'[3]may-2025'!$A:$A,'[3]may-2025'!$J:$J,0,0)</f>
        <v>0</v>
      </c>
      <c r="ED111">
        <f>_xlfn.XLOOKUP(B111,'[4]june-2025'!$A:$A,'[4]june-2025'!$J:$J,0,0)</f>
        <v>0</v>
      </c>
      <c r="EE111">
        <f>_xlfn.XLOOKUP(B111,'[5]july-2025'!$A:$A,'[5]july-2025'!$J:$J,0,0)</f>
        <v>0</v>
      </c>
      <c r="EF111">
        <f>_xlfn.XLOOKUP(B111,'[6]august-2025'!$A:$A,'[6]august-2025'!$J:$J,0,0)</f>
        <v>0</v>
      </c>
      <c r="EG111">
        <f>_xlfn.XLOOKUP(B111,'[7]september-2025'!$A:$A,'[7]september-2025'!$J:$J,0,0)</f>
        <v>0</v>
      </c>
      <c r="EH111">
        <f>_xlfn.XLOOKUP(B111,'[8]october-2025'!$A:$A,'[8]october-2025'!$J:$J,0,0)</f>
        <v>0</v>
      </c>
      <c r="EI111">
        <f>_xlfn.XLOOKUP(C111,'[9]november-2025'!$A:$A,'[9]november-2025'!$J:$J,0,0)</f>
        <v>0</v>
      </c>
      <c r="EJ111">
        <f>_xlfn.XLOOKUP(B111,'[10]december-2025'!$A:$A,'[10]december-2025'!$J:$J,0,0)</f>
        <v>0</v>
      </c>
      <c r="EK111">
        <f>_xlfn.XLOOKUP(B111,'[11]january-2026'!$A:$A,'[11]january-2026'!$J:$J,0,0)</f>
        <v>0</v>
      </c>
      <c r="EL111">
        <f>_xlfn.XLOOKUP(B111,'[12]february-2026'!$A:$A,'[12]february-2026'!$J:$J,0,0)</f>
        <v>0</v>
      </c>
      <c r="EM111">
        <f t="shared" si="260"/>
        <v>0</v>
      </c>
      <c r="EN111">
        <f t="shared" si="204"/>
        <v>507856</v>
      </c>
      <c r="EO111">
        <f t="shared" si="205"/>
        <v>2350</v>
      </c>
      <c r="EP111">
        <f t="shared" si="261"/>
        <v>50000</v>
      </c>
      <c r="EQ111">
        <v>0</v>
      </c>
      <c r="ER111">
        <f t="shared" si="262"/>
        <v>455506</v>
      </c>
      <c r="ES111">
        <f t="shared" si="206"/>
        <v>24000</v>
      </c>
      <c r="ET111">
        <f t="shared" si="207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263"/>
        <v>24000</v>
      </c>
      <c r="FF111">
        <f t="shared" si="264"/>
        <v>24000</v>
      </c>
      <c r="FG111">
        <f t="shared" si="265"/>
        <v>431506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208"/>
        <v>0</v>
      </c>
      <c r="FP111">
        <f t="shared" si="266"/>
        <v>431506</v>
      </c>
      <c r="FQ111">
        <f t="shared" si="267"/>
        <v>9075</v>
      </c>
      <c r="FR111">
        <f t="shared" si="268"/>
        <v>0</v>
      </c>
      <c r="FS111">
        <f t="shared" si="269"/>
        <v>9075</v>
      </c>
      <c r="FT111">
        <f t="shared" si="270"/>
        <v>0</v>
      </c>
      <c r="FU111">
        <f t="shared" si="271"/>
        <v>0</v>
      </c>
      <c r="FV111">
        <f t="shared" si="272"/>
        <v>0</v>
      </c>
      <c r="FW111">
        <v>0</v>
      </c>
      <c r="FX111">
        <f t="shared" si="273"/>
        <v>0</v>
      </c>
      <c r="FY111" t="b">
        <f t="shared" si="274"/>
        <v>1</v>
      </c>
      <c r="FZ111">
        <f t="shared" ca="1" si="275"/>
        <v>778</v>
      </c>
      <c r="GA111">
        <f t="shared" ca="1" si="276"/>
        <v>508634</v>
      </c>
      <c r="GB111">
        <f t="shared" si="277"/>
        <v>75000</v>
      </c>
      <c r="GC111">
        <f t="shared" ca="1" si="278"/>
        <v>433634</v>
      </c>
      <c r="GD111">
        <f t="shared" ca="1" si="279"/>
        <v>0</v>
      </c>
      <c r="GE111">
        <f t="shared" ca="1" si="280"/>
        <v>0</v>
      </c>
      <c r="GF111">
        <f t="shared" ca="1" si="281"/>
        <v>0</v>
      </c>
      <c r="GG111">
        <f t="shared" ca="1" si="282"/>
        <v>0</v>
      </c>
      <c r="GH111">
        <f t="shared" ca="1" si="283"/>
        <v>0</v>
      </c>
      <c r="GI111">
        <f t="shared" ca="1" si="284"/>
        <v>0</v>
      </c>
      <c r="GJ111">
        <f t="shared" ca="1" si="209"/>
        <v>0</v>
      </c>
      <c r="GK111">
        <f t="shared" ca="1" si="285"/>
        <v>0</v>
      </c>
      <c r="GL111">
        <f t="shared" ca="1" si="286"/>
        <v>0</v>
      </c>
      <c r="GM111">
        <f t="shared" ca="1" si="287"/>
        <v>0</v>
      </c>
      <c r="GN111">
        <f t="shared" ca="1" si="288"/>
        <v>33634</v>
      </c>
      <c r="GO111">
        <f t="shared" ca="1" si="289"/>
        <v>1681.7</v>
      </c>
      <c r="GP111">
        <f t="shared" ca="1" si="290"/>
        <v>1682</v>
      </c>
      <c r="GQ111">
        <f t="shared" ca="1" si="291"/>
        <v>0</v>
      </c>
      <c r="GR111">
        <f t="shared" ca="1" si="292"/>
        <v>0</v>
      </c>
      <c r="GS111">
        <f t="shared" ca="1" si="293"/>
        <v>1682</v>
      </c>
      <c r="GT111">
        <f t="shared" ca="1" si="294"/>
        <v>0</v>
      </c>
      <c r="GU111" t="b">
        <f t="shared" ca="1" si="295"/>
        <v>0</v>
      </c>
      <c r="GV111">
        <f t="shared" ca="1" si="296"/>
        <v>0</v>
      </c>
      <c r="GW111">
        <f t="shared" ca="1" si="297"/>
        <v>1682</v>
      </c>
      <c r="GX111">
        <f t="shared" ca="1" si="298"/>
        <v>0</v>
      </c>
      <c r="GY111">
        <f t="shared" ca="1" si="299"/>
        <v>0</v>
      </c>
      <c r="GZ111">
        <f t="shared" ca="1" si="300"/>
        <v>0</v>
      </c>
    </row>
    <row r="112" spans="1:208" x14ac:dyDescent="0.3">
      <c r="A112">
        <f>_xlfn.AGGREGATE(3,5,$B$2:B112)</f>
        <v>111</v>
      </c>
      <c r="B112" t="s">
        <v>338</v>
      </c>
      <c r="C112" t="s">
        <v>339</v>
      </c>
      <c r="D112" t="s">
        <v>779</v>
      </c>
      <c r="E112" t="s">
        <v>831</v>
      </c>
      <c r="F112" t="s">
        <v>956</v>
      </c>
      <c r="G112" t="s">
        <v>884</v>
      </c>
      <c r="H112">
        <f t="shared" si="302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1"/>
        <v>7238.0000000000009</v>
      </c>
      <c r="L112">
        <f t="shared" si="212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194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01"/>
        <v>200</v>
      </c>
      <c r="S112">
        <f t="shared" si="213"/>
        <v>55782</v>
      </c>
      <c r="T112">
        <f>_xlfn.XLOOKUP(B112,'[2]april-2025'!$A:$A,'[2]april-2025'!$C:$C,0,0)</f>
        <v>51700</v>
      </c>
      <c r="U112">
        <f t="shared" si="214"/>
        <v>9306</v>
      </c>
      <c r="V112">
        <f t="shared" si="215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16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17"/>
        <v>200</v>
      </c>
      <c r="AC112">
        <f t="shared" si="218"/>
        <v>57850</v>
      </c>
      <c r="AD112">
        <f>_xlfn.XLOOKUP(B112,'[3]may-2025'!$A:$A,'[3]may-2025'!$C:$C,0,0)</f>
        <v>51700</v>
      </c>
      <c r="AE112">
        <f t="shared" si="219"/>
        <v>9306</v>
      </c>
      <c r="AF112">
        <f t="shared" si="220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1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2"/>
        <v>200</v>
      </c>
      <c r="AM112">
        <f t="shared" si="223"/>
        <v>57850</v>
      </c>
      <c r="AN112">
        <f>_xlfn.XLOOKUP(B112,'[4]june-2025'!$A:$A,'[4]june-2025'!$C:$C,0,0)</f>
        <v>51700</v>
      </c>
      <c r="AO112">
        <f t="shared" si="224"/>
        <v>9306</v>
      </c>
      <c r="AP112">
        <f t="shared" si="225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26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27"/>
        <v>200</v>
      </c>
      <c r="AW112">
        <f t="shared" si="228"/>
        <v>57850</v>
      </c>
      <c r="AX112">
        <f>_xlfn.XLOOKUP(B112,'[5]july-2025'!$A:$A,'[5]july-2025'!$C:$C,0,0)</f>
        <v>53300</v>
      </c>
      <c r="AY112">
        <f t="shared" si="229"/>
        <v>9594</v>
      </c>
      <c r="AZ112">
        <v>0</v>
      </c>
      <c r="BA112">
        <f t="shared" si="230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195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1"/>
        <v>200</v>
      </c>
      <c r="BH112">
        <f t="shared" si="232"/>
        <v>59930</v>
      </c>
      <c r="BI112">
        <f>_xlfn.XLOOKUP(B112,'[6]august-2025'!$A:$A,'[6]august-2025'!$C:$C,0,0)</f>
        <v>53300</v>
      </c>
      <c r="BJ112">
        <f t="shared" si="233"/>
        <v>9594</v>
      </c>
      <c r="BK112">
        <f t="shared" si="234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35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196"/>
        <v>200</v>
      </c>
      <c r="BR112">
        <f t="shared" si="197"/>
        <v>59930</v>
      </c>
      <c r="BS112">
        <f>_xlfn.XLOOKUP(B112,'[7]september-2025'!$A:$A,'[7]september-2025'!$C:$C,0,0)</f>
        <v>53300</v>
      </c>
      <c r="BT112">
        <f t="shared" si="236"/>
        <v>9594</v>
      </c>
      <c r="BU112">
        <f t="shared" si="237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198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38"/>
        <v>200</v>
      </c>
      <c r="CB112">
        <f t="shared" si="239"/>
        <v>59930</v>
      </c>
      <c r="CC112">
        <f>_xlfn.XLOOKUP(B112,'[8]october-2025'!$A:$A,'[8]october-2025'!$C:$C,0,0)</f>
        <v>53300</v>
      </c>
      <c r="CD112">
        <f t="shared" si="240"/>
        <v>9594</v>
      </c>
      <c r="CE112">
        <f t="shared" si="241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199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42"/>
        <v>200</v>
      </c>
      <c r="CL112">
        <f t="shared" si="243"/>
        <v>59930</v>
      </c>
      <c r="CM112">
        <f>_xlfn.XLOOKUP(B112,'[9]november-2025'!$A:$A,'[9]november-2025'!$C:$C,0,0)</f>
        <v>53300</v>
      </c>
      <c r="CN112">
        <f t="shared" si="244"/>
        <v>9594</v>
      </c>
      <c r="CO112">
        <f t="shared" si="24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00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46"/>
        <v>200</v>
      </c>
      <c r="CV112">
        <f t="shared" si="247"/>
        <v>59930</v>
      </c>
      <c r="CW112">
        <f>_xlfn.XLOOKUP(B112,'[10]december-2025'!$A:$A,'[10]december-2025'!$C:$C,0,0)</f>
        <v>53300</v>
      </c>
      <c r="CX112">
        <f t="shared" si="248"/>
        <v>9594</v>
      </c>
      <c r="CY112">
        <f t="shared" si="249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0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50"/>
        <v>200</v>
      </c>
      <c r="DF112">
        <f t="shared" si="251"/>
        <v>59930</v>
      </c>
      <c r="DG112">
        <f>_xlfn.XLOOKUP(B112,'[11]january-2026'!$A:$A,'[11]january-2026'!$C:$C,0,0)</f>
        <v>53300</v>
      </c>
      <c r="DH112">
        <f t="shared" si="252"/>
        <v>9594</v>
      </c>
      <c r="DI112">
        <f t="shared" si="253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02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54"/>
        <v>200</v>
      </c>
      <c r="DP112">
        <f t="shared" si="255"/>
        <v>59930</v>
      </c>
      <c r="DQ112">
        <f>_xlfn.XLOOKUP(B112,'[12]february-2026'!$A:$A,'[12]february-2026'!$C:$C,0,0)</f>
        <v>53300</v>
      </c>
      <c r="DR112">
        <f t="shared" si="256"/>
        <v>9594</v>
      </c>
      <c r="DS112">
        <f t="shared" si="257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03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58"/>
        <v>200</v>
      </c>
      <c r="DZ112">
        <f t="shared" si="259"/>
        <v>59930</v>
      </c>
      <c r="EA112">
        <f>_xlfn.XLOOKUP(B112,'[1]march-2025'!$A:$A,'[1]march-2025'!$J:$J,0,0)</f>
        <v>0</v>
      </c>
      <c r="EB112">
        <f>_xlfn.XLOOKUP(B112,'[2]april-2025'!$A:$A,'[2]april-2025'!$J:$J,0,0)</f>
        <v>0</v>
      </c>
      <c r="EC112">
        <f>_xlfn.XLOOKUP(B112,'[3]may-2025'!$A:$A,'[3]may-2025'!$J:$J,0,0)</f>
        <v>0</v>
      </c>
      <c r="ED112">
        <f>_xlfn.XLOOKUP(B112,'[4]june-2025'!$A:$A,'[4]june-2025'!$J:$J,0,0)</f>
        <v>0</v>
      </c>
      <c r="EE112">
        <f>_xlfn.XLOOKUP(B112,'[5]july-2025'!$A:$A,'[5]july-2025'!$J:$J,0,0)</f>
        <v>0</v>
      </c>
      <c r="EF112">
        <f>_xlfn.XLOOKUP(B112,'[6]august-2025'!$A:$A,'[6]august-2025'!$J:$J,0,0)</f>
        <v>0</v>
      </c>
      <c r="EG112">
        <f>_xlfn.XLOOKUP(B112,'[7]september-2025'!$A:$A,'[7]september-2025'!$J:$J,0,0)</f>
        <v>0</v>
      </c>
      <c r="EH112">
        <f>_xlfn.XLOOKUP(B112,'[8]october-2025'!$A:$A,'[8]october-2025'!$J:$J,0,0)</f>
        <v>0</v>
      </c>
      <c r="EI112">
        <f>_xlfn.XLOOKUP(C112,'[9]november-2025'!$A:$A,'[9]november-2025'!$J:$J,0,0)</f>
        <v>0</v>
      </c>
      <c r="EJ112">
        <f>_xlfn.XLOOKUP(B112,'[10]december-2025'!$A:$A,'[10]december-2025'!$J:$J,0,0)</f>
        <v>0</v>
      </c>
      <c r="EK112">
        <f>_xlfn.XLOOKUP(B112,'[11]january-2026'!$A:$A,'[11]january-2026'!$J:$J,0,0)</f>
        <v>0</v>
      </c>
      <c r="EL112">
        <f>_xlfn.XLOOKUP(B112,'[12]february-2026'!$A:$A,'[12]february-2026'!$J:$J,0,0)</f>
        <v>0</v>
      </c>
      <c r="EM112">
        <f t="shared" si="260"/>
        <v>0</v>
      </c>
      <c r="EN112">
        <f t="shared" si="204"/>
        <v>838692</v>
      </c>
      <c r="EO112">
        <f t="shared" si="205"/>
        <v>2400</v>
      </c>
      <c r="EP112">
        <f t="shared" si="261"/>
        <v>50000</v>
      </c>
      <c r="EQ112">
        <v>0</v>
      </c>
      <c r="ER112">
        <f t="shared" si="262"/>
        <v>786292</v>
      </c>
      <c r="ES112">
        <f t="shared" si="206"/>
        <v>120000</v>
      </c>
      <c r="ET112">
        <f t="shared" si="207"/>
        <v>720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263"/>
        <v>120720</v>
      </c>
      <c r="FF112">
        <f t="shared" si="264"/>
        <v>120720</v>
      </c>
      <c r="FG112">
        <f t="shared" si="265"/>
        <v>665572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208"/>
        <v>0</v>
      </c>
      <c r="FP112">
        <f t="shared" si="266"/>
        <v>665572</v>
      </c>
      <c r="FQ112">
        <f t="shared" si="267"/>
        <v>12500</v>
      </c>
      <c r="FR112">
        <f t="shared" si="268"/>
        <v>33114</v>
      </c>
      <c r="FS112">
        <f t="shared" si="269"/>
        <v>45614</v>
      </c>
      <c r="FT112">
        <f t="shared" si="270"/>
        <v>45614</v>
      </c>
      <c r="FU112">
        <f t="shared" si="271"/>
        <v>1824.56</v>
      </c>
      <c r="FV112">
        <f t="shared" si="272"/>
        <v>47439</v>
      </c>
      <c r="FW112">
        <v>0</v>
      </c>
      <c r="FX112">
        <f t="shared" si="273"/>
        <v>47439</v>
      </c>
      <c r="FY112" t="b">
        <f t="shared" si="274"/>
        <v>1</v>
      </c>
      <c r="FZ112">
        <f t="shared" ca="1" si="275"/>
        <v>620</v>
      </c>
      <c r="GA112">
        <f t="shared" ca="1" si="276"/>
        <v>839312</v>
      </c>
      <c r="GB112">
        <f t="shared" si="277"/>
        <v>75000</v>
      </c>
      <c r="GC112">
        <f t="shared" ca="1" si="278"/>
        <v>764312</v>
      </c>
      <c r="GD112">
        <f t="shared" ca="1" si="279"/>
        <v>0</v>
      </c>
      <c r="GE112">
        <f t="shared" ca="1" si="280"/>
        <v>0</v>
      </c>
      <c r="GF112">
        <f t="shared" ca="1" si="281"/>
        <v>0</v>
      </c>
      <c r="GG112">
        <f t="shared" ca="1" si="282"/>
        <v>0</v>
      </c>
      <c r="GH112">
        <f t="shared" ca="1" si="283"/>
        <v>0</v>
      </c>
      <c r="GI112">
        <f t="shared" ca="1" si="284"/>
        <v>0</v>
      </c>
      <c r="GJ112">
        <f t="shared" ca="1" si="209"/>
        <v>0</v>
      </c>
      <c r="GK112">
        <f t="shared" ca="1" si="285"/>
        <v>0</v>
      </c>
      <c r="GL112">
        <f t="shared" ca="1" si="286"/>
        <v>0</v>
      </c>
      <c r="GM112">
        <f t="shared" ca="1" si="287"/>
        <v>0</v>
      </c>
      <c r="GN112">
        <f t="shared" ca="1" si="288"/>
        <v>364312</v>
      </c>
      <c r="GO112">
        <f t="shared" ca="1" si="289"/>
        <v>18215.600000000002</v>
      </c>
      <c r="GP112">
        <f t="shared" ca="1" si="290"/>
        <v>18216</v>
      </c>
      <c r="GQ112">
        <f t="shared" ca="1" si="291"/>
        <v>0</v>
      </c>
      <c r="GR112">
        <f t="shared" ca="1" si="292"/>
        <v>0</v>
      </c>
      <c r="GS112">
        <f t="shared" ca="1" si="293"/>
        <v>18216</v>
      </c>
      <c r="GT112">
        <f t="shared" ca="1" si="294"/>
        <v>0</v>
      </c>
      <c r="GU112" t="b">
        <f t="shared" ca="1" si="295"/>
        <v>0</v>
      </c>
      <c r="GV112">
        <f t="shared" ca="1" si="296"/>
        <v>0</v>
      </c>
      <c r="GW112">
        <f t="shared" ca="1" si="297"/>
        <v>18216</v>
      </c>
      <c r="GX112">
        <f t="shared" ca="1" si="298"/>
        <v>0</v>
      </c>
      <c r="GY112">
        <f t="shared" ca="1" si="299"/>
        <v>0</v>
      </c>
      <c r="GZ112">
        <f t="shared" ca="1" si="300"/>
        <v>0</v>
      </c>
    </row>
    <row r="113" spans="1:208" x14ac:dyDescent="0.3">
      <c r="A113">
        <f>_xlfn.AGGREGATE(3,5,$B$2:B113)</f>
        <v>112</v>
      </c>
      <c r="B113" t="s">
        <v>340</v>
      </c>
      <c r="C113" t="s">
        <v>341</v>
      </c>
      <c r="D113" t="s">
        <v>779</v>
      </c>
      <c r="E113" t="s">
        <v>831</v>
      </c>
      <c r="F113" t="s">
        <v>956</v>
      </c>
      <c r="G113" t="s">
        <v>904</v>
      </c>
      <c r="H113">
        <f t="shared" si="302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1"/>
        <v>5278.0000000000009</v>
      </c>
      <c r="L113">
        <f t="shared" si="212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194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01"/>
        <v>200</v>
      </c>
      <c r="S113">
        <f t="shared" si="213"/>
        <v>42802</v>
      </c>
      <c r="T113">
        <f>_xlfn.XLOOKUP(B113,'[2]april-2025'!$A:$A,'[2]april-2025'!$C:$C,0,0)</f>
        <v>37700</v>
      </c>
      <c r="U113">
        <f t="shared" si="214"/>
        <v>6786</v>
      </c>
      <c r="V113">
        <f t="shared" si="215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16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17"/>
        <v>200</v>
      </c>
      <c r="AC113">
        <f t="shared" si="218"/>
        <v>44310</v>
      </c>
      <c r="AD113">
        <f>_xlfn.XLOOKUP(B113,'[3]may-2025'!$A:$A,'[3]may-2025'!$C:$C,0,0)</f>
        <v>37700</v>
      </c>
      <c r="AE113">
        <f t="shared" si="219"/>
        <v>6786</v>
      </c>
      <c r="AF113">
        <f t="shared" si="220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1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2"/>
        <v>200</v>
      </c>
      <c r="AM113">
        <f t="shared" si="223"/>
        <v>44310</v>
      </c>
      <c r="AN113">
        <f>_xlfn.XLOOKUP(B113,'[4]june-2025'!$A:$A,'[4]june-2025'!$C:$C,0,0)</f>
        <v>37700</v>
      </c>
      <c r="AO113">
        <f t="shared" si="224"/>
        <v>6786</v>
      </c>
      <c r="AP113">
        <f t="shared" si="225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26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27"/>
        <v>200</v>
      </c>
      <c r="AW113">
        <f t="shared" si="228"/>
        <v>44310</v>
      </c>
      <c r="AX113">
        <f>_xlfn.XLOOKUP(B113,'[5]july-2025'!$A:$A,'[5]july-2025'!$C:$C,0,0)</f>
        <v>38800</v>
      </c>
      <c r="AY113">
        <f t="shared" si="229"/>
        <v>6984</v>
      </c>
      <c r="AZ113">
        <v>0</v>
      </c>
      <c r="BA113">
        <f t="shared" si="230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195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1"/>
        <v>200</v>
      </c>
      <c r="BH113">
        <f t="shared" si="232"/>
        <v>45740</v>
      </c>
      <c r="BI113">
        <f>_xlfn.XLOOKUP(B113,'[6]august-2025'!$A:$A,'[6]august-2025'!$C:$C,0,0)</f>
        <v>38800</v>
      </c>
      <c r="BJ113">
        <f t="shared" si="233"/>
        <v>6984</v>
      </c>
      <c r="BK113">
        <f t="shared" si="234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35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196"/>
        <v>200</v>
      </c>
      <c r="BR113">
        <f t="shared" si="197"/>
        <v>45740</v>
      </c>
      <c r="BS113">
        <f>_xlfn.XLOOKUP(B113,'[7]september-2025'!$A:$A,'[7]september-2025'!$C:$C,0,0)</f>
        <v>38800</v>
      </c>
      <c r="BT113">
        <f t="shared" si="236"/>
        <v>6984</v>
      </c>
      <c r="BU113">
        <f t="shared" si="237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198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38"/>
        <v>200</v>
      </c>
      <c r="CB113">
        <f t="shared" si="239"/>
        <v>45740</v>
      </c>
      <c r="CC113">
        <f>_xlfn.XLOOKUP(B113,'[8]october-2025'!$A:$A,'[8]october-2025'!$C:$C,0,0)</f>
        <v>38800</v>
      </c>
      <c r="CD113">
        <f t="shared" si="240"/>
        <v>6984</v>
      </c>
      <c r="CE113">
        <f t="shared" si="241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199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42"/>
        <v>200</v>
      </c>
      <c r="CL113">
        <f t="shared" si="243"/>
        <v>45740</v>
      </c>
      <c r="CM113">
        <f>_xlfn.XLOOKUP(B113,'[9]november-2025'!$A:$A,'[9]november-2025'!$C:$C,0,0)</f>
        <v>38800</v>
      </c>
      <c r="CN113">
        <f t="shared" si="244"/>
        <v>6984</v>
      </c>
      <c r="CO113">
        <f t="shared" si="24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00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46"/>
        <v>200</v>
      </c>
      <c r="CV113">
        <f t="shared" si="247"/>
        <v>45740</v>
      </c>
      <c r="CW113">
        <f>_xlfn.XLOOKUP(B113,'[10]december-2025'!$A:$A,'[10]december-2025'!$C:$C,0,0)</f>
        <v>38800</v>
      </c>
      <c r="CX113">
        <f t="shared" si="248"/>
        <v>6984</v>
      </c>
      <c r="CY113">
        <f t="shared" si="249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0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50"/>
        <v>200</v>
      </c>
      <c r="DF113">
        <f t="shared" si="251"/>
        <v>45740</v>
      </c>
      <c r="DG113">
        <f>_xlfn.XLOOKUP(B113,'[11]january-2026'!$A:$A,'[11]january-2026'!$C:$C,0,0)</f>
        <v>38800</v>
      </c>
      <c r="DH113">
        <f t="shared" si="252"/>
        <v>6984</v>
      </c>
      <c r="DI113">
        <f t="shared" si="253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02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54"/>
        <v>200</v>
      </c>
      <c r="DP113">
        <f t="shared" si="255"/>
        <v>45740</v>
      </c>
      <c r="DQ113">
        <f>_xlfn.XLOOKUP(B113,'[12]february-2026'!$A:$A,'[12]february-2026'!$C:$C,0,0)</f>
        <v>38800</v>
      </c>
      <c r="DR113">
        <f t="shared" si="256"/>
        <v>6984</v>
      </c>
      <c r="DS113">
        <f t="shared" si="257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03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58"/>
        <v>200</v>
      </c>
      <c r="DZ113">
        <f t="shared" si="259"/>
        <v>45740</v>
      </c>
      <c r="EA113">
        <f>_xlfn.XLOOKUP(B113,'[1]march-2025'!$A:$A,'[1]march-2025'!$J:$J,0,0)</f>
        <v>0</v>
      </c>
      <c r="EB113">
        <f>_xlfn.XLOOKUP(B113,'[2]april-2025'!$A:$A,'[2]april-2025'!$J:$J,0,0)</f>
        <v>0</v>
      </c>
      <c r="EC113">
        <f>_xlfn.XLOOKUP(B113,'[3]may-2025'!$A:$A,'[3]may-2025'!$J:$J,0,0)</f>
        <v>0</v>
      </c>
      <c r="ED113">
        <f>_xlfn.XLOOKUP(B113,'[4]june-2025'!$A:$A,'[4]june-2025'!$J:$J,0,0)</f>
        <v>0</v>
      </c>
      <c r="EE113">
        <f>_xlfn.XLOOKUP(B113,'[5]july-2025'!$A:$A,'[5]july-2025'!$J:$J,0,0)</f>
        <v>0</v>
      </c>
      <c r="EF113">
        <f>_xlfn.XLOOKUP(B113,'[6]august-2025'!$A:$A,'[6]august-2025'!$J:$J,0,0)</f>
        <v>0</v>
      </c>
      <c r="EG113">
        <f>_xlfn.XLOOKUP(B113,'[7]september-2025'!$A:$A,'[7]september-2025'!$J:$J,0,0)</f>
        <v>0</v>
      </c>
      <c r="EH113">
        <f>_xlfn.XLOOKUP(B113,'[8]october-2025'!$A:$A,'[8]october-2025'!$J:$J,0,0)</f>
        <v>0</v>
      </c>
      <c r="EI113">
        <f>_xlfn.XLOOKUP(C113,'[9]november-2025'!$A:$A,'[9]november-2025'!$J:$J,0,0)</f>
        <v>0</v>
      </c>
      <c r="EJ113">
        <f>_xlfn.XLOOKUP(B113,'[10]december-2025'!$A:$A,'[10]december-2025'!$J:$J,0,0)</f>
        <v>0</v>
      </c>
      <c r="EK113">
        <f>_xlfn.XLOOKUP(B113,'[11]january-2026'!$A:$A,'[11]january-2026'!$J:$J,0,0)</f>
        <v>0</v>
      </c>
      <c r="EL113">
        <f>_xlfn.XLOOKUP(B113,'[12]february-2026'!$A:$A,'[12]february-2026'!$J:$J,0,0)</f>
        <v>0</v>
      </c>
      <c r="EM113">
        <f t="shared" si="260"/>
        <v>0</v>
      </c>
      <c r="EN113">
        <f t="shared" si="204"/>
        <v>610852</v>
      </c>
      <c r="EO113">
        <f t="shared" si="205"/>
        <v>2400</v>
      </c>
      <c r="EP113">
        <f t="shared" si="261"/>
        <v>50000</v>
      </c>
      <c r="EQ113">
        <v>0</v>
      </c>
      <c r="ER113">
        <f t="shared" si="262"/>
        <v>558452</v>
      </c>
      <c r="ES113">
        <f t="shared" si="206"/>
        <v>60000</v>
      </c>
      <c r="ET113">
        <f t="shared" si="207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263"/>
        <v>60000</v>
      </c>
      <c r="FF113">
        <f t="shared" si="264"/>
        <v>60000</v>
      </c>
      <c r="FG113">
        <f t="shared" si="265"/>
        <v>498452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208"/>
        <v>0</v>
      </c>
      <c r="FP113">
        <f t="shared" si="266"/>
        <v>498452</v>
      </c>
      <c r="FQ113">
        <f t="shared" si="267"/>
        <v>12423</v>
      </c>
      <c r="FR113">
        <f t="shared" si="268"/>
        <v>0</v>
      </c>
      <c r="FS113">
        <f t="shared" si="269"/>
        <v>12423</v>
      </c>
      <c r="FT113">
        <f t="shared" si="270"/>
        <v>0</v>
      </c>
      <c r="FU113">
        <f t="shared" si="271"/>
        <v>0</v>
      </c>
      <c r="FV113">
        <f t="shared" si="272"/>
        <v>0</v>
      </c>
      <c r="FW113">
        <v>0</v>
      </c>
      <c r="FX113">
        <f t="shared" si="273"/>
        <v>0</v>
      </c>
      <c r="FY113" t="b">
        <f t="shared" si="274"/>
        <v>1</v>
      </c>
      <c r="FZ113">
        <f t="shared" ca="1" si="275"/>
        <v>706</v>
      </c>
      <c r="GA113">
        <f t="shared" ca="1" si="276"/>
        <v>611558</v>
      </c>
      <c r="GB113">
        <f t="shared" si="277"/>
        <v>75000</v>
      </c>
      <c r="GC113">
        <f t="shared" ca="1" si="278"/>
        <v>536558</v>
      </c>
      <c r="GD113">
        <f t="shared" ca="1" si="279"/>
        <v>0</v>
      </c>
      <c r="GE113">
        <f t="shared" ca="1" si="280"/>
        <v>0</v>
      </c>
      <c r="GF113">
        <f t="shared" ca="1" si="281"/>
        <v>0</v>
      </c>
      <c r="GG113">
        <f t="shared" ca="1" si="282"/>
        <v>0</v>
      </c>
      <c r="GH113">
        <f t="shared" ca="1" si="283"/>
        <v>0</v>
      </c>
      <c r="GI113">
        <f t="shared" ca="1" si="284"/>
        <v>0</v>
      </c>
      <c r="GJ113">
        <f t="shared" ca="1" si="209"/>
        <v>0</v>
      </c>
      <c r="GK113">
        <f t="shared" ca="1" si="285"/>
        <v>0</v>
      </c>
      <c r="GL113">
        <f t="shared" ca="1" si="286"/>
        <v>0</v>
      </c>
      <c r="GM113">
        <f t="shared" ca="1" si="287"/>
        <v>0</v>
      </c>
      <c r="GN113">
        <f t="shared" ca="1" si="288"/>
        <v>136558</v>
      </c>
      <c r="GO113">
        <f t="shared" ca="1" si="289"/>
        <v>6827.9000000000005</v>
      </c>
      <c r="GP113">
        <f t="shared" ca="1" si="290"/>
        <v>6828</v>
      </c>
      <c r="GQ113">
        <f t="shared" ca="1" si="291"/>
        <v>0</v>
      </c>
      <c r="GR113">
        <f t="shared" ca="1" si="292"/>
        <v>0</v>
      </c>
      <c r="GS113">
        <f t="shared" ca="1" si="293"/>
        <v>6828</v>
      </c>
      <c r="GT113">
        <f t="shared" ca="1" si="294"/>
        <v>0</v>
      </c>
      <c r="GU113" t="b">
        <f t="shared" ca="1" si="295"/>
        <v>0</v>
      </c>
      <c r="GV113">
        <f t="shared" ca="1" si="296"/>
        <v>0</v>
      </c>
      <c r="GW113">
        <f t="shared" ca="1" si="297"/>
        <v>6828</v>
      </c>
      <c r="GX113">
        <f t="shared" ca="1" si="298"/>
        <v>0</v>
      </c>
      <c r="GY113">
        <f t="shared" ca="1" si="299"/>
        <v>0</v>
      </c>
      <c r="GZ113">
        <f t="shared" ca="1" si="300"/>
        <v>0</v>
      </c>
    </row>
    <row r="114" spans="1:208" x14ac:dyDescent="0.3">
      <c r="A114">
        <f>_xlfn.AGGREGATE(3,5,$B$2:B114)</f>
        <v>113</v>
      </c>
      <c r="B114" t="s">
        <v>342</v>
      </c>
      <c r="C114" t="s">
        <v>343</v>
      </c>
      <c r="D114" t="s">
        <v>779</v>
      </c>
      <c r="E114" t="s">
        <v>830</v>
      </c>
      <c r="F114" t="s">
        <v>956</v>
      </c>
      <c r="G114" t="s">
        <v>899</v>
      </c>
      <c r="H114">
        <f t="shared" si="302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1"/>
        <v>4382</v>
      </c>
      <c r="L114">
        <f t="shared" si="212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194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01"/>
        <v>150</v>
      </c>
      <c r="S114">
        <f t="shared" si="213"/>
        <v>37288</v>
      </c>
      <c r="T114">
        <f>_xlfn.XLOOKUP(B114,'[2]april-2025'!$A:$A,'[2]april-2025'!$C:$C,0,0)</f>
        <v>31300</v>
      </c>
      <c r="U114">
        <f t="shared" si="214"/>
        <v>5634</v>
      </c>
      <c r="V114">
        <f t="shared" si="215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16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17"/>
        <v>200</v>
      </c>
      <c r="AC114">
        <f t="shared" si="218"/>
        <v>38490</v>
      </c>
      <c r="AD114">
        <f>_xlfn.XLOOKUP(B114,'[3]may-2025'!$A:$A,'[3]may-2025'!$C:$C,0,0)</f>
        <v>31300</v>
      </c>
      <c r="AE114">
        <f t="shared" si="219"/>
        <v>5634</v>
      </c>
      <c r="AF114">
        <f t="shared" si="220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1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2"/>
        <v>200</v>
      </c>
      <c r="AM114">
        <f t="shared" si="223"/>
        <v>38490</v>
      </c>
      <c r="AN114">
        <f>_xlfn.XLOOKUP(B114,'[4]june-2025'!$A:$A,'[4]june-2025'!$C:$C,0,0)</f>
        <v>31300</v>
      </c>
      <c r="AO114">
        <f t="shared" si="224"/>
        <v>5634</v>
      </c>
      <c r="AP114">
        <f t="shared" si="225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26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27"/>
        <v>200</v>
      </c>
      <c r="AW114">
        <f t="shared" si="228"/>
        <v>38490</v>
      </c>
      <c r="AX114">
        <f>_xlfn.XLOOKUP(B114,'[5]july-2025'!$A:$A,'[5]july-2025'!$C:$C,0,0)</f>
        <v>32200</v>
      </c>
      <c r="AY114">
        <f t="shared" si="229"/>
        <v>5796</v>
      </c>
      <c r="AZ114">
        <v>0</v>
      </c>
      <c r="BA114">
        <f t="shared" si="230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195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1"/>
        <v>200</v>
      </c>
      <c r="BH114">
        <f t="shared" si="232"/>
        <v>39660</v>
      </c>
      <c r="BI114">
        <f>_xlfn.XLOOKUP(B114,'[6]august-2025'!$A:$A,'[6]august-2025'!$C:$C,0,0)</f>
        <v>32200</v>
      </c>
      <c r="BJ114">
        <f t="shared" si="233"/>
        <v>5796</v>
      </c>
      <c r="BK114">
        <f t="shared" si="234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35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196"/>
        <v>200</v>
      </c>
      <c r="BR114">
        <f t="shared" si="197"/>
        <v>39660</v>
      </c>
      <c r="BS114">
        <f>_xlfn.XLOOKUP(B114,'[7]september-2025'!$A:$A,'[7]september-2025'!$C:$C,0,0)</f>
        <v>32200</v>
      </c>
      <c r="BT114">
        <f t="shared" si="236"/>
        <v>5796</v>
      </c>
      <c r="BU114">
        <f t="shared" si="237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198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38"/>
        <v>200</v>
      </c>
      <c r="CB114">
        <f t="shared" si="239"/>
        <v>39660</v>
      </c>
      <c r="CC114">
        <f>_xlfn.XLOOKUP(B114,'[8]october-2025'!$A:$A,'[8]october-2025'!$C:$C,0,0)</f>
        <v>32200</v>
      </c>
      <c r="CD114">
        <f t="shared" si="240"/>
        <v>5796</v>
      </c>
      <c r="CE114">
        <f t="shared" si="241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199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42"/>
        <v>200</v>
      </c>
      <c r="CL114">
        <f t="shared" si="243"/>
        <v>39660</v>
      </c>
      <c r="CM114">
        <f>_xlfn.XLOOKUP(B114,'[9]november-2025'!$A:$A,'[9]november-2025'!$C:$C,0,0)</f>
        <v>32200</v>
      </c>
      <c r="CN114">
        <f t="shared" si="244"/>
        <v>5796</v>
      </c>
      <c r="CO114">
        <f t="shared" si="24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00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46"/>
        <v>200</v>
      </c>
      <c r="CV114">
        <f t="shared" si="247"/>
        <v>39660</v>
      </c>
      <c r="CW114">
        <f>_xlfn.XLOOKUP(B114,'[10]december-2025'!$A:$A,'[10]december-2025'!$C:$C,0,0)</f>
        <v>32200</v>
      </c>
      <c r="CX114">
        <f t="shared" si="248"/>
        <v>5796</v>
      </c>
      <c r="CY114">
        <f t="shared" si="249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0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50"/>
        <v>200</v>
      </c>
      <c r="DF114">
        <f t="shared" si="251"/>
        <v>39660</v>
      </c>
      <c r="DG114">
        <f>_xlfn.XLOOKUP(B114,'[11]january-2026'!$A:$A,'[11]january-2026'!$C:$C,0,0)</f>
        <v>32200</v>
      </c>
      <c r="DH114">
        <f t="shared" si="252"/>
        <v>5796</v>
      </c>
      <c r="DI114">
        <f t="shared" si="253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02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54"/>
        <v>200</v>
      </c>
      <c r="DP114">
        <f t="shared" si="255"/>
        <v>39660</v>
      </c>
      <c r="DQ114">
        <f>_xlfn.XLOOKUP(B114,'[12]february-2026'!$A:$A,'[12]february-2026'!$C:$C,0,0)</f>
        <v>32200</v>
      </c>
      <c r="DR114">
        <f t="shared" si="256"/>
        <v>5796</v>
      </c>
      <c r="DS114">
        <f t="shared" si="257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03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58"/>
        <v>200</v>
      </c>
      <c r="DZ114">
        <f t="shared" si="259"/>
        <v>39660</v>
      </c>
      <c r="EA114">
        <f>_xlfn.XLOOKUP(B114,'[1]march-2025'!$A:$A,'[1]march-2025'!$J:$J,0,0)</f>
        <v>0</v>
      </c>
      <c r="EB114">
        <f>_xlfn.XLOOKUP(B114,'[2]april-2025'!$A:$A,'[2]april-2025'!$J:$J,0,0)</f>
        <v>0</v>
      </c>
      <c r="EC114">
        <f>_xlfn.XLOOKUP(B114,'[3]may-2025'!$A:$A,'[3]may-2025'!$J:$J,0,0)</f>
        <v>0</v>
      </c>
      <c r="ED114">
        <f>_xlfn.XLOOKUP(B114,'[4]june-2025'!$A:$A,'[4]june-2025'!$J:$J,0,0)</f>
        <v>0</v>
      </c>
      <c r="EE114">
        <f>_xlfn.XLOOKUP(B114,'[5]july-2025'!$A:$A,'[5]july-2025'!$J:$J,0,0)</f>
        <v>0</v>
      </c>
      <c r="EF114">
        <f>_xlfn.XLOOKUP(B114,'[6]august-2025'!$A:$A,'[6]august-2025'!$J:$J,0,0)</f>
        <v>0</v>
      </c>
      <c r="EG114">
        <f>_xlfn.XLOOKUP(B114,'[7]september-2025'!$A:$A,'[7]september-2025'!$J:$J,0,0)</f>
        <v>0</v>
      </c>
      <c r="EH114">
        <f>_xlfn.XLOOKUP(B114,'[8]october-2025'!$A:$A,'[8]october-2025'!$J:$J,0,0)</f>
        <v>0</v>
      </c>
      <c r="EI114">
        <f>_xlfn.XLOOKUP(C114,'[9]november-2025'!$A:$A,'[9]november-2025'!$J:$J,0,0)</f>
        <v>0</v>
      </c>
      <c r="EJ114">
        <f>_xlfn.XLOOKUP(B114,'[10]december-2025'!$A:$A,'[10]december-2025'!$J:$J,0,0)</f>
        <v>0</v>
      </c>
      <c r="EK114">
        <f>_xlfn.XLOOKUP(B114,'[11]january-2026'!$A:$A,'[11]january-2026'!$J:$J,0,0)</f>
        <v>0</v>
      </c>
      <c r="EL114">
        <f>_xlfn.XLOOKUP(B114,'[12]february-2026'!$A:$A,'[12]february-2026'!$J:$J,0,0)</f>
        <v>0</v>
      </c>
      <c r="EM114">
        <f t="shared" si="260"/>
        <v>0</v>
      </c>
      <c r="EN114">
        <f t="shared" si="204"/>
        <v>503188</v>
      </c>
      <c r="EO114">
        <f t="shared" si="205"/>
        <v>2350</v>
      </c>
      <c r="EP114">
        <f t="shared" si="261"/>
        <v>50000</v>
      </c>
      <c r="EQ114">
        <v>0</v>
      </c>
      <c r="ER114">
        <f t="shared" si="262"/>
        <v>450838</v>
      </c>
      <c r="ES114">
        <f t="shared" si="206"/>
        <v>24000</v>
      </c>
      <c r="ET114">
        <f t="shared" si="207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263"/>
        <v>24000</v>
      </c>
      <c r="FF114">
        <f t="shared" si="264"/>
        <v>24000</v>
      </c>
      <c r="FG114">
        <f t="shared" si="265"/>
        <v>426838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208"/>
        <v>0</v>
      </c>
      <c r="FP114">
        <f t="shared" si="266"/>
        <v>426838</v>
      </c>
      <c r="FQ114">
        <f t="shared" si="267"/>
        <v>8842</v>
      </c>
      <c r="FR114">
        <f t="shared" si="268"/>
        <v>0</v>
      </c>
      <c r="FS114">
        <f t="shared" si="269"/>
        <v>8842</v>
      </c>
      <c r="FT114">
        <f t="shared" si="270"/>
        <v>0</v>
      </c>
      <c r="FU114">
        <f t="shared" si="271"/>
        <v>0</v>
      </c>
      <c r="FV114">
        <f t="shared" si="272"/>
        <v>0</v>
      </c>
      <c r="FW114">
        <v>0</v>
      </c>
      <c r="FX114">
        <f t="shared" si="273"/>
        <v>0</v>
      </c>
      <c r="FY114" t="b">
        <f t="shared" si="274"/>
        <v>1</v>
      </c>
      <c r="FZ114">
        <f t="shared" ca="1" si="275"/>
        <v>541</v>
      </c>
      <c r="GA114">
        <f t="shared" ca="1" si="276"/>
        <v>503729</v>
      </c>
      <c r="GB114">
        <f t="shared" si="277"/>
        <v>75000</v>
      </c>
      <c r="GC114">
        <f t="shared" ca="1" si="278"/>
        <v>428729</v>
      </c>
      <c r="GD114">
        <f t="shared" ca="1" si="279"/>
        <v>0</v>
      </c>
      <c r="GE114">
        <f t="shared" ca="1" si="280"/>
        <v>0</v>
      </c>
      <c r="GF114">
        <f t="shared" ca="1" si="281"/>
        <v>0</v>
      </c>
      <c r="GG114">
        <f t="shared" ca="1" si="282"/>
        <v>0</v>
      </c>
      <c r="GH114">
        <f t="shared" ca="1" si="283"/>
        <v>0</v>
      </c>
      <c r="GI114">
        <f t="shared" ca="1" si="284"/>
        <v>0</v>
      </c>
      <c r="GJ114">
        <f t="shared" ca="1" si="209"/>
        <v>0</v>
      </c>
      <c r="GK114">
        <f t="shared" ca="1" si="285"/>
        <v>0</v>
      </c>
      <c r="GL114">
        <f t="shared" ca="1" si="286"/>
        <v>0</v>
      </c>
      <c r="GM114">
        <f t="shared" ca="1" si="287"/>
        <v>0</v>
      </c>
      <c r="GN114">
        <f t="shared" ca="1" si="288"/>
        <v>28729</v>
      </c>
      <c r="GO114">
        <f t="shared" ca="1" si="289"/>
        <v>1436.45</v>
      </c>
      <c r="GP114">
        <f t="shared" ca="1" si="290"/>
        <v>1436</v>
      </c>
      <c r="GQ114">
        <f t="shared" ca="1" si="291"/>
        <v>0</v>
      </c>
      <c r="GR114">
        <f t="shared" ca="1" si="292"/>
        <v>0</v>
      </c>
      <c r="GS114">
        <f t="shared" ca="1" si="293"/>
        <v>1436</v>
      </c>
      <c r="GT114">
        <f t="shared" ca="1" si="294"/>
        <v>0</v>
      </c>
      <c r="GU114" t="b">
        <f t="shared" ca="1" si="295"/>
        <v>0</v>
      </c>
      <c r="GV114">
        <f t="shared" ca="1" si="296"/>
        <v>0</v>
      </c>
      <c r="GW114">
        <f t="shared" ca="1" si="297"/>
        <v>1436</v>
      </c>
      <c r="GX114">
        <f t="shared" ca="1" si="298"/>
        <v>0</v>
      </c>
      <c r="GY114">
        <f t="shared" ca="1" si="299"/>
        <v>0</v>
      </c>
      <c r="GZ114">
        <f t="shared" ca="1" si="300"/>
        <v>0</v>
      </c>
    </row>
    <row r="115" spans="1:208" x14ac:dyDescent="0.3">
      <c r="A115">
        <f>_xlfn.AGGREGATE(3,5,$B$2:B115)</f>
        <v>114</v>
      </c>
      <c r="B115" t="s">
        <v>344</v>
      </c>
      <c r="C115" t="s">
        <v>345</v>
      </c>
      <c r="D115" t="s">
        <v>780</v>
      </c>
      <c r="E115" t="s">
        <v>831</v>
      </c>
      <c r="F115" t="s">
        <v>956</v>
      </c>
      <c r="G115" t="s">
        <v>919</v>
      </c>
      <c r="H115">
        <f t="shared" si="302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1"/>
        <v>7476.0000000000009</v>
      </c>
      <c r="L115">
        <f t="shared" si="212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194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01"/>
        <v>200</v>
      </c>
      <c r="S115">
        <f t="shared" si="213"/>
        <v>62584</v>
      </c>
      <c r="T115">
        <f>_xlfn.XLOOKUP(B115,'[2]april-2025'!$A:$A,'[2]april-2025'!$C:$C,0,0)</f>
        <v>53400</v>
      </c>
      <c r="U115">
        <f t="shared" si="214"/>
        <v>9612</v>
      </c>
      <c r="V115">
        <f t="shared" si="215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16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17"/>
        <v>200</v>
      </c>
      <c r="AC115">
        <f t="shared" si="218"/>
        <v>64720</v>
      </c>
      <c r="AD115">
        <f>_xlfn.XLOOKUP(B115,'[3]may-2025'!$A:$A,'[3]may-2025'!$C:$C,0,0)</f>
        <v>53400</v>
      </c>
      <c r="AE115">
        <f t="shared" si="219"/>
        <v>9612</v>
      </c>
      <c r="AF115">
        <f t="shared" si="220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1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2"/>
        <v>200</v>
      </c>
      <c r="AM115">
        <f t="shared" si="223"/>
        <v>64720</v>
      </c>
      <c r="AN115">
        <f>_xlfn.XLOOKUP(B115,'[4]june-2025'!$A:$A,'[4]june-2025'!$C:$C,0,0)</f>
        <v>53400</v>
      </c>
      <c r="AO115">
        <f t="shared" si="224"/>
        <v>9612</v>
      </c>
      <c r="AP115">
        <f t="shared" si="225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26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27"/>
        <v>200</v>
      </c>
      <c r="AW115">
        <f t="shared" si="228"/>
        <v>64720</v>
      </c>
      <c r="AX115">
        <f>_xlfn.XLOOKUP(B115,'[5]july-2025'!$A:$A,'[5]july-2025'!$C:$C,0,0)</f>
        <v>55000</v>
      </c>
      <c r="AY115">
        <f t="shared" si="229"/>
        <v>9900</v>
      </c>
      <c r="AZ115">
        <v>0</v>
      </c>
      <c r="BA115">
        <f t="shared" si="230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195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1"/>
        <v>200</v>
      </c>
      <c r="BH115">
        <f t="shared" si="232"/>
        <v>66800</v>
      </c>
      <c r="BI115">
        <f>_xlfn.XLOOKUP(B115,'[6]august-2025'!$A:$A,'[6]august-2025'!$C:$C,0,0)</f>
        <v>55000</v>
      </c>
      <c r="BJ115">
        <f t="shared" si="233"/>
        <v>9900</v>
      </c>
      <c r="BK115">
        <f t="shared" si="234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35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196"/>
        <v>200</v>
      </c>
      <c r="BR115">
        <f t="shared" si="197"/>
        <v>66800</v>
      </c>
      <c r="BS115">
        <f>_xlfn.XLOOKUP(B115,'[7]september-2025'!$A:$A,'[7]september-2025'!$C:$C,0,0)</f>
        <v>55000</v>
      </c>
      <c r="BT115">
        <f t="shared" si="236"/>
        <v>9900</v>
      </c>
      <c r="BU115">
        <f t="shared" si="237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198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38"/>
        <v>200</v>
      </c>
      <c r="CB115">
        <f t="shared" si="239"/>
        <v>66800</v>
      </c>
      <c r="CC115">
        <f>_xlfn.XLOOKUP(B115,'[8]october-2025'!$A:$A,'[8]october-2025'!$C:$C,0,0)</f>
        <v>55000</v>
      </c>
      <c r="CD115">
        <f t="shared" si="240"/>
        <v>9900</v>
      </c>
      <c r="CE115">
        <f t="shared" si="241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199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42"/>
        <v>200</v>
      </c>
      <c r="CL115">
        <f t="shared" si="243"/>
        <v>66800</v>
      </c>
      <c r="CM115">
        <f>_xlfn.XLOOKUP(B115,'[9]november-2025'!$A:$A,'[9]november-2025'!$C:$C,0,0)</f>
        <v>55000</v>
      </c>
      <c r="CN115">
        <f t="shared" si="244"/>
        <v>9900</v>
      </c>
      <c r="CO115">
        <f t="shared" si="24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00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46"/>
        <v>200</v>
      </c>
      <c r="CV115">
        <f t="shared" si="247"/>
        <v>66800</v>
      </c>
      <c r="CW115">
        <f>_xlfn.XLOOKUP(B115,'[10]december-2025'!$A:$A,'[10]december-2025'!$C:$C,0,0)</f>
        <v>55000</v>
      </c>
      <c r="CX115">
        <f t="shared" si="248"/>
        <v>9900</v>
      </c>
      <c r="CY115">
        <f t="shared" si="249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0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50"/>
        <v>200</v>
      </c>
      <c r="DF115">
        <f t="shared" si="251"/>
        <v>66800</v>
      </c>
      <c r="DG115">
        <f>_xlfn.XLOOKUP(B115,'[11]january-2026'!$A:$A,'[11]january-2026'!$C:$C,0,0)</f>
        <v>55000</v>
      </c>
      <c r="DH115">
        <f t="shared" si="252"/>
        <v>9900</v>
      </c>
      <c r="DI115">
        <f t="shared" si="253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02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54"/>
        <v>200</v>
      </c>
      <c r="DP115">
        <f t="shared" si="255"/>
        <v>66800</v>
      </c>
      <c r="DQ115">
        <f>_xlfn.XLOOKUP(B115,'[12]february-2026'!$A:$A,'[12]february-2026'!$C:$C,0,0)</f>
        <v>55000</v>
      </c>
      <c r="DR115">
        <f t="shared" si="256"/>
        <v>9900</v>
      </c>
      <c r="DS115">
        <f t="shared" si="257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03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58"/>
        <v>200</v>
      </c>
      <c r="DZ115">
        <f t="shared" si="259"/>
        <v>66800</v>
      </c>
      <c r="EA115">
        <f>_xlfn.XLOOKUP(B115,'[1]march-2025'!$A:$A,'[1]march-2025'!$J:$J,0,0)</f>
        <v>0</v>
      </c>
      <c r="EB115">
        <f>_xlfn.XLOOKUP(B115,'[2]april-2025'!$A:$A,'[2]april-2025'!$J:$J,0,0)</f>
        <v>0</v>
      </c>
      <c r="EC115">
        <f>_xlfn.XLOOKUP(B115,'[3]may-2025'!$A:$A,'[3]may-2025'!$J:$J,0,0)</f>
        <v>0</v>
      </c>
      <c r="ED115">
        <f>_xlfn.XLOOKUP(B115,'[4]june-2025'!$A:$A,'[4]june-2025'!$J:$J,0,0)</f>
        <v>0</v>
      </c>
      <c r="EE115">
        <f>_xlfn.XLOOKUP(B115,'[5]july-2025'!$A:$A,'[5]july-2025'!$J:$J,0,0)</f>
        <v>0</v>
      </c>
      <c r="EF115">
        <f>_xlfn.XLOOKUP(B115,'[6]august-2025'!$A:$A,'[6]august-2025'!$J:$J,0,0)</f>
        <v>0</v>
      </c>
      <c r="EG115">
        <f>_xlfn.XLOOKUP(B115,'[7]september-2025'!$A:$A,'[7]september-2025'!$J:$J,0,0)</f>
        <v>0</v>
      </c>
      <c r="EH115">
        <f>_xlfn.XLOOKUP(B115,'[8]october-2025'!$A:$A,'[8]october-2025'!$J:$J,0,0)</f>
        <v>0</v>
      </c>
      <c r="EI115">
        <f>_xlfn.XLOOKUP(C115,'[9]november-2025'!$A:$A,'[9]november-2025'!$J:$J,0,0)</f>
        <v>0</v>
      </c>
      <c r="EJ115">
        <f>_xlfn.XLOOKUP(B115,'[10]december-2025'!$A:$A,'[10]december-2025'!$J:$J,0,0)</f>
        <v>0</v>
      </c>
      <c r="EK115">
        <f>_xlfn.XLOOKUP(B115,'[11]january-2026'!$A:$A,'[11]january-2026'!$J:$J,0,0)</f>
        <v>0</v>
      </c>
      <c r="EL115">
        <f>_xlfn.XLOOKUP(B115,'[12]february-2026'!$A:$A,'[12]february-2026'!$J:$J,0,0)</f>
        <v>0</v>
      </c>
      <c r="EM115">
        <f t="shared" si="260"/>
        <v>0</v>
      </c>
      <c r="EN115">
        <f t="shared" si="204"/>
        <v>860344</v>
      </c>
      <c r="EO115">
        <f t="shared" si="205"/>
        <v>2400</v>
      </c>
      <c r="EP115">
        <f t="shared" si="261"/>
        <v>50000</v>
      </c>
      <c r="EQ115">
        <v>0</v>
      </c>
      <c r="ER115">
        <f t="shared" si="262"/>
        <v>807944</v>
      </c>
      <c r="ES115">
        <f t="shared" si="206"/>
        <v>60000</v>
      </c>
      <c r="ET115">
        <f t="shared" si="207"/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263"/>
        <v>60000</v>
      </c>
      <c r="FF115">
        <f t="shared" si="264"/>
        <v>60000</v>
      </c>
      <c r="FG115">
        <f t="shared" si="265"/>
        <v>747944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208"/>
        <v>0</v>
      </c>
      <c r="FP115">
        <f t="shared" si="266"/>
        <v>747944</v>
      </c>
      <c r="FQ115">
        <f t="shared" si="267"/>
        <v>12500</v>
      </c>
      <c r="FR115">
        <f t="shared" si="268"/>
        <v>49589</v>
      </c>
      <c r="FS115">
        <f t="shared" si="269"/>
        <v>62089</v>
      </c>
      <c r="FT115">
        <f t="shared" si="270"/>
        <v>62089</v>
      </c>
      <c r="FU115">
        <f t="shared" si="271"/>
        <v>2483.56</v>
      </c>
      <c r="FV115">
        <f t="shared" si="272"/>
        <v>64573</v>
      </c>
      <c r="FW115">
        <v>0</v>
      </c>
      <c r="FX115">
        <f t="shared" si="273"/>
        <v>64573</v>
      </c>
      <c r="FY115" t="b">
        <f t="shared" si="274"/>
        <v>1</v>
      </c>
      <c r="FZ115">
        <f t="shared" ca="1" si="275"/>
        <v>679</v>
      </c>
      <c r="GA115">
        <f t="shared" ca="1" si="276"/>
        <v>861023</v>
      </c>
      <c r="GB115">
        <f t="shared" si="277"/>
        <v>75000</v>
      </c>
      <c r="GC115">
        <f t="shared" ca="1" si="278"/>
        <v>786023</v>
      </c>
      <c r="GD115">
        <f t="shared" ca="1" si="279"/>
        <v>0</v>
      </c>
      <c r="GE115">
        <f t="shared" ca="1" si="280"/>
        <v>0</v>
      </c>
      <c r="GF115">
        <f t="shared" ca="1" si="281"/>
        <v>0</v>
      </c>
      <c r="GG115">
        <f t="shared" ca="1" si="282"/>
        <v>0</v>
      </c>
      <c r="GH115">
        <f t="shared" ca="1" si="283"/>
        <v>0</v>
      </c>
      <c r="GI115">
        <f t="shared" ca="1" si="284"/>
        <v>0</v>
      </c>
      <c r="GJ115">
        <f t="shared" ca="1" si="209"/>
        <v>0</v>
      </c>
      <c r="GK115">
        <f t="shared" ca="1" si="285"/>
        <v>0</v>
      </c>
      <c r="GL115">
        <f t="shared" ca="1" si="286"/>
        <v>0</v>
      </c>
      <c r="GM115">
        <f t="shared" ca="1" si="287"/>
        <v>0</v>
      </c>
      <c r="GN115">
        <f t="shared" ca="1" si="288"/>
        <v>386023</v>
      </c>
      <c r="GO115">
        <f t="shared" ca="1" si="289"/>
        <v>19301.150000000001</v>
      </c>
      <c r="GP115">
        <f t="shared" ca="1" si="290"/>
        <v>19301</v>
      </c>
      <c r="GQ115">
        <f t="shared" ca="1" si="291"/>
        <v>0</v>
      </c>
      <c r="GR115">
        <f t="shared" ca="1" si="292"/>
        <v>0</v>
      </c>
      <c r="GS115">
        <f t="shared" ca="1" si="293"/>
        <v>19301</v>
      </c>
      <c r="GT115">
        <f t="shared" ca="1" si="294"/>
        <v>0</v>
      </c>
      <c r="GU115" t="b">
        <f t="shared" ca="1" si="295"/>
        <v>0</v>
      </c>
      <c r="GV115">
        <f t="shared" ca="1" si="296"/>
        <v>0</v>
      </c>
      <c r="GW115">
        <f t="shared" ca="1" si="297"/>
        <v>19301</v>
      </c>
      <c r="GX115">
        <f t="shared" ca="1" si="298"/>
        <v>0</v>
      </c>
      <c r="GY115">
        <f t="shared" ca="1" si="299"/>
        <v>0</v>
      </c>
      <c r="GZ115">
        <f t="shared" ca="1" si="300"/>
        <v>0</v>
      </c>
    </row>
    <row r="116" spans="1:208" x14ac:dyDescent="0.3">
      <c r="A116">
        <f>_xlfn.AGGREGATE(3,5,$B$2:B116)</f>
        <v>115</v>
      </c>
      <c r="B116" t="s">
        <v>346</v>
      </c>
      <c r="C116" t="s">
        <v>347</v>
      </c>
      <c r="D116" t="s">
        <v>780</v>
      </c>
      <c r="E116" t="s">
        <v>830</v>
      </c>
      <c r="F116" t="s">
        <v>956</v>
      </c>
      <c r="G116" t="s">
        <v>896</v>
      </c>
      <c r="H116">
        <f t="shared" si="302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1"/>
        <v>4690</v>
      </c>
      <c r="L116">
        <f t="shared" si="212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194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01"/>
        <v>200</v>
      </c>
      <c r="S116">
        <f t="shared" si="213"/>
        <v>39510</v>
      </c>
      <c r="T116">
        <f>_xlfn.XLOOKUP(B116,'[2]april-2025'!$A:$A,'[2]april-2025'!$C:$C,0,0)</f>
        <v>33500</v>
      </c>
      <c r="U116">
        <f t="shared" si="214"/>
        <v>6030</v>
      </c>
      <c r="V116">
        <f t="shared" si="215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16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17"/>
        <v>200</v>
      </c>
      <c r="AC116">
        <f t="shared" si="218"/>
        <v>40850</v>
      </c>
      <c r="AD116">
        <f>_xlfn.XLOOKUP(B116,'[3]may-2025'!$A:$A,'[3]may-2025'!$C:$C,0,0)</f>
        <v>33500</v>
      </c>
      <c r="AE116">
        <f t="shared" si="219"/>
        <v>6030</v>
      </c>
      <c r="AF116">
        <f t="shared" si="220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1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2"/>
        <v>200</v>
      </c>
      <c r="AM116">
        <f t="shared" si="223"/>
        <v>40850</v>
      </c>
      <c r="AN116">
        <f>_xlfn.XLOOKUP(B116,'[4]june-2025'!$A:$A,'[4]june-2025'!$C:$C,0,0)</f>
        <v>33500</v>
      </c>
      <c r="AO116">
        <f t="shared" si="224"/>
        <v>6030</v>
      </c>
      <c r="AP116">
        <f t="shared" si="225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26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27"/>
        <v>200</v>
      </c>
      <c r="AW116">
        <f t="shared" si="228"/>
        <v>40850</v>
      </c>
      <c r="AX116">
        <f>_xlfn.XLOOKUP(B116,'[5]july-2025'!$A:$A,'[5]july-2025'!$C:$C,0,0)</f>
        <v>34500</v>
      </c>
      <c r="AY116">
        <f t="shared" si="229"/>
        <v>6210</v>
      </c>
      <c r="AZ116">
        <v>0</v>
      </c>
      <c r="BA116">
        <f t="shared" si="230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195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1"/>
        <v>200</v>
      </c>
      <c r="BH116">
        <f t="shared" si="232"/>
        <v>42150</v>
      </c>
      <c r="BI116">
        <f>_xlfn.XLOOKUP(B116,'[6]august-2025'!$A:$A,'[6]august-2025'!$C:$C,0,0)</f>
        <v>34500</v>
      </c>
      <c r="BJ116">
        <f t="shared" si="233"/>
        <v>6210</v>
      </c>
      <c r="BK116">
        <f t="shared" si="234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35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196"/>
        <v>200</v>
      </c>
      <c r="BR116">
        <f t="shared" si="197"/>
        <v>42150</v>
      </c>
      <c r="BS116">
        <f>_xlfn.XLOOKUP(B116,'[7]september-2025'!$A:$A,'[7]september-2025'!$C:$C,0,0)</f>
        <v>34500</v>
      </c>
      <c r="BT116">
        <f t="shared" si="236"/>
        <v>6210</v>
      </c>
      <c r="BU116">
        <f t="shared" si="237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198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38"/>
        <v>200</v>
      </c>
      <c r="CB116">
        <f t="shared" si="239"/>
        <v>42150</v>
      </c>
      <c r="CC116">
        <f>_xlfn.XLOOKUP(B116,'[8]october-2025'!$A:$A,'[8]october-2025'!$C:$C,0,0)</f>
        <v>34500</v>
      </c>
      <c r="CD116">
        <f t="shared" si="240"/>
        <v>6210</v>
      </c>
      <c r="CE116">
        <f t="shared" si="241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199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42"/>
        <v>200</v>
      </c>
      <c r="CL116">
        <f t="shared" si="243"/>
        <v>42150</v>
      </c>
      <c r="CM116">
        <f>_xlfn.XLOOKUP(B116,'[9]november-2025'!$A:$A,'[9]november-2025'!$C:$C,0,0)</f>
        <v>34500</v>
      </c>
      <c r="CN116">
        <f t="shared" si="244"/>
        <v>6210</v>
      </c>
      <c r="CO116">
        <f t="shared" si="24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00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46"/>
        <v>200</v>
      </c>
      <c r="CV116">
        <f t="shared" si="247"/>
        <v>42150</v>
      </c>
      <c r="CW116">
        <f>_xlfn.XLOOKUP(B116,'[10]december-2025'!$A:$A,'[10]december-2025'!$C:$C,0,0)</f>
        <v>34500</v>
      </c>
      <c r="CX116">
        <f t="shared" si="248"/>
        <v>6210</v>
      </c>
      <c r="CY116">
        <f t="shared" si="249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0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50"/>
        <v>200</v>
      </c>
      <c r="DF116">
        <f t="shared" si="251"/>
        <v>42150</v>
      </c>
      <c r="DG116">
        <f>_xlfn.XLOOKUP(B116,'[11]january-2026'!$A:$A,'[11]january-2026'!$C:$C,0,0)</f>
        <v>34500</v>
      </c>
      <c r="DH116">
        <f t="shared" si="252"/>
        <v>6210</v>
      </c>
      <c r="DI116">
        <f t="shared" si="253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02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54"/>
        <v>200</v>
      </c>
      <c r="DP116">
        <f t="shared" si="255"/>
        <v>42150</v>
      </c>
      <c r="DQ116">
        <f>_xlfn.XLOOKUP(B116,'[12]february-2026'!$A:$A,'[12]february-2026'!$C:$C,0,0)</f>
        <v>34500</v>
      </c>
      <c r="DR116">
        <f t="shared" si="256"/>
        <v>6210</v>
      </c>
      <c r="DS116">
        <f t="shared" si="257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03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58"/>
        <v>200</v>
      </c>
      <c r="DZ116">
        <f t="shared" si="259"/>
        <v>42150</v>
      </c>
      <c r="EA116">
        <f>_xlfn.XLOOKUP(B116,'[1]march-2025'!$A:$A,'[1]march-2025'!$J:$J,0,0)</f>
        <v>0</v>
      </c>
      <c r="EB116">
        <f>_xlfn.XLOOKUP(B116,'[2]april-2025'!$A:$A,'[2]april-2025'!$J:$J,0,0)</f>
        <v>0</v>
      </c>
      <c r="EC116">
        <f>_xlfn.XLOOKUP(B116,'[3]may-2025'!$A:$A,'[3]may-2025'!$J:$J,0,0)</f>
        <v>0</v>
      </c>
      <c r="ED116">
        <f>_xlfn.XLOOKUP(B116,'[4]june-2025'!$A:$A,'[4]june-2025'!$J:$J,0,0)</f>
        <v>0</v>
      </c>
      <c r="EE116">
        <f>_xlfn.XLOOKUP(B116,'[5]july-2025'!$A:$A,'[5]july-2025'!$J:$J,0,0)</f>
        <v>0</v>
      </c>
      <c r="EF116">
        <f>_xlfn.XLOOKUP(B116,'[6]august-2025'!$A:$A,'[6]august-2025'!$J:$J,0,0)</f>
        <v>0</v>
      </c>
      <c r="EG116">
        <f>_xlfn.XLOOKUP(B116,'[7]september-2025'!$A:$A,'[7]september-2025'!$J:$J,0,0)</f>
        <v>0</v>
      </c>
      <c r="EH116">
        <f>_xlfn.XLOOKUP(B116,'[8]october-2025'!$A:$A,'[8]october-2025'!$J:$J,0,0)</f>
        <v>0</v>
      </c>
      <c r="EI116">
        <f>_xlfn.XLOOKUP(C116,'[9]november-2025'!$A:$A,'[9]november-2025'!$J:$J,0,0)</f>
        <v>0</v>
      </c>
      <c r="EJ116">
        <f>_xlfn.XLOOKUP(B116,'[10]december-2025'!$A:$A,'[10]december-2025'!$J:$J,0,0)</f>
        <v>0</v>
      </c>
      <c r="EK116">
        <f>_xlfn.XLOOKUP(B116,'[11]january-2026'!$A:$A,'[11]january-2026'!$J:$J,0,0)</f>
        <v>0</v>
      </c>
      <c r="EL116">
        <f>_xlfn.XLOOKUP(B116,'[12]february-2026'!$A:$A,'[12]february-2026'!$J:$J,0,0)</f>
        <v>0</v>
      </c>
      <c r="EM116">
        <f t="shared" si="260"/>
        <v>0</v>
      </c>
      <c r="EN116">
        <f t="shared" si="204"/>
        <v>538460</v>
      </c>
      <c r="EO116">
        <f t="shared" si="205"/>
        <v>2400</v>
      </c>
      <c r="EP116">
        <f t="shared" si="261"/>
        <v>50000</v>
      </c>
      <c r="EQ116">
        <v>0</v>
      </c>
      <c r="ER116">
        <f t="shared" si="262"/>
        <v>486060</v>
      </c>
      <c r="ES116">
        <f t="shared" si="206"/>
        <v>30000</v>
      </c>
      <c r="ET116">
        <f t="shared" si="207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263"/>
        <v>30000</v>
      </c>
      <c r="FF116">
        <f t="shared" si="264"/>
        <v>30000</v>
      </c>
      <c r="FG116">
        <f t="shared" si="265"/>
        <v>456060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208"/>
        <v>0</v>
      </c>
      <c r="FP116">
        <f t="shared" si="266"/>
        <v>456060</v>
      </c>
      <c r="FQ116">
        <f t="shared" si="267"/>
        <v>10303</v>
      </c>
      <c r="FR116">
        <f t="shared" si="268"/>
        <v>0</v>
      </c>
      <c r="FS116">
        <f t="shared" si="269"/>
        <v>10303</v>
      </c>
      <c r="FT116">
        <f t="shared" si="270"/>
        <v>0</v>
      </c>
      <c r="FU116">
        <f t="shared" si="271"/>
        <v>0</v>
      </c>
      <c r="FV116">
        <f t="shared" si="272"/>
        <v>0</v>
      </c>
      <c r="FW116">
        <v>0</v>
      </c>
      <c r="FX116">
        <f t="shared" si="273"/>
        <v>0</v>
      </c>
      <c r="FY116" t="b">
        <f t="shared" si="274"/>
        <v>1</v>
      </c>
      <c r="FZ116">
        <f t="shared" ca="1" si="275"/>
        <v>589</v>
      </c>
      <c r="GA116">
        <f t="shared" ca="1" si="276"/>
        <v>539049</v>
      </c>
      <c r="GB116">
        <f t="shared" si="277"/>
        <v>75000</v>
      </c>
      <c r="GC116">
        <f t="shared" ca="1" si="278"/>
        <v>464049</v>
      </c>
      <c r="GD116">
        <f t="shared" ca="1" si="279"/>
        <v>0</v>
      </c>
      <c r="GE116">
        <f t="shared" ca="1" si="280"/>
        <v>0</v>
      </c>
      <c r="GF116">
        <f t="shared" ca="1" si="281"/>
        <v>0</v>
      </c>
      <c r="GG116">
        <f t="shared" ca="1" si="282"/>
        <v>0</v>
      </c>
      <c r="GH116">
        <f t="shared" ca="1" si="283"/>
        <v>0</v>
      </c>
      <c r="GI116">
        <f t="shared" ca="1" si="284"/>
        <v>0</v>
      </c>
      <c r="GJ116">
        <f t="shared" ca="1" si="209"/>
        <v>0</v>
      </c>
      <c r="GK116">
        <f t="shared" ca="1" si="285"/>
        <v>0</v>
      </c>
      <c r="GL116">
        <f t="shared" ca="1" si="286"/>
        <v>0</v>
      </c>
      <c r="GM116">
        <f t="shared" ca="1" si="287"/>
        <v>0</v>
      </c>
      <c r="GN116">
        <f t="shared" ca="1" si="288"/>
        <v>64049</v>
      </c>
      <c r="GO116">
        <f t="shared" ca="1" si="289"/>
        <v>3202.4500000000003</v>
      </c>
      <c r="GP116">
        <f t="shared" ca="1" si="290"/>
        <v>3202</v>
      </c>
      <c r="GQ116">
        <f t="shared" ca="1" si="291"/>
        <v>0</v>
      </c>
      <c r="GR116">
        <f t="shared" ca="1" si="292"/>
        <v>0</v>
      </c>
      <c r="GS116">
        <f t="shared" ca="1" si="293"/>
        <v>3202</v>
      </c>
      <c r="GT116">
        <f t="shared" ca="1" si="294"/>
        <v>0</v>
      </c>
      <c r="GU116" t="b">
        <f t="shared" ca="1" si="295"/>
        <v>0</v>
      </c>
      <c r="GV116">
        <f t="shared" ca="1" si="296"/>
        <v>0</v>
      </c>
      <c r="GW116">
        <f t="shared" ca="1" si="297"/>
        <v>3202</v>
      </c>
      <c r="GX116">
        <f t="shared" ca="1" si="298"/>
        <v>0</v>
      </c>
      <c r="GY116">
        <f t="shared" ca="1" si="299"/>
        <v>0</v>
      </c>
      <c r="GZ116">
        <f t="shared" ca="1" si="300"/>
        <v>0</v>
      </c>
    </row>
    <row r="117" spans="1:208" x14ac:dyDescent="0.3">
      <c r="A117">
        <f>_xlfn.AGGREGATE(3,5,$B$2:B117)</f>
        <v>116</v>
      </c>
      <c r="B117" t="s">
        <v>348</v>
      </c>
      <c r="C117" t="s">
        <v>349</v>
      </c>
      <c r="D117" t="s">
        <v>781</v>
      </c>
      <c r="E117" t="s">
        <v>831</v>
      </c>
      <c r="F117" t="s">
        <v>956</v>
      </c>
      <c r="G117" t="s">
        <v>879</v>
      </c>
      <c r="H117">
        <f t="shared" si="302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1"/>
        <v>7238.0000000000009</v>
      </c>
      <c r="L117">
        <f t="shared" si="212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194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01"/>
        <v>200</v>
      </c>
      <c r="S117">
        <f t="shared" si="213"/>
        <v>60842</v>
      </c>
      <c r="T117">
        <f>_xlfn.XLOOKUP(B117,'[2]april-2025'!$A:$A,'[2]april-2025'!$C:$C,0,0)</f>
        <v>51700</v>
      </c>
      <c r="U117">
        <f t="shared" si="214"/>
        <v>9306</v>
      </c>
      <c r="V117">
        <f t="shared" si="215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16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17"/>
        <v>200</v>
      </c>
      <c r="AC117">
        <f t="shared" si="218"/>
        <v>62910</v>
      </c>
      <c r="AD117">
        <f>_xlfn.XLOOKUP(B117,'[3]may-2025'!$A:$A,'[3]may-2025'!$C:$C,0,0)</f>
        <v>51700</v>
      </c>
      <c r="AE117">
        <f t="shared" si="219"/>
        <v>9306</v>
      </c>
      <c r="AF117">
        <f t="shared" si="220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1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2"/>
        <v>200</v>
      </c>
      <c r="AM117">
        <f t="shared" si="223"/>
        <v>62910</v>
      </c>
      <c r="AN117">
        <f>_xlfn.XLOOKUP(B117,'[4]june-2025'!$A:$A,'[4]june-2025'!$C:$C,0,0)</f>
        <v>51700</v>
      </c>
      <c r="AO117">
        <f t="shared" si="224"/>
        <v>9306</v>
      </c>
      <c r="AP117">
        <f t="shared" si="225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26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27"/>
        <v>200</v>
      </c>
      <c r="AW117">
        <f t="shared" si="228"/>
        <v>62910</v>
      </c>
      <c r="AX117">
        <f>_xlfn.XLOOKUP(B117,'[5]july-2025'!$A:$A,'[5]july-2025'!$C:$C,0,0)</f>
        <v>53300</v>
      </c>
      <c r="AY117">
        <f t="shared" si="229"/>
        <v>9594</v>
      </c>
      <c r="AZ117">
        <v>0</v>
      </c>
      <c r="BA117">
        <f t="shared" si="230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195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1"/>
        <v>200</v>
      </c>
      <c r="BH117">
        <f t="shared" si="232"/>
        <v>64990</v>
      </c>
      <c r="BI117">
        <f>_xlfn.XLOOKUP(B117,'[6]august-2025'!$A:$A,'[6]august-2025'!$C:$C,0,0)</f>
        <v>53300</v>
      </c>
      <c r="BJ117">
        <f t="shared" si="233"/>
        <v>9594</v>
      </c>
      <c r="BK117">
        <f t="shared" si="234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35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196"/>
        <v>200</v>
      </c>
      <c r="BR117">
        <f t="shared" si="197"/>
        <v>64990</v>
      </c>
      <c r="BS117">
        <f>_xlfn.XLOOKUP(B117,'[7]september-2025'!$A:$A,'[7]september-2025'!$C:$C,0,0)</f>
        <v>53300</v>
      </c>
      <c r="BT117">
        <f t="shared" si="236"/>
        <v>9594</v>
      </c>
      <c r="BU117">
        <f t="shared" si="237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198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38"/>
        <v>200</v>
      </c>
      <c r="CB117">
        <f t="shared" si="239"/>
        <v>64990</v>
      </c>
      <c r="CC117">
        <f>_xlfn.XLOOKUP(B117,'[8]october-2025'!$A:$A,'[8]october-2025'!$C:$C,0,0)</f>
        <v>53300</v>
      </c>
      <c r="CD117">
        <f t="shared" si="240"/>
        <v>9594</v>
      </c>
      <c r="CE117">
        <f t="shared" si="241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199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42"/>
        <v>200</v>
      </c>
      <c r="CL117">
        <f t="shared" si="243"/>
        <v>64990</v>
      </c>
      <c r="CM117">
        <f>_xlfn.XLOOKUP(B117,'[9]november-2025'!$A:$A,'[9]november-2025'!$C:$C,0,0)</f>
        <v>53300</v>
      </c>
      <c r="CN117">
        <f t="shared" si="244"/>
        <v>9594</v>
      </c>
      <c r="CO117">
        <f t="shared" si="24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00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46"/>
        <v>200</v>
      </c>
      <c r="CV117">
        <f t="shared" si="247"/>
        <v>64990</v>
      </c>
      <c r="CW117">
        <f>_xlfn.XLOOKUP(B117,'[10]december-2025'!$A:$A,'[10]december-2025'!$C:$C,0,0)</f>
        <v>53300</v>
      </c>
      <c r="CX117">
        <f t="shared" si="248"/>
        <v>9594</v>
      </c>
      <c r="CY117">
        <f t="shared" si="249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0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50"/>
        <v>200</v>
      </c>
      <c r="DF117">
        <f t="shared" si="251"/>
        <v>64990</v>
      </c>
      <c r="DG117">
        <f>_xlfn.XLOOKUP(B117,'[11]january-2026'!$A:$A,'[11]january-2026'!$C:$C,0,0)</f>
        <v>53300</v>
      </c>
      <c r="DH117">
        <f t="shared" si="252"/>
        <v>9594</v>
      </c>
      <c r="DI117">
        <f t="shared" si="253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02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54"/>
        <v>200</v>
      </c>
      <c r="DP117">
        <f t="shared" si="255"/>
        <v>64990</v>
      </c>
      <c r="DQ117">
        <f>_xlfn.XLOOKUP(B117,'[12]february-2026'!$A:$A,'[12]february-2026'!$C:$C,0,0)</f>
        <v>53300</v>
      </c>
      <c r="DR117">
        <f t="shared" si="256"/>
        <v>9594</v>
      </c>
      <c r="DS117">
        <f t="shared" si="257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03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58"/>
        <v>200</v>
      </c>
      <c r="DZ117">
        <f t="shared" si="259"/>
        <v>64990</v>
      </c>
      <c r="EA117">
        <f>_xlfn.XLOOKUP(B117,'[1]march-2025'!$A:$A,'[1]march-2025'!$J:$J,0,0)</f>
        <v>0</v>
      </c>
      <c r="EB117">
        <f>_xlfn.XLOOKUP(B117,'[2]april-2025'!$A:$A,'[2]april-2025'!$J:$J,0,0)</f>
        <v>0</v>
      </c>
      <c r="EC117">
        <f>_xlfn.XLOOKUP(B117,'[3]may-2025'!$A:$A,'[3]may-2025'!$J:$J,0,0)</f>
        <v>0</v>
      </c>
      <c r="ED117">
        <f>_xlfn.XLOOKUP(B117,'[4]june-2025'!$A:$A,'[4]june-2025'!$J:$J,0,0)</f>
        <v>0</v>
      </c>
      <c r="EE117">
        <f>_xlfn.XLOOKUP(B117,'[5]july-2025'!$A:$A,'[5]july-2025'!$J:$J,0,0)</f>
        <v>0</v>
      </c>
      <c r="EF117">
        <f>_xlfn.XLOOKUP(B117,'[6]august-2025'!$A:$A,'[6]august-2025'!$J:$J,0,0)</f>
        <v>0</v>
      </c>
      <c r="EG117">
        <f>_xlfn.XLOOKUP(B117,'[7]september-2025'!$A:$A,'[7]september-2025'!$J:$J,0,0)</f>
        <v>0</v>
      </c>
      <c r="EH117">
        <f>_xlfn.XLOOKUP(B117,'[8]october-2025'!$A:$A,'[8]october-2025'!$J:$J,0,0)</f>
        <v>0</v>
      </c>
      <c r="EI117">
        <f>_xlfn.XLOOKUP(C117,'[9]november-2025'!$A:$A,'[9]november-2025'!$J:$J,0,0)</f>
        <v>0</v>
      </c>
      <c r="EJ117">
        <f>_xlfn.XLOOKUP(B117,'[10]december-2025'!$A:$A,'[10]december-2025'!$J:$J,0,0)</f>
        <v>0</v>
      </c>
      <c r="EK117">
        <f>_xlfn.XLOOKUP(B117,'[11]january-2026'!$A:$A,'[11]january-2026'!$J:$J,0,0)</f>
        <v>0</v>
      </c>
      <c r="EL117">
        <f>_xlfn.XLOOKUP(B117,'[12]february-2026'!$A:$A,'[12]february-2026'!$J:$J,0,0)</f>
        <v>0</v>
      </c>
      <c r="EM117">
        <f t="shared" si="260"/>
        <v>0</v>
      </c>
      <c r="EN117">
        <f t="shared" si="204"/>
        <v>838692</v>
      </c>
      <c r="EO117">
        <f t="shared" si="205"/>
        <v>2400</v>
      </c>
      <c r="EP117">
        <f t="shared" si="261"/>
        <v>50000</v>
      </c>
      <c r="EQ117">
        <v>0</v>
      </c>
      <c r="ER117">
        <f t="shared" si="262"/>
        <v>786292</v>
      </c>
      <c r="ES117">
        <f t="shared" si="206"/>
        <v>60000</v>
      </c>
      <c r="ET117">
        <f t="shared" si="207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263"/>
        <v>60000</v>
      </c>
      <c r="FF117">
        <f t="shared" si="264"/>
        <v>60000</v>
      </c>
      <c r="FG117">
        <f t="shared" si="265"/>
        <v>726292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208"/>
        <v>0</v>
      </c>
      <c r="FP117">
        <f t="shared" si="266"/>
        <v>726292</v>
      </c>
      <c r="FQ117">
        <f t="shared" si="267"/>
        <v>12500</v>
      </c>
      <c r="FR117">
        <f t="shared" si="268"/>
        <v>45258</v>
      </c>
      <c r="FS117">
        <f t="shared" si="269"/>
        <v>57758</v>
      </c>
      <c r="FT117">
        <f t="shared" si="270"/>
        <v>57758</v>
      </c>
      <c r="FU117">
        <f t="shared" si="271"/>
        <v>2310.3200000000002</v>
      </c>
      <c r="FV117">
        <f t="shared" si="272"/>
        <v>60068</v>
      </c>
      <c r="FW117">
        <v>0</v>
      </c>
      <c r="FX117">
        <f t="shared" si="273"/>
        <v>60068</v>
      </c>
      <c r="FY117" t="b">
        <f t="shared" si="274"/>
        <v>1</v>
      </c>
      <c r="FZ117">
        <f t="shared" ca="1" si="275"/>
        <v>870</v>
      </c>
      <c r="GA117">
        <f t="shared" ca="1" si="276"/>
        <v>839562</v>
      </c>
      <c r="GB117">
        <f t="shared" si="277"/>
        <v>75000</v>
      </c>
      <c r="GC117">
        <f t="shared" ca="1" si="278"/>
        <v>764562</v>
      </c>
      <c r="GD117">
        <f t="shared" ca="1" si="279"/>
        <v>0</v>
      </c>
      <c r="GE117">
        <f t="shared" ca="1" si="280"/>
        <v>0</v>
      </c>
      <c r="GF117">
        <f t="shared" ca="1" si="281"/>
        <v>0</v>
      </c>
      <c r="GG117">
        <f t="shared" ca="1" si="282"/>
        <v>0</v>
      </c>
      <c r="GH117">
        <f t="shared" ca="1" si="283"/>
        <v>0</v>
      </c>
      <c r="GI117">
        <f t="shared" ca="1" si="284"/>
        <v>0</v>
      </c>
      <c r="GJ117">
        <f t="shared" ca="1" si="209"/>
        <v>0</v>
      </c>
      <c r="GK117">
        <f t="shared" ca="1" si="285"/>
        <v>0</v>
      </c>
      <c r="GL117">
        <f t="shared" ca="1" si="286"/>
        <v>0</v>
      </c>
      <c r="GM117">
        <f t="shared" ca="1" si="287"/>
        <v>0</v>
      </c>
      <c r="GN117">
        <f t="shared" ca="1" si="288"/>
        <v>364562</v>
      </c>
      <c r="GO117">
        <f t="shared" ca="1" si="289"/>
        <v>18228.100000000002</v>
      </c>
      <c r="GP117">
        <f t="shared" ca="1" si="290"/>
        <v>18228</v>
      </c>
      <c r="GQ117">
        <f t="shared" ca="1" si="291"/>
        <v>0</v>
      </c>
      <c r="GR117">
        <f t="shared" ca="1" si="292"/>
        <v>0</v>
      </c>
      <c r="GS117">
        <f t="shared" ca="1" si="293"/>
        <v>18228</v>
      </c>
      <c r="GT117">
        <f t="shared" ca="1" si="294"/>
        <v>0</v>
      </c>
      <c r="GU117" t="b">
        <f t="shared" ca="1" si="295"/>
        <v>0</v>
      </c>
      <c r="GV117">
        <f t="shared" ca="1" si="296"/>
        <v>0</v>
      </c>
      <c r="GW117">
        <f t="shared" ca="1" si="297"/>
        <v>18228</v>
      </c>
      <c r="GX117">
        <f t="shared" ca="1" si="298"/>
        <v>0</v>
      </c>
      <c r="GY117">
        <f t="shared" ca="1" si="299"/>
        <v>0</v>
      </c>
      <c r="GZ117">
        <f t="shared" ca="1" si="300"/>
        <v>0</v>
      </c>
    </row>
    <row r="118" spans="1:208" x14ac:dyDescent="0.3">
      <c r="A118">
        <f>_xlfn.AGGREGATE(3,5,$B$2:B118)</f>
        <v>117</v>
      </c>
      <c r="B118" t="s">
        <v>350</v>
      </c>
      <c r="C118" t="s">
        <v>351</v>
      </c>
      <c r="D118" t="s">
        <v>781</v>
      </c>
      <c r="E118" t="s">
        <v>832</v>
      </c>
      <c r="F118" t="s">
        <v>956</v>
      </c>
      <c r="G118" t="s">
        <v>879</v>
      </c>
      <c r="H118">
        <f t="shared" si="302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1"/>
        <v>6622.0000000000009</v>
      </c>
      <c r="L118">
        <f t="shared" si="212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194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01"/>
        <v>200</v>
      </c>
      <c r="S118">
        <f t="shared" si="213"/>
        <v>53398</v>
      </c>
      <c r="T118">
        <f>_xlfn.XLOOKUP(B118,'[2]april-2025'!$A:$A,'[2]april-2025'!$C:$C,0,0)</f>
        <v>47300</v>
      </c>
      <c r="U118">
        <f t="shared" si="214"/>
        <v>8514</v>
      </c>
      <c r="V118">
        <f t="shared" si="215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16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17"/>
        <v>200</v>
      </c>
      <c r="AC118">
        <f t="shared" si="218"/>
        <v>55290</v>
      </c>
      <c r="AD118">
        <f>_xlfn.XLOOKUP(B118,'[3]may-2025'!$A:$A,'[3]may-2025'!$C:$C,0,0)</f>
        <v>47300</v>
      </c>
      <c r="AE118">
        <f t="shared" si="219"/>
        <v>8514</v>
      </c>
      <c r="AF118">
        <f t="shared" si="220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1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2"/>
        <v>200</v>
      </c>
      <c r="AM118">
        <f t="shared" si="223"/>
        <v>55290</v>
      </c>
      <c r="AN118">
        <f>_xlfn.XLOOKUP(B118,'[4]june-2025'!$A:$A,'[4]june-2025'!$C:$C,0,0)</f>
        <v>47300</v>
      </c>
      <c r="AO118">
        <f t="shared" si="224"/>
        <v>8514</v>
      </c>
      <c r="AP118">
        <f t="shared" si="225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26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27"/>
        <v>200</v>
      </c>
      <c r="AW118">
        <f t="shared" si="228"/>
        <v>55290</v>
      </c>
      <c r="AX118">
        <f>_xlfn.XLOOKUP(B118,'[5]july-2025'!$A:$A,'[5]july-2025'!$C:$C,0,0)</f>
        <v>48700</v>
      </c>
      <c r="AY118">
        <f t="shared" si="229"/>
        <v>8766</v>
      </c>
      <c r="AZ118">
        <v>0</v>
      </c>
      <c r="BA118">
        <f t="shared" si="230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195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1"/>
        <v>200</v>
      </c>
      <c r="BH118">
        <f t="shared" si="232"/>
        <v>57110</v>
      </c>
      <c r="BI118">
        <f>_xlfn.XLOOKUP(B118,'[6]august-2025'!$A:$A,'[6]august-2025'!$C:$C,0,0)</f>
        <v>48700</v>
      </c>
      <c r="BJ118">
        <f t="shared" si="233"/>
        <v>8766</v>
      </c>
      <c r="BK118">
        <f t="shared" si="234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35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196"/>
        <v>200</v>
      </c>
      <c r="BR118">
        <f t="shared" si="197"/>
        <v>57110</v>
      </c>
      <c r="BS118">
        <f>_xlfn.XLOOKUP(B118,'[7]september-2025'!$A:$A,'[7]september-2025'!$C:$C,0,0)</f>
        <v>48700</v>
      </c>
      <c r="BT118">
        <f t="shared" si="236"/>
        <v>8766</v>
      </c>
      <c r="BU118">
        <f t="shared" si="237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198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38"/>
        <v>200</v>
      </c>
      <c r="CB118">
        <f t="shared" si="239"/>
        <v>57110</v>
      </c>
      <c r="CC118">
        <f>_xlfn.XLOOKUP(B118,'[8]october-2025'!$A:$A,'[8]october-2025'!$C:$C,0,0)</f>
        <v>48700</v>
      </c>
      <c r="CD118">
        <f t="shared" si="240"/>
        <v>8766</v>
      </c>
      <c r="CE118">
        <f t="shared" si="241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199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42"/>
        <v>200</v>
      </c>
      <c r="CL118">
        <f t="shared" si="243"/>
        <v>57110</v>
      </c>
      <c r="CM118">
        <f>_xlfn.XLOOKUP(B118,'[9]november-2025'!$A:$A,'[9]november-2025'!$C:$C,0,0)</f>
        <v>48700</v>
      </c>
      <c r="CN118">
        <f t="shared" si="244"/>
        <v>8766</v>
      </c>
      <c r="CO118">
        <f t="shared" si="24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00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46"/>
        <v>200</v>
      </c>
      <c r="CV118">
        <f t="shared" si="247"/>
        <v>57110</v>
      </c>
      <c r="CW118">
        <f>_xlfn.XLOOKUP(B118,'[10]december-2025'!$A:$A,'[10]december-2025'!$C:$C,0,0)</f>
        <v>48700</v>
      </c>
      <c r="CX118">
        <f t="shared" si="248"/>
        <v>8766</v>
      </c>
      <c r="CY118">
        <f t="shared" si="249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0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50"/>
        <v>200</v>
      </c>
      <c r="DF118">
        <f t="shared" si="251"/>
        <v>57110</v>
      </c>
      <c r="DG118">
        <f>_xlfn.XLOOKUP(B118,'[11]january-2026'!$A:$A,'[11]january-2026'!$C:$C,0,0)</f>
        <v>48700</v>
      </c>
      <c r="DH118">
        <f t="shared" si="252"/>
        <v>8766</v>
      </c>
      <c r="DI118">
        <f t="shared" si="253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02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54"/>
        <v>200</v>
      </c>
      <c r="DP118">
        <f t="shared" si="255"/>
        <v>57110</v>
      </c>
      <c r="DQ118">
        <f>_xlfn.XLOOKUP(B118,'[12]february-2026'!$A:$A,'[12]february-2026'!$C:$C,0,0)</f>
        <v>48700</v>
      </c>
      <c r="DR118">
        <f t="shared" si="256"/>
        <v>8766</v>
      </c>
      <c r="DS118">
        <f t="shared" si="257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03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58"/>
        <v>200</v>
      </c>
      <c r="DZ118">
        <f t="shared" si="259"/>
        <v>57110</v>
      </c>
      <c r="EA118">
        <f>_xlfn.XLOOKUP(B118,'[1]march-2025'!$A:$A,'[1]march-2025'!$J:$J,0,0)</f>
        <v>0</v>
      </c>
      <c r="EB118">
        <f>_xlfn.XLOOKUP(B118,'[2]april-2025'!$A:$A,'[2]april-2025'!$J:$J,0,0)</f>
        <v>0</v>
      </c>
      <c r="EC118">
        <f>_xlfn.XLOOKUP(B118,'[3]may-2025'!$A:$A,'[3]may-2025'!$J:$J,0,0)</f>
        <v>0</v>
      </c>
      <c r="ED118">
        <f>_xlfn.XLOOKUP(B118,'[4]june-2025'!$A:$A,'[4]june-2025'!$J:$J,0,0)</f>
        <v>0</v>
      </c>
      <c r="EE118">
        <f>_xlfn.XLOOKUP(B118,'[5]july-2025'!$A:$A,'[5]july-2025'!$J:$J,0,0)</f>
        <v>0</v>
      </c>
      <c r="EF118">
        <f>_xlfn.XLOOKUP(B118,'[6]august-2025'!$A:$A,'[6]august-2025'!$J:$J,0,0)</f>
        <v>0</v>
      </c>
      <c r="EG118">
        <f>_xlfn.XLOOKUP(B118,'[7]september-2025'!$A:$A,'[7]september-2025'!$J:$J,0,0)</f>
        <v>0</v>
      </c>
      <c r="EH118">
        <f>_xlfn.XLOOKUP(B118,'[8]october-2025'!$A:$A,'[8]october-2025'!$J:$J,0,0)</f>
        <v>0</v>
      </c>
      <c r="EI118">
        <f>_xlfn.XLOOKUP(C118,'[9]november-2025'!$A:$A,'[9]november-2025'!$J:$J,0,0)</f>
        <v>0</v>
      </c>
      <c r="EJ118">
        <f>_xlfn.XLOOKUP(B118,'[10]december-2025'!$A:$A,'[10]december-2025'!$J:$J,0,0)</f>
        <v>0</v>
      </c>
      <c r="EK118">
        <f>_xlfn.XLOOKUP(B118,'[11]january-2026'!$A:$A,'[11]january-2026'!$J:$J,0,0)</f>
        <v>0</v>
      </c>
      <c r="EL118">
        <f>_xlfn.XLOOKUP(B118,'[12]february-2026'!$A:$A,'[12]february-2026'!$J:$J,0,0)</f>
        <v>0</v>
      </c>
      <c r="EM118">
        <f t="shared" si="260"/>
        <v>0</v>
      </c>
      <c r="EN118">
        <f t="shared" si="204"/>
        <v>757348</v>
      </c>
      <c r="EO118">
        <f t="shared" si="205"/>
        <v>2400</v>
      </c>
      <c r="EP118">
        <f t="shared" si="261"/>
        <v>50000</v>
      </c>
      <c r="EQ118">
        <v>0</v>
      </c>
      <c r="ER118">
        <f t="shared" si="262"/>
        <v>704948</v>
      </c>
      <c r="ES118">
        <f t="shared" si="206"/>
        <v>72000</v>
      </c>
      <c r="ET118">
        <f t="shared" si="207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263"/>
        <v>72000</v>
      </c>
      <c r="FF118">
        <f t="shared" si="264"/>
        <v>72000</v>
      </c>
      <c r="FG118">
        <f t="shared" si="265"/>
        <v>632948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208"/>
        <v>0</v>
      </c>
      <c r="FP118">
        <f t="shared" si="266"/>
        <v>632948</v>
      </c>
      <c r="FQ118">
        <f t="shared" si="267"/>
        <v>12500</v>
      </c>
      <c r="FR118">
        <f t="shared" si="268"/>
        <v>26590</v>
      </c>
      <c r="FS118">
        <f t="shared" si="269"/>
        <v>39090</v>
      </c>
      <c r="FT118">
        <f t="shared" si="270"/>
        <v>39090</v>
      </c>
      <c r="FU118">
        <f t="shared" si="271"/>
        <v>1563.6000000000001</v>
      </c>
      <c r="FV118">
        <f t="shared" si="272"/>
        <v>40654</v>
      </c>
      <c r="FW118">
        <v>0</v>
      </c>
      <c r="FX118">
        <f t="shared" si="273"/>
        <v>40654</v>
      </c>
      <c r="FY118" t="b">
        <f t="shared" si="274"/>
        <v>1</v>
      </c>
      <c r="FZ118">
        <f t="shared" ca="1" si="275"/>
        <v>674</v>
      </c>
      <c r="GA118">
        <f t="shared" ca="1" si="276"/>
        <v>758022</v>
      </c>
      <c r="GB118">
        <f t="shared" si="277"/>
        <v>75000</v>
      </c>
      <c r="GC118">
        <f t="shared" ca="1" si="278"/>
        <v>683022</v>
      </c>
      <c r="GD118">
        <f t="shared" ca="1" si="279"/>
        <v>0</v>
      </c>
      <c r="GE118">
        <f t="shared" ca="1" si="280"/>
        <v>0</v>
      </c>
      <c r="GF118">
        <f t="shared" ca="1" si="281"/>
        <v>0</v>
      </c>
      <c r="GG118">
        <f t="shared" ca="1" si="282"/>
        <v>0</v>
      </c>
      <c r="GH118">
        <f t="shared" ca="1" si="283"/>
        <v>0</v>
      </c>
      <c r="GI118">
        <f t="shared" ca="1" si="284"/>
        <v>0</v>
      </c>
      <c r="GJ118">
        <f t="shared" ca="1" si="209"/>
        <v>0</v>
      </c>
      <c r="GK118">
        <f t="shared" ca="1" si="285"/>
        <v>0</v>
      </c>
      <c r="GL118">
        <f t="shared" ca="1" si="286"/>
        <v>0</v>
      </c>
      <c r="GM118">
        <f t="shared" ca="1" si="287"/>
        <v>0</v>
      </c>
      <c r="GN118">
        <f t="shared" ca="1" si="288"/>
        <v>283022</v>
      </c>
      <c r="GO118">
        <f t="shared" ca="1" si="289"/>
        <v>14151.1</v>
      </c>
      <c r="GP118">
        <f t="shared" ca="1" si="290"/>
        <v>14151</v>
      </c>
      <c r="GQ118">
        <f t="shared" ca="1" si="291"/>
        <v>0</v>
      </c>
      <c r="GR118">
        <f t="shared" ca="1" si="292"/>
        <v>0</v>
      </c>
      <c r="GS118">
        <f t="shared" ca="1" si="293"/>
        <v>14151</v>
      </c>
      <c r="GT118">
        <f t="shared" ca="1" si="294"/>
        <v>0</v>
      </c>
      <c r="GU118" t="b">
        <f t="shared" ca="1" si="295"/>
        <v>0</v>
      </c>
      <c r="GV118">
        <f t="shared" ca="1" si="296"/>
        <v>0</v>
      </c>
      <c r="GW118">
        <f t="shared" ca="1" si="297"/>
        <v>14151</v>
      </c>
      <c r="GX118">
        <f t="shared" ca="1" si="298"/>
        <v>0</v>
      </c>
      <c r="GY118">
        <f t="shared" ca="1" si="299"/>
        <v>0</v>
      </c>
      <c r="GZ118">
        <f t="shared" ca="1" si="300"/>
        <v>0</v>
      </c>
    </row>
    <row r="119" spans="1:208" x14ac:dyDescent="0.3">
      <c r="A119">
        <f>_xlfn.AGGREGATE(3,5,$B$2:B119)</f>
        <v>118</v>
      </c>
      <c r="B119" t="s">
        <v>352</v>
      </c>
      <c r="C119" t="s">
        <v>353</v>
      </c>
      <c r="D119" t="s">
        <v>781</v>
      </c>
      <c r="E119" t="s">
        <v>830</v>
      </c>
      <c r="F119" t="s">
        <v>956</v>
      </c>
      <c r="G119" t="s">
        <v>892</v>
      </c>
      <c r="H119">
        <f t="shared" si="302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1"/>
        <v>4830.0000000000009</v>
      </c>
      <c r="L119">
        <f t="shared" si="212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194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01"/>
        <v>200</v>
      </c>
      <c r="S119">
        <f t="shared" si="213"/>
        <v>38270</v>
      </c>
      <c r="T119">
        <f>_xlfn.XLOOKUP(B119,'[2]april-2025'!$A:$A,'[2]april-2025'!$C:$C,0,0)</f>
        <v>34500</v>
      </c>
      <c r="U119">
        <f t="shared" si="214"/>
        <v>6210</v>
      </c>
      <c r="V119">
        <f t="shared" si="215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16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17"/>
        <v>200</v>
      </c>
      <c r="AC119">
        <f t="shared" si="218"/>
        <v>39650</v>
      </c>
      <c r="AD119">
        <f>_xlfn.XLOOKUP(B119,'[3]may-2025'!$A:$A,'[3]may-2025'!$C:$C,0,0)</f>
        <v>34500</v>
      </c>
      <c r="AE119">
        <f t="shared" si="219"/>
        <v>6210</v>
      </c>
      <c r="AF119">
        <f t="shared" si="220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1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2"/>
        <v>200</v>
      </c>
      <c r="AM119">
        <f t="shared" si="223"/>
        <v>39650</v>
      </c>
      <c r="AN119">
        <f>_xlfn.XLOOKUP(B119,'[4]june-2025'!$A:$A,'[4]june-2025'!$C:$C,0,0)</f>
        <v>34500</v>
      </c>
      <c r="AO119">
        <f t="shared" si="224"/>
        <v>6210</v>
      </c>
      <c r="AP119">
        <f t="shared" si="225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26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27"/>
        <v>200</v>
      </c>
      <c r="AW119">
        <f t="shared" si="228"/>
        <v>39650</v>
      </c>
      <c r="AX119">
        <f>_xlfn.XLOOKUP(B119,'[5]july-2025'!$A:$A,'[5]july-2025'!$C:$C,0,0)</f>
        <v>35500</v>
      </c>
      <c r="AY119">
        <f t="shared" si="229"/>
        <v>6390</v>
      </c>
      <c r="AZ119">
        <v>0</v>
      </c>
      <c r="BA119">
        <f t="shared" si="230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195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1"/>
        <v>200</v>
      </c>
      <c r="BH119">
        <f t="shared" si="232"/>
        <v>40950</v>
      </c>
      <c r="BI119">
        <f>_xlfn.XLOOKUP(B119,'[6]august-2025'!$A:$A,'[6]august-2025'!$C:$C,0,0)</f>
        <v>35500</v>
      </c>
      <c r="BJ119">
        <f t="shared" si="233"/>
        <v>6390</v>
      </c>
      <c r="BK119">
        <f t="shared" si="234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35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196"/>
        <v>200</v>
      </c>
      <c r="BR119">
        <f t="shared" si="197"/>
        <v>40950</v>
      </c>
      <c r="BS119">
        <f>_xlfn.XLOOKUP(B119,'[7]september-2025'!$A:$A,'[7]september-2025'!$C:$C,0,0)</f>
        <v>35500</v>
      </c>
      <c r="BT119">
        <f t="shared" si="236"/>
        <v>6390</v>
      </c>
      <c r="BU119">
        <f t="shared" si="237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198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38"/>
        <v>200</v>
      </c>
      <c r="CB119">
        <f t="shared" si="239"/>
        <v>40950</v>
      </c>
      <c r="CC119">
        <f>_xlfn.XLOOKUP(B119,'[8]october-2025'!$A:$A,'[8]october-2025'!$C:$C,0,0)</f>
        <v>35500</v>
      </c>
      <c r="CD119">
        <f t="shared" si="240"/>
        <v>6390</v>
      </c>
      <c r="CE119">
        <f t="shared" si="241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199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42"/>
        <v>200</v>
      </c>
      <c r="CL119">
        <f t="shared" si="243"/>
        <v>40950</v>
      </c>
      <c r="CM119">
        <f>_xlfn.XLOOKUP(B119,'[9]november-2025'!$A:$A,'[9]november-2025'!$C:$C,0,0)</f>
        <v>35500</v>
      </c>
      <c r="CN119">
        <f t="shared" si="244"/>
        <v>6390</v>
      </c>
      <c r="CO119">
        <f t="shared" si="24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00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46"/>
        <v>200</v>
      </c>
      <c r="CV119">
        <f t="shared" si="247"/>
        <v>40950</v>
      </c>
      <c r="CW119">
        <f>_xlfn.XLOOKUP(B119,'[10]december-2025'!$A:$A,'[10]december-2025'!$C:$C,0,0)</f>
        <v>35500</v>
      </c>
      <c r="CX119">
        <f t="shared" si="248"/>
        <v>6390</v>
      </c>
      <c r="CY119">
        <f t="shared" si="249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0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50"/>
        <v>200</v>
      </c>
      <c r="DF119">
        <f t="shared" si="251"/>
        <v>40950</v>
      </c>
      <c r="DG119">
        <f>_xlfn.XLOOKUP(B119,'[11]january-2026'!$A:$A,'[11]january-2026'!$C:$C,0,0)</f>
        <v>35500</v>
      </c>
      <c r="DH119">
        <f t="shared" si="252"/>
        <v>6390</v>
      </c>
      <c r="DI119">
        <f t="shared" si="253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02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54"/>
        <v>200</v>
      </c>
      <c r="DP119">
        <f t="shared" si="255"/>
        <v>40950</v>
      </c>
      <c r="DQ119">
        <f>_xlfn.XLOOKUP(B119,'[12]february-2026'!$A:$A,'[12]february-2026'!$C:$C,0,0)</f>
        <v>35500</v>
      </c>
      <c r="DR119">
        <f t="shared" si="256"/>
        <v>6390</v>
      </c>
      <c r="DS119">
        <f t="shared" si="257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03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58"/>
        <v>200</v>
      </c>
      <c r="DZ119">
        <f t="shared" si="259"/>
        <v>40950</v>
      </c>
      <c r="EA119">
        <f>_xlfn.XLOOKUP(B119,'[1]march-2025'!$A:$A,'[1]march-2025'!$J:$J,0,0)</f>
        <v>0</v>
      </c>
      <c r="EB119">
        <f>_xlfn.XLOOKUP(B119,'[2]april-2025'!$A:$A,'[2]april-2025'!$J:$J,0,0)</f>
        <v>0</v>
      </c>
      <c r="EC119">
        <f>_xlfn.XLOOKUP(B119,'[3]may-2025'!$A:$A,'[3]may-2025'!$J:$J,0,0)</f>
        <v>0</v>
      </c>
      <c r="ED119">
        <f>_xlfn.XLOOKUP(B119,'[4]june-2025'!$A:$A,'[4]june-2025'!$J:$J,0,0)</f>
        <v>0</v>
      </c>
      <c r="EE119">
        <f>_xlfn.XLOOKUP(B119,'[5]july-2025'!$A:$A,'[5]july-2025'!$J:$J,0,0)</f>
        <v>0</v>
      </c>
      <c r="EF119">
        <f>_xlfn.XLOOKUP(B119,'[6]august-2025'!$A:$A,'[6]august-2025'!$J:$J,0,0)</f>
        <v>0</v>
      </c>
      <c r="EG119">
        <f>_xlfn.XLOOKUP(B119,'[7]september-2025'!$A:$A,'[7]september-2025'!$J:$J,0,0)</f>
        <v>0</v>
      </c>
      <c r="EH119">
        <f>_xlfn.XLOOKUP(B119,'[8]october-2025'!$A:$A,'[8]october-2025'!$J:$J,0,0)</f>
        <v>0</v>
      </c>
      <c r="EI119">
        <f>_xlfn.XLOOKUP(C119,'[9]november-2025'!$A:$A,'[9]november-2025'!$J:$J,0,0)</f>
        <v>0</v>
      </c>
      <c r="EJ119">
        <f>_xlfn.XLOOKUP(B119,'[10]december-2025'!$A:$A,'[10]december-2025'!$J:$J,0,0)</f>
        <v>0</v>
      </c>
      <c r="EK119">
        <f>_xlfn.XLOOKUP(B119,'[11]january-2026'!$A:$A,'[11]january-2026'!$J:$J,0,0)</f>
        <v>0</v>
      </c>
      <c r="EL119">
        <f>_xlfn.XLOOKUP(B119,'[12]february-2026'!$A:$A,'[12]february-2026'!$J:$J,0,0)</f>
        <v>0</v>
      </c>
      <c r="EM119">
        <f t="shared" si="260"/>
        <v>0</v>
      </c>
      <c r="EN119">
        <f t="shared" si="204"/>
        <v>554020</v>
      </c>
      <c r="EO119">
        <f t="shared" si="205"/>
        <v>2400</v>
      </c>
      <c r="EP119">
        <f t="shared" si="261"/>
        <v>50000</v>
      </c>
      <c r="EQ119">
        <v>0</v>
      </c>
      <c r="ER119">
        <f t="shared" si="262"/>
        <v>501620</v>
      </c>
      <c r="ES119">
        <f t="shared" si="206"/>
        <v>60000</v>
      </c>
      <c r="ET119">
        <f t="shared" si="207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263"/>
        <v>60000</v>
      </c>
      <c r="FF119">
        <f t="shared" si="264"/>
        <v>60000</v>
      </c>
      <c r="FG119">
        <f t="shared" si="265"/>
        <v>441620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208"/>
        <v>0</v>
      </c>
      <c r="FP119">
        <f t="shared" si="266"/>
        <v>441620</v>
      </c>
      <c r="FQ119">
        <f t="shared" si="267"/>
        <v>9581</v>
      </c>
      <c r="FR119">
        <f t="shared" si="268"/>
        <v>0</v>
      </c>
      <c r="FS119">
        <f t="shared" si="269"/>
        <v>9581</v>
      </c>
      <c r="FT119">
        <f t="shared" si="270"/>
        <v>0</v>
      </c>
      <c r="FU119">
        <f t="shared" si="271"/>
        <v>0</v>
      </c>
      <c r="FV119">
        <f t="shared" si="272"/>
        <v>0</v>
      </c>
      <c r="FW119">
        <v>0</v>
      </c>
      <c r="FX119">
        <f t="shared" si="273"/>
        <v>0</v>
      </c>
      <c r="FY119" t="b">
        <f t="shared" si="274"/>
        <v>1</v>
      </c>
      <c r="FZ119">
        <f t="shared" ca="1" si="275"/>
        <v>745</v>
      </c>
      <c r="GA119">
        <f t="shared" ca="1" si="276"/>
        <v>554765</v>
      </c>
      <c r="GB119">
        <f t="shared" si="277"/>
        <v>75000</v>
      </c>
      <c r="GC119">
        <f t="shared" ca="1" si="278"/>
        <v>479765</v>
      </c>
      <c r="GD119">
        <f t="shared" ca="1" si="279"/>
        <v>0</v>
      </c>
      <c r="GE119">
        <f t="shared" ca="1" si="280"/>
        <v>0</v>
      </c>
      <c r="GF119">
        <f t="shared" ca="1" si="281"/>
        <v>0</v>
      </c>
      <c r="GG119">
        <f t="shared" ca="1" si="282"/>
        <v>0</v>
      </c>
      <c r="GH119">
        <f t="shared" ca="1" si="283"/>
        <v>0</v>
      </c>
      <c r="GI119">
        <f t="shared" ca="1" si="284"/>
        <v>0</v>
      </c>
      <c r="GJ119">
        <f t="shared" ca="1" si="209"/>
        <v>0</v>
      </c>
      <c r="GK119">
        <f t="shared" ca="1" si="285"/>
        <v>0</v>
      </c>
      <c r="GL119">
        <f t="shared" ca="1" si="286"/>
        <v>0</v>
      </c>
      <c r="GM119">
        <f t="shared" ca="1" si="287"/>
        <v>0</v>
      </c>
      <c r="GN119">
        <f t="shared" ca="1" si="288"/>
        <v>79765</v>
      </c>
      <c r="GO119">
        <f t="shared" ca="1" si="289"/>
        <v>3988.25</v>
      </c>
      <c r="GP119">
        <f t="shared" ca="1" si="290"/>
        <v>3988</v>
      </c>
      <c r="GQ119">
        <f t="shared" ca="1" si="291"/>
        <v>0</v>
      </c>
      <c r="GR119">
        <f t="shared" ca="1" si="292"/>
        <v>0</v>
      </c>
      <c r="GS119">
        <f t="shared" ca="1" si="293"/>
        <v>3988</v>
      </c>
      <c r="GT119">
        <f t="shared" ca="1" si="294"/>
        <v>0</v>
      </c>
      <c r="GU119" t="b">
        <f t="shared" ca="1" si="295"/>
        <v>0</v>
      </c>
      <c r="GV119">
        <f t="shared" ca="1" si="296"/>
        <v>0</v>
      </c>
      <c r="GW119">
        <f t="shared" ca="1" si="297"/>
        <v>3988</v>
      </c>
      <c r="GX119">
        <f t="shared" ca="1" si="298"/>
        <v>0</v>
      </c>
      <c r="GY119">
        <f t="shared" ca="1" si="299"/>
        <v>0</v>
      </c>
      <c r="GZ119">
        <f t="shared" ca="1" si="300"/>
        <v>0</v>
      </c>
    </row>
    <row r="120" spans="1:208" x14ac:dyDescent="0.3">
      <c r="A120">
        <f>_xlfn.AGGREGATE(3,5,$B$2:B120)</f>
        <v>119</v>
      </c>
      <c r="B120" t="s">
        <v>354</v>
      </c>
      <c r="C120" t="s">
        <v>355</v>
      </c>
      <c r="D120" t="s">
        <v>781</v>
      </c>
      <c r="E120" t="s">
        <v>830</v>
      </c>
      <c r="F120" t="s">
        <v>956</v>
      </c>
      <c r="G120" t="s">
        <v>920</v>
      </c>
      <c r="H120">
        <f t="shared" si="302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1"/>
        <v>4830.0000000000009</v>
      </c>
      <c r="L120">
        <f t="shared" si="212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194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01"/>
        <v>200</v>
      </c>
      <c r="S120">
        <f t="shared" si="213"/>
        <v>38770</v>
      </c>
      <c r="T120">
        <f>_xlfn.XLOOKUP(B120,'[2]april-2025'!$A:$A,'[2]april-2025'!$C:$C,0,0)</f>
        <v>34500</v>
      </c>
      <c r="U120">
        <f t="shared" si="214"/>
        <v>6210</v>
      </c>
      <c r="V120">
        <f t="shared" si="215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16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17"/>
        <v>200</v>
      </c>
      <c r="AC120">
        <f t="shared" si="218"/>
        <v>40150</v>
      </c>
      <c r="AD120">
        <f>_xlfn.XLOOKUP(B120,'[3]may-2025'!$A:$A,'[3]may-2025'!$C:$C,0,0)</f>
        <v>34500</v>
      </c>
      <c r="AE120">
        <f t="shared" si="219"/>
        <v>6210</v>
      </c>
      <c r="AF120">
        <f t="shared" si="220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1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2"/>
        <v>200</v>
      </c>
      <c r="AM120">
        <f t="shared" si="223"/>
        <v>40150</v>
      </c>
      <c r="AN120">
        <f>_xlfn.XLOOKUP(B120,'[4]june-2025'!$A:$A,'[4]june-2025'!$C:$C,0,0)</f>
        <v>34500</v>
      </c>
      <c r="AO120">
        <f t="shared" si="224"/>
        <v>6210</v>
      </c>
      <c r="AP120">
        <f t="shared" si="225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26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27"/>
        <v>200</v>
      </c>
      <c r="AW120">
        <f t="shared" si="228"/>
        <v>40150</v>
      </c>
      <c r="AX120">
        <f>_xlfn.XLOOKUP(B120,'[5]july-2025'!$A:$A,'[5]july-2025'!$C:$C,0,0)</f>
        <v>35500</v>
      </c>
      <c r="AY120">
        <f t="shared" si="229"/>
        <v>6390</v>
      </c>
      <c r="AZ120">
        <v>0</v>
      </c>
      <c r="BA120">
        <f t="shared" si="230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195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1"/>
        <v>200</v>
      </c>
      <c r="BH120">
        <f t="shared" si="232"/>
        <v>41450</v>
      </c>
      <c r="BI120">
        <f>_xlfn.XLOOKUP(B120,'[6]august-2025'!$A:$A,'[6]august-2025'!$C:$C,0,0)</f>
        <v>35500</v>
      </c>
      <c r="BJ120">
        <f t="shared" si="233"/>
        <v>6390</v>
      </c>
      <c r="BK120">
        <f t="shared" si="234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35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196"/>
        <v>200</v>
      </c>
      <c r="BR120">
        <f t="shared" si="197"/>
        <v>41450</v>
      </c>
      <c r="BS120">
        <f>_xlfn.XLOOKUP(B120,'[7]september-2025'!$A:$A,'[7]september-2025'!$C:$C,0,0)</f>
        <v>35500</v>
      </c>
      <c r="BT120">
        <f t="shared" si="236"/>
        <v>6390</v>
      </c>
      <c r="BU120">
        <f t="shared" si="237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198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38"/>
        <v>200</v>
      </c>
      <c r="CB120">
        <f t="shared" si="239"/>
        <v>41450</v>
      </c>
      <c r="CC120">
        <f>_xlfn.XLOOKUP(B120,'[8]october-2025'!$A:$A,'[8]october-2025'!$C:$C,0,0)</f>
        <v>35500</v>
      </c>
      <c r="CD120">
        <f t="shared" si="240"/>
        <v>6390</v>
      </c>
      <c r="CE120">
        <f t="shared" si="241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199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42"/>
        <v>200</v>
      </c>
      <c r="CL120">
        <f t="shared" si="243"/>
        <v>41450</v>
      </c>
      <c r="CM120">
        <f>_xlfn.XLOOKUP(B120,'[9]november-2025'!$A:$A,'[9]november-2025'!$C:$C,0,0)</f>
        <v>35500</v>
      </c>
      <c r="CN120">
        <f t="shared" si="244"/>
        <v>6390</v>
      </c>
      <c r="CO120">
        <f t="shared" si="24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00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46"/>
        <v>200</v>
      </c>
      <c r="CV120">
        <f t="shared" si="247"/>
        <v>41450</v>
      </c>
      <c r="CW120">
        <f>_xlfn.XLOOKUP(B120,'[10]december-2025'!$A:$A,'[10]december-2025'!$C:$C,0,0)</f>
        <v>35500</v>
      </c>
      <c r="CX120">
        <f t="shared" si="248"/>
        <v>6390</v>
      </c>
      <c r="CY120">
        <f t="shared" si="249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0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50"/>
        <v>200</v>
      </c>
      <c r="DF120">
        <f t="shared" si="251"/>
        <v>41450</v>
      </c>
      <c r="DG120">
        <f>_xlfn.XLOOKUP(B120,'[11]january-2026'!$A:$A,'[11]january-2026'!$C:$C,0,0)</f>
        <v>35500</v>
      </c>
      <c r="DH120">
        <f t="shared" si="252"/>
        <v>6390</v>
      </c>
      <c r="DI120">
        <f t="shared" si="253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02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54"/>
        <v>200</v>
      </c>
      <c r="DP120">
        <f t="shared" si="255"/>
        <v>41450</v>
      </c>
      <c r="DQ120">
        <f>_xlfn.XLOOKUP(B120,'[12]february-2026'!$A:$A,'[12]february-2026'!$C:$C,0,0)</f>
        <v>35500</v>
      </c>
      <c r="DR120">
        <f t="shared" si="256"/>
        <v>6390</v>
      </c>
      <c r="DS120">
        <f t="shared" si="257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03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58"/>
        <v>200</v>
      </c>
      <c r="DZ120">
        <f t="shared" si="259"/>
        <v>41450</v>
      </c>
      <c r="EA120">
        <f>_xlfn.XLOOKUP(B120,'[1]march-2025'!$A:$A,'[1]march-2025'!$J:$J,0,0)</f>
        <v>0</v>
      </c>
      <c r="EB120">
        <f>_xlfn.XLOOKUP(B120,'[2]april-2025'!$A:$A,'[2]april-2025'!$J:$J,0,0)</f>
        <v>0</v>
      </c>
      <c r="EC120">
        <f>_xlfn.XLOOKUP(B120,'[3]may-2025'!$A:$A,'[3]may-2025'!$J:$J,0,0)</f>
        <v>0</v>
      </c>
      <c r="ED120">
        <f>_xlfn.XLOOKUP(B120,'[4]june-2025'!$A:$A,'[4]june-2025'!$J:$J,0,0)</f>
        <v>0</v>
      </c>
      <c r="EE120">
        <f>_xlfn.XLOOKUP(B120,'[5]july-2025'!$A:$A,'[5]july-2025'!$J:$J,0,0)</f>
        <v>0</v>
      </c>
      <c r="EF120">
        <f>_xlfn.XLOOKUP(B120,'[6]august-2025'!$A:$A,'[6]august-2025'!$J:$J,0,0)</f>
        <v>0</v>
      </c>
      <c r="EG120">
        <f>_xlfn.XLOOKUP(B120,'[7]september-2025'!$A:$A,'[7]september-2025'!$J:$J,0,0)</f>
        <v>0</v>
      </c>
      <c r="EH120">
        <f>_xlfn.XLOOKUP(B120,'[8]october-2025'!$A:$A,'[8]october-2025'!$J:$J,0,0)</f>
        <v>0</v>
      </c>
      <c r="EI120">
        <f>_xlfn.XLOOKUP(C120,'[9]november-2025'!$A:$A,'[9]november-2025'!$J:$J,0,0)</f>
        <v>0</v>
      </c>
      <c r="EJ120">
        <f>_xlfn.XLOOKUP(B120,'[10]december-2025'!$A:$A,'[10]december-2025'!$J:$J,0,0)</f>
        <v>0</v>
      </c>
      <c r="EK120">
        <f>_xlfn.XLOOKUP(B120,'[11]january-2026'!$A:$A,'[11]january-2026'!$J:$J,0,0)</f>
        <v>0</v>
      </c>
      <c r="EL120">
        <f>_xlfn.XLOOKUP(B120,'[12]february-2026'!$A:$A,'[12]february-2026'!$J:$J,0,0)</f>
        <v>0</v>
      </c>
      <c r="EM120">
        <f t="shared" si="260"/>
        <v>0</v>
      </c>
      <c r="EN120">
        <f t="shared" si="204"/>
        <v>560020</v>
      </c>
      <c r="EO120">
        <f t="shared" si="205"/>
        <v>2400</v>
      </c>
      <c r="EP120">
        <f t="shared" si="261"/>
        <v>50000</v>
      </c>
      <c r="EQ120">
        <v>0</v>
      </c>
      <c r="ER120">
        <f t="shared" si="262"/>
        <v>507620</v>
      </c>
      <c r="ES120">
        <f t="shared" si="206"/>
        <v>60000</v>
      </c>
      <c r="ET120">
        <f t="shared" si="207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263"/>
        <v>60000</v>
      </c>
      <c r="FF120">
        <f t="shared" si="264"/>
        <v>60000</v>
      </c>
      <c r="FG120">
        <f t="shared" si="265"/>
        <v>447620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208"/>
        <v>0</v>
      </c>
      <c r="FP120">
        <f t="shared" si="266"/>
        <v>447620</v>
      </c>
      <c r="FQ120">
        <f t="shared" si="267"/>
        <v>9881</v>
      </c>
      <c r="FR120">
        <f t="shared" si="268"/>
        <v>0</v>
      </c>
      <c r="FS120">
        <f t="shared" si="269"/>
        <v>9881</v>
      </c>
      <c r="FT120">
        <f t="shared" si="270"/>
        <v>0</v>
      </c>
      <c r="FU120">
        <f t="shared" si="271"/>
        <v>0</v>
      </c>
      <c r="FV120">
        <f t="shared" si="272"/>
        <v>0</v>
      </c>
      <c r="FW120">
        <v>0</v>
      </c>
      <c r="FX120">
        <f t="shared" si="273"/>
        <v>0</v>
      </c>
      <c r="FY120" t="b">
        <f t="shared" si="274"/>
        <v>1</v>
      </c>
      <c r="FZ120">
        <f t="shared" ca="1" si="275"/>
        <v>551</v>
      </c>
      <c r="GA120">
        <f t="shared" ca="1" si="276"/>
        <v>560571</v>
      </c>
      <c r="GB120">
        <f t="shared" si="277"/>
        <v>75000</v>
      </c>
      <c r="GC120">
        <f t="shared" ca="1" si="278"/>
        <v>485571</v>
      </c>
      <c r="GD120">
        <f t="shared" ca="1" si="279"/>
        <v>0</v>
      </c>
      <c r="GE120">
        <f t="shared" ca="1" si="280"/>
        <v>0</v>
      </c>
      <c r="GF120">
        <f t="shared" ca="1" si="281"/>
        <v>0</v>
      </c>
      <c r="GG120">
        <f t="shared" ca="1" si="282"/>
        <v>0</v>
      </c>
      <c r="GH120">
        <f t="shared" ca="1" si="283"/>
        <v>0</v>
      </c>
      <c r="GI120">
        <f t="shared" ca="1" si="284"/>
        <v>0</v>
      </c>
      <c r="GJ120">
        <f t="shared" ca="1" si="209"/>
        <v>0</v>
      </c>
      <c r="GK120">
        <f t="shared" ca="1" si="285"/>
        <v>0</v>
      </c>
      <c r="GL120">
        <f t="shared" ca="1" si="286"/>
        <v>0</v>
      </c>
      <c r="GM120">
        <f t="shared" ca="1" si="287"/>
        <v>0</v>
      </c>
      <c r="GN120">
        <f t="shared" ca="1" si="288"/>
        <v>85571</v>
      </c>
      <c r="GO120">
        <f t="shared" ca="1" si="289"/>
        <v>4278.55</v>
      </c>
      <c r="GP120">
        <f t="shared" ca="1" si="290"/>
        <v>4279</v>
      </c>
      <c r="GQ120">
        <f t="shared" ca="1" si="291"/>
        <v>0</v>
      </c>
      <c r="GR120">
        <f t="shared" ca="1" si="292"/>
        <v>0</v>
      </c>
      <c r="GS120">
        <f t="shared" ca="1" si="293"/>
        <v>4279</v>
      </c>
      <c r="GT120">
        <f t="shared" ca="1" si="294"/>
        <v>0</v>
      </c>
      <c r="GU120" t="b">
        <f t="shared" ca="1" si="295"/>
        <v>0</v>
      </c>
      <c r="GV120">
        <f t="shared" ca="1" si="296"/>
        <v>0</v>
      </c>
      <c r="GW120">
        <f t="shared" ca="1" si="297"/>
        <v>4279</v>
      </c>
      <c r="GX120">
        <f t="shared" ca="1" si="298"/>
        <v>0</v>
      </c>
      <c r="GY120">
        <f t="shared" ca="1" si="299"/>
        <v>0</v>
      </c>
      <c r="GZ120">
        <f t="shared" ca="1" si="300"/>
        <v>0</v>
      </c>
    </row>
    <row r="121" spans="1:208" x14ac:dyDescent="0.3">
      <c r="A121">
        <f>_xlfn.AGGREGATE(3,5,$B$2:B121)</f>
        <v>120</v>
      </c>
      <c r="B121" t="s">
        <v>356</v>
      </c>
      <c r="C121" t="s">
        <v>357</v>
      </c>
      <c r="D121" t="s">
        <v>781</v>
      </c>
      <c r="E121" t="s">
        <v>830</v>
      </c>
      <c r="F121" t="s">
        <v>956</v>
      </c>
      <c r="G121" t="s">
        <v>878</v>
      </c>
      <c r="H121">
        <f t="shared" si="302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1"/>
        <v>3780.0000000000005</v>
      </c>
      <c r="L121">
        <f t="shared" si="212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194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01"/>
        <v>150</v>
      </c>
      <c r="S121">
        <f t="shared" si="213"/>
        <v>31870</v>
      </c>
      <c r="T121">
        <f>_xlfn.XLOOKUP(B121,'[2]april-2025'!$A:$A,'[2]april-2025'!$C:$C,0,0)</f>
        <v>27000</v>
      </c>
      <c r="U121">
        <f t="shared" si="214"/>
        <v>4860</v>
      </c>
      <c r="V121">
        <f t="shared" si="215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16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17"/>
        <v>150</v>
      </c>
      <c r="AC121">
        <f t="shared" si="218"/>
        <v>32950</v>
      </c>
      <c r="AD121">
        <f>_xlfn.XLOOKUP(B121,'[3]may-2025'!$A:$A,'[3]may-2025'!$C:$C,0,0)</f>
        <v>31600</v>
      </c>
      <c r="AE121">
        <f t="shared" si="219"/>
        <v>5688</v>
      </c>
      <c r="AF121">
        <f t="shared" si="220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1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2"/>
        <v>200</v>
      </c>
      <c r="AM121">
        <f t="shared" si="223"/>
        <v>38880</v>
      </c>
      <c r="AN121">
        <f>_xlfn.XLOOKUP(B121,'[4]june-2025'!$A:$A,'[4]june-2025'!$C:$C,0,0)</f>
        <v>31600</v>
      </c>
      <c r="AO121">
        <f t="shared" si="224"/>
        <v>5688</v>
      </c>
      <c r="AP121">
        <f t="shared" si="225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26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27"/>
        <v>200</v>
      </c>
      <c r="AW121">
        <f t="shared" si="228"/>
        <v>38880</v>
      </c>
      <c r="AX121">
        <f>_xlfn.XLOOKUP(B121,'[5]july-2025'!$A:$A,'[5]july-2025'!$C:$C,0,0)</f>
        <v>32500</v>
      </c>
      <c r="AY121">
        <f t="shared" si="229"/>
        <v>5850</v>
      </c>
      <c r="AZ121">
        <v>0</v>
      </c>
      <c r="BA121">
        <f t="shared" si="230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195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1"/>
        <v>200</v>
      </c>
      <c r="BH121">
        <f t="shared" si="232"/>
        <v>40050</v>
      </c>
      <c r="BI121">
        <f>_xlfn.XLOOKUP(B121,'[6]august-2025'!$A:$A,'[6]august-2025'!$C:$C,0,0)</f>
        <v>32500</v>
      </c>
      <c r="BJ121">
        <f t="shared" si="233"/>
        <v>5850</v>
      </c>
      <c r="BK121">
        <f t="shared" si="234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35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196"/>
        <v>200</v>
      </c>
      <c r="BR121">
        <f t="shared" si="197"/>
        <v>40050</v>
      </c>
      <c r="BS121">
        <f>_xlfn.XLOOKUP(B121,'[7]september-2025'!$A:$A,'[7]september-2025'!$C:$C,0,0)</f>
        <v>32500</v>
      </c>
      <c r="BT121">
        <f t="shared" si="236"/>
        <v>5850</v>
      </c>
      <c r="BU121">
        <f t="shared" si="237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198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38"/>
        <v>200</v>
      </c>
      <c r="CB121">
        <f t="shared" si="239"/>
        <v>40050</v>
      </c>
      <c r="CC121">
        <f>_xlfn.XLOOKUP(B121,'[8]october-2025'!$A:$A,'[8]october-2025'!$C:$C,0,0)</f>
        <v>32500</v>
      </c>
      <c r="CD121">
        <f t="shared" si="240"/>
        <v>5850</v>
      </c>
      <c r="CE121">
        <f t="shared" si="241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199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42"/>
        <v>200</v>
      </c>
      <c r="CL121">
        <f t="shared" si="243"/>
        <v>40050</v>
      </c>
      <c r="CM121">
        <f>_xlfn.XLOOKUP(B121,'[9]november-2025'!$A:$A,'[9]november-2025'!$C:$C,0,0)</f>
        <v>32500</v>
      </c>
      <c r="CN121">
        <f t="shared" si="244"/>
        <v>5850</v>
      </c>
      <c r="CO121">
        <f t="shared" si="24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00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46"/>
        <v>200</v>
      </c>
      <c r="CV121">
        <f t="shared" si="247"/>
        <v>40050</v>
      </c>
      <c r="CW121">
        <f>_xlfn.XLOOKUP(B121,'[10]december-2025'!$A:$A,'[10]december-2025'!$C:$C,0,0)</f>
        <v>32500</v>
      </c>
      <c r="CX121">
        <f t="shared" si="248"/>
        <v>5850</v>
      </c>
      <c r="CY121">
        <f t="shared" si="249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0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50"/>
        <v>200</v>
      </c>
      <c r="DF121">
        <f t="shared" si="251"/>
        <v>40050</v>
      </c>
      <c r="DG121">
        <f>_xlfn.XLOOKUP(B121,'[11]january-2026'!$A:$A,'[11]january-2026'!$C:$C,0,0)</f>
        <v>32500</v>
      </c>
      <c r="DH121">
        <f t="shared" si="252"/>
        <v>5850</v>
      </c>
      <c r="DI121">
        <f t="shared" si="253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02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54"/>
        <v>200</v>
      </c>
      <c r="DP121">
        <f t="shared" si="255"/>
        <v>40050</v>
      </c>
      <c r="DQ121">
        <f>_xlfn.XLOOKUP(B121,'[12]february-2026'!$A:$A,'[12]february-2026'!$C:$C,0,0)</f>
        <v>32500</v>
      </c>
      <c r="DR121">
        <f t="shared" si="256"/>
        <v>5850</v>
      </c>
      <c r="DS121">
        <f t="shared" si="257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03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58"/>
        <v>200</v>
      </c>
      <c r="DZ121">
        <f t="shared" si="259"/>
        <v>40050</v>
      </c>
      <c r="EA121">
        <f>_xlfn.XLOOKUP(B121,'[1]march-2025'!$A:$A,'[1]march-2025'!$J:$J,0,0)</f>
        <v>0</v>
      </c>
      <c r="EB121">
        <f>_xlfn.XLOOKUP(B121,'[2]april-2025'!$A:$A,'[2]april-2025'!$J:$J,0,0)</f>
        <v>0</v>
      </c>
      <c r="EC121">
        <f>_xlfn.XLOOKUP(B121,'[3]may-2025'!$A:$A,'[3]may-2025'!$J:$J,0,0)</f>
        <v>0</v>
      </c>
      <c r="ED121">
        <f>_xlfn.XLOOKUP(B121,'[4]june-2025'!$A:$A,'[4]june-2025'!$J:$J,0,0)</f>
        <v>0</v>
      </c>
      <c r="EE121">
        <f>_xlfn.XLOOKUP(B121,'[5]july-2025'!$A:$A,'[5]july-2025'!$J:$J,0,0)</f>
        <v>0</v>
      </c>
      <c r="EF121">
        <f>_xlfn.XLOOKUP(B121,'[6]august-2025'!$A:$A,'[6]august-2025'!$J:$J,0,0)</f>
        <v>0</v>
      </c>
      <c r="EG121">
        <f>_xlfn.XLOOKUP(B121,'[7]september-2025'!$A:$A,'[7]september-2025'!$J:$J,0,0)</f>
        <v>0</v>
      </c>
      <c r="EH121">
        <f>_xlfn.XLOOKUP(B121,'[8]october-2025'!$A:$A,'[8]october-2025'!$J:$J,0,0)</f>
        <v>0</v>
      </c>
      <c r="EI121">
        <f>_xlfn.XLOOKUP(C121,'[9]november-2025'!$A:$A,'[9]november-2025'!$J:$J,0,0)</f>
        <v>0</v>
      </c>
      <c r="EJ121">
        <f>_xlfn.XLOOKUP(B121,'[10]december-2025'!$A:$A,'[10]december-2025'!$J:$J,0,0)</f>
        <v>0</v>
      </c>
      <c r="EK121">
        <f>_xlfn.XLOOKUP(B121,'[11]january-2026'!$A:$A,'[11]january-2026'!$J:$J,0,0)</f>
        <v>0</v>
      </c>
      <c r="EL121">
        <f>_xlfn.XLOOKUP(B121,'[12]february-2026'!$A:$A,'[12]february-2026'!$J:$J,0,0)</f>
        <v>0</v>
      </c>
      <c r="EM121">
        <f t="shared" si="260"/>
        <v>0</v>
      </c>
      <c r="EN121">
        <f t="shared" si="204"/>
        <v>496080</v>
      </c>
      <c r="EO121">
        <f t="shared" si="205"/>
        <v>2300</v>
      </c>
      <c r="EP121">
        <f t="shared" si="261"/>
        <v>50000</v>
      </c>
      <c r="EQ121">
        <v>0</v>
      </c>
      <c r="ER121">
        <f t="shared" si="262"/>
        <v>443780</v>
      </c>
      <c r="ES121">
        <f t="shared" si="206"/>
        <v>24000</v>
      </c>
      <c r="ET121">
        <f t="shared" si="207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263"/>
        <v>24000</v>
      </c>
      <c r="FF121">
        <f t="shared" si="264"/>
        <v>24000</v>
      </c>
      <c r="FG121">
        <f t="shared" si="265"/>
        <v>419780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208"/>
        <v>0</v>
      </c>
      <c r="FP121">
        <f t="shared" si="266"/>
        <v>419780</v>
      </c>
      <c r="FQ121">
        <f t="shared" si="267"/>
        <v>8489</v>
      </c>
      <c r="FR121">
        <f t="shared" si="268"/>
        <v>0</v>
      </c>
      <c r="FS121">
        <f t="shared" si="269"/>
        <v>8489</v>
      </c>
      <c r="FT121">
        <f t="shared" si="270"/>
        <v>0</v>
      </c>
      <c r="FU121">
        <f t="shared" si="271"/>
        <v>0</v>
      </c>
      <c r="FV121">
        <f t="shared" si="272"/>
        <v>0</v>
      </c>
      <c r="FW121">
        <v>0</v>
      </c>
      <c r="FX121">
        <f t="shared" si="273"/>
        <v>0</v>
      </c>
      <c r="FY121" t="b">
        <f t="shared" si="274"/>
        <v>0</v>
      </c>
      <c r="FZ121">
        <f t="shared" ca="1" si="275"/>
        <v>1261</v>
      </c>
      <c r="GA121">
        <f t="shared" ca="1" si="276"/>
        <v>497341</v>
      </c>
      <c r="GB121">
        <f t="shared" si="277"/>
        <v>75000</v>
      </c>
      <c r="GC121">
        <f t="shared" ca="1" si="278"/>
        <v>422341</v>
      </c>
      <c r="GD121">
        <f t="shared" ca="1" si="279"/>
        <v>0</v>
      </c>
      <c r="GE121">
        <f t="shared" ca="1" si="280"/>
        <v>0</v>
      </c>
      <c r="GF121">
        <f t="shared" ca="1" si="281"/>
        <v>0</v>
      </c>
      <c r="GG121">
        <f t="shared" ca="1" si="282"/>
        <v>0</v>
      </c>
      <c r="GH121">
        <f t="shared" ca="1" si="283"/>
        <v>0</v>
      </c>
      <c r="GI121">
        <f t="shared" ca="1" si="284"/>
        <v>0</v>
      </c>
      <c r="GJ121">
        <f t="shared" ca="1" si="209"/>
        <v>0</v>
      </c>
      <c r="GK121">
        <f t="shared" ca="1" si="285"/>
        <v>0</v>
      </c>
      <c r="GL121">
        <f t="shared" ca="1" si="286"/>
        <v>0</v>
      </c>
      <c r="GM121">
        <f t="shared" ca="1" si="287"/>
        <v>0</v>
      </c>
      <c r="GN121">
        <f t="shared" ca="1" si="288"/>
        <v>22341</v>
      </c>
      <c r="GO121">
        <f t="shared" ca="1" si="289"/>
        <v>1117.05</v>
      </c>
      <c r="GP121">
        <f t="shared" ca="1" si="290"/>
        <v>1117</v>
      </c>
      <c r="GQ121">
        <f t="shared" ca="1" si="291"/>
        <v>0</v>
      </c>
      <c r="GR121">
        <f t="shared" ca="1" si="292"/>
        <v>0</v>
      </c>
      <c r="GS121">
        <f t="shared" ca="1" si="293"/>
        <v>1117</v>
      </c>
      <c r="GT121">
        <f t="shared" ca="1" si="294"/>
        <v>0</v>
      </c>
      <c r="GU121" t="b">
        <f t="shared" ca="1" si="295"/>
        <v>0</v>
      </c>
      <c r="GV121">
        <f t="shared" ca="1" si="296"/>
        <v>0</v>
      </c>
      <c r="GW121">
        <f t="shared" ca="1" si="297"/>
        <v>1117</v>
      </c>
      <c r="GX121">
        <f t="shared" ca="1" si="298"/>
        <v>0</v>
      </c>
      <c r="GY121">
        <f t="shared" ca="1" si="299"/>
        <v>0</v>
      </c>
      <c r="GZ121">
        <f t="shared" ca="1" si="300"/>
        <v>0</v>
      </c>
    </row>
    <row r="122" spans="1:208" x14ac:dyDescent="0.3">
      <c r="A122">
        <f>_xlfn.AGGREGATE(3,5,$B$2:B122)</f>
        <v>121</v>
      </c>
      <c r="B122" t="s">
        <v>358</v>
      </c>
      <c r="C122" t="s">
        <v>359</v>
      </c>
      <c r="D122" t="s">
        <v>781</v>
      </c>
      <c r="E122" t="s">
        <v>830</v>
      </c>
      <c r="F122" t="s">
        <v>956</v>
      </c>
      <c r="G122" t="s">
        <v>878</v>
      </c>
      <c r="H122">
        <f t="shared" si="302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1"/>
        <v>4424</v>
      </c>
      <c r="L122">
        <f t="shared" si="212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194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01"/>
        <v>200</v>
      </c>
      <c r="S122">
        <f t="shared" si="213"/>
        <v>38116</v>
      </c>
      <c r="T122">
        <f>_xlfn.XLOOKUP(B122,'[2]april-2025'!$A:$A,'[2]april-2025'!$C:$C,0,0)</f>
        <v>31600</v>
      </c>
      <c r="U122">
        <f t="shared" si="214"/>
        <v>5688</v>
      </c>
      <c r="V122">
        <f t="shared" si="215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16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17"/>
        <v>200</v>
      </c>
      <c r="AC122">
        <f t="shared" si="218"/>
        <v>39380</v>
      </c>
      <c r="AD122">
        <f>_xlfn.XLOOKUP(B122,'[3]may-2025'!$A:$A,'[3]may-2025'!$C:$C,0,0)</f>
        <v>31600</v>
      </c>
      <c r="AE122">
        <f t="shared" si="219"/>
        <v>5688</v>
      </c>
      <c r="AF122">
        <f t="shared" si="220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1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2"/>
        <v>200</v>
      </c>
      <c r="AM122">
        <f t="shared" si="223"/>
        <v>39380</v>
      </c>
      <c r="AN122">
        <f>_xlfn.XLOOKUP(B122,'[4]june-2025'!$A:$A,'[4]june-2025'!$C:$C,0,0)</f>
        <v>31600</v>
      </c>
      <c r="AO122">
        <f t="shared" si="224"/>
        <v>5688</v>
      </c>
      <c r="AP122">
        <f t="shared" si="225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26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27"/>
        <v>200</v>
      </c>
      <c r="AW122">
        <f t="shared" si="228"/>
        <v>39380</v>
      </c>
      <c r="AX122">
        <f>_xlfn.XLOOKUP(B122,'[5]july-2025'!$A:$A,'[5]july-2025'!$C:$C,0,0)</f>
        <v>32500</v>
      </c>
      <c r="AY122">
        <f t="shared" si="229"/>
        <v>5850</v>
      </c>
      <c r="AZ122">
        <v>0</v>
      </c>
      <c r="BA122">
        <f t="shared" si="230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195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1"/>
        <v>200</v>
      </c>
      <c r="BH122">
        <f t="shared" si="232"/>
        <v>40550</v>
      </c>
      <c r="BI122">
        <f>_xlfn.XLOOKUP(B122,'[6]august-2025'!$A:$A,'[6]august-2025'!$C:$C,0,0)</f>
        <v>32500</v>
      </c>
      <c r="BJ122">
        <f t="shared" si="233"/>
        <v>5850</v>
      </c>
      <c r="BK122">
        <f t="shared" si="234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35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196"/>
        <v>200</v>
      </c>
      <c r="BR122">
        <f t="shared" si="197"/>
        <v>40550</v>
      </c>
      <c r="BS122">
        <f>_xlfn.XLOOKUP(B122,'[7]september-2025'!$A:$A,'[7]september-2025'!$C:$C,0,0)</f>
        <v>32500</v>
      </c>
      <c r="BT122">
        <f t="shared" si="236"/>
        <v>5850</v>
      </c>
      <c r="BU122">
        <f t="shared" si="237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198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38"/>
        <v>200</v>
      </c>
      <c r="CB122">
        <f t="shared" si="239"/>
        <v>40550</v>
      </c>
      <c r="CC122">
        <f>_xlfn.XLOOKUP(B122,'[8]october-2025'!$A:$A,'[8]october-2025'!$C:$C,0,0)</f>
        <v>32500</v>
      </c>
      <c r="CD122">
        <f t="shared" si="240"/>
        <v>5850</v>
      </c>
      <c r="CE122">
        <f t="shared" si="241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199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42"/>
        <v>200</v>
      </c>
      <c r="CL122">
        <f t="shared" si="243"/>
        <v>40550</v>
      </c>
      <c r="CM122">
        <f>_xlfn.XLOOKUP(B122,'[9]november-2025'!$A:$A,'[9]november-2025'!$C:$C,0,0)</f>
        <v>32500</v>
      </c>
      <c r="CN122">
        <f t="shared" si="244"/>
        <v>5850</v>
      </c>
      <c r="CO122">
        <f t="shared" si="24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00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46"/>
        <v>200</v>
      </c>
      <c r="CV122">
        <f t="shared" si="247"/>
        <v>40550</v>
      </c>
      <c r="CW122">
        <f>_xlfn.XLOOKUP(B122,'[10]december-2025'!$A:$A,'[10]december-2025'!$C:$C,0,0)</f>
        <v>32500</v>
      </c>
      <c r="CX122">
        <f t="shared" si="248"/>
        <v>5850</v>
      </c>
      <c r="CY122">
        <f t="shared" si="249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0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50"/>
        <v>200</v>
      </c>
      <c r="DF122">
        <f t="shared" si="251"/>
        <v>40550</v>
      </c>
      <c r="DG122">
        <f>_xlfn.XLOOKUP(B122,'[11]january-2026'!$A:$A,'[11]january-2026'!$C:$C,0,0)</f>
        <v>32500</v>
      </c>
      <c r="DH122">
        <f t="shared" si="252"/>
        <v>5850</v>
      </c>
      <c r="DI122">
        <f t="shared" si="253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02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54"/>
        <v>200</v>
      </c>
      <c r="DP122">
        <f t="shared" si="255"/>
        <v>40550</v>
      </c>
      <c r="DQ122">
        <f>_xlfn.XLOOKUP(B122,'[12]february-2026'!$A:$A,'[12]february-2026'!$C:$C,0,0)</f>
        <v>32500</v>
      </c>
      <c r="DR122">
        <f t="shared" si="256"/>
        <v>5850</v>
      </c>
      <c r="DS122">
        <f t="shared" si="257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03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58"/>
        <v>200</v>
      </c>
      <c r="DZ122">
        <f t="shared" si="259"/>
        <v>40550</v>
      </c>
      <c r="EA122">
        <f>_xlfn.XLOOKUP(B122,'[1]march-2025'!$A:$A,'[1]march-2025'!$J:$J,0,0)</f>
        <v>0</v>
      </c>
      <c r="EB122">
        <f>_xlfn.XLOOKUP(B122,'[2]april-2025'!$A:$A,'[2]april-2025'!$J:$J,0,0)</f>
        <v>0</v>
      </c>
      <c r="EC122">
        <f>_xlfn.XLOOKUP(B122,'[3]may-2025'!$A:$A,'[3]may-2025'!$J:$J,0,0)</f>
        <v>0</v>
      </c>
      <c r="ED122">
        <f>_xlfn.XLOOKUP(B122,'[4]june-2025'!$A:$A,'[4]june-2025'!$J:$J,0,0)</f>
        <v>0</v>
      </c>
      <c r="EE122">
        <f>_xlfn.XLOOKUP(B122,'[5]july-2025'!$A:$A,'[5]july-2025'!$J:$J,0,0)</f>
        <v>0</v>
      </c>
      <c r="EF122">
        <f>_xlfn.XLOOKUP(B122,'[6]august-2025'!$A:$A,'[6]august-2025'!$J:$J,0,0)</f>
        <v>0</v>
      </c>
      <c r="EG122">
        <f>_xlfn.XLOOKUP(B122,'[7]september-2025'!$A:$A,'[7]september-2025'!$J:$J,0,0)</f>
        <v>0</v>
      </c>
      <c r="EH122">
        <f>_xlfn.XLOOKUP(B122,'[8]october-2025'!$A:$A,'[8]october-2025'!$J:$J,0,0)</f>
        <v>0</v>
      </c>
      <c r="EI122">
        <f>_xlfn.XLOOKUP(C122,'[9]november-2025'!$A:$A,'[9]november-2025'!$J:$J,0,0)</f>
        <v>0</v>
      </c>
      <c r="EJ122">
        <f>_xlfn.XLOOKUP(B122,'[10]december-2025'!$A:$A,'[10]december-2025'!$J:$J,0,0)</f>
        <v>0</v>
      </c>
      <c r="EK122">
        <f>_xlfn.XLOOKUP(B122,'[11]january-2026'!$A:$A,'[11]january-2026'!$J:$J,0,0)</f>
        <v>0</v>
      </c>
      <c r="EL122">
        <f>_xlfn.XLOOKUP(B122,'[12]february-2026'!$A:$A,'[12]february-2026'!$J:$J,0,0)</f>
        <v>0</v>
      </c>
      <c r="EM122">
        <f t="shared" si="260"/>
        <v>0</v>
      </c>
      <c r="EN122">
        <f t="shared" si="204"/>
        <v>513856</v>
      </c>
      <c r="EO122">
        <f t="shared" si="205"/>
        <v>2400</v>
      </c>
      <c r="EP122">
        <f t="shared" si="261"/>
        <v>50000</v>
      </c>
      <c r="EQ122">
        <v>0</v>
      </c>
      <c r="ER122">
        <f t="shared" si="262"/>
        <v>461456</v>
      </c>
      <c r="ES122">
        <f t="shared" si="206"/>
        <v>24000</v>
      </c>
      <c r="ET122">
        <f t="shared" si="207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263"/>
        <v>24000</v>
      </c>
      <c r="FF122">
        <f t="shared" si="264"/>
        <v>24000</v>
      </c>
      <c r="FG122">
        <f t="shared" si="265"/>
        <v>437456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208"/>
        <v>0</v>
      </c>
      <c r="FP122">
        <f t="shared" si="266"/>
        <v>437456</v>
      </c>
      <c r="FQ122">
        <f t="shared" si="267"/>
        <v>9373</v>
      </c>
      <c r="FR122">
        <f t="shared" si="268"/>
        <v>0</v>
      </c>
      <c r="FS122">
        <f t="shared" si="269"/>
        <v>9373</v>
      </c>
      <c r="FT122">
        <f t="shared" si="270"/>
        <v>0</v>
      </c>
      <c r="FU122">
        <f t="shared" si="271"/>
        <v>0</v>
      </c>
      <c r="FV122">
        <f t="shared" si="272"/>
        <v>0</v>
      </c>
      <c r="FW122">
        <v>0</v>
      </c>
      <c r="FX122">
        <f t="shared" si="273"/>
        <v>0</v>
      </c>
      <c r="FY122" t="b">
        <f t="shared" si="274"/>
        <v>1</v>
      </c>
      <c r="FZ122">
        <f t="shared" ca="1" si="275"/>
        <v>757</v>
      </c>
      <c r="GA122">
        <f t="shared" ca="1" si="276"/>
        <v>514613</v>
      </c>
      <c r="GB122">
        <f t="shared" si="277"/>
        <v>75000</v>
      </c>
      <c r="GC122">
        <f t="shared" ca="1" si="278"/>
        <v>439613</v>
      </c>
      <c r="GD122">
        <f t="shared" ca="1" si="279"/>
        <v>0</v>
      </c>
      <c r="GE122">
        <f t="shared" ca="1" si="280"/>
        <v>0</v>
      </c>
      <c r="GF122">
        <f t="shared" ca="1" si="281"/>
        <v>0</v>
      </c>
      <c r="GG122">
        <f t="shared" ca="1" si="282"/>
        <v>0</v>
      </c>
      <c r="GH122">
        <f t="shared" ca="1" si="283"/>
        <v>0</v>
      </c>
      <c r="GI122">
        <f t="shared" ca="1" si="284"/>
        <v>0</v>
      </c>
      <c r="GJ122">
        <f t="shared" ca="1" si="209"/>
        <v>0</v>
      </c>
      <c r="GK122">
        <f t="shared" ca="1" si="285"/>
        <v>0</v>
      </c>
      <c r="GL122">
        <f t="shared" ca="1" si="286"/>
        <v>0</v>
      </c>
      <c r="GM122">
        <f t="shared" ca="1" si="287"/>
        <v>0</v>
      </c>
      <c r="GN122">
        <f t="shared" ca="1" si="288"/>
        <v>39613</v>
      </c>
      <c r="GO122">
        <f t="shared" ca="1" si="289"/>
        <v>1980.65</v>
      </c>
      <c r="GP122">
        <f t="shared" ca="1" si="290"/>
        <v>1981</v>
      </c>
      <c r="GQ122">
        <f t="shared" ca="1" si="291"/>
        <v>0</v>
      </c>
      <c r="GR122">
        <f t="shared" ca="1" si="292"/>
        <v>0</v>
      </c>
      <c r="GS122">
        <f t="shared" ca="1" si="293"/>
        <v>1981</v>
      </c>
      <c r="GT122">
        <f t="shared" ca="1" si="294"/>
        <v>0</v>
      </c>
      <c r="GU122" t="b">
        <f t="shared" ca="1" si="295"/>
        <v>0</v>
      </c>
      <c r="GV122">
        <f t="shared" ca="1" si="296"/>
        <v>0</v>
      </c>
      <c r="GW122">
        <f t="shared" ca="1" si="297"/>
        <v>1981</v>
      </c>
      <c r="GX122">
        <f t="shared" ca="1" si="298"/>
        <v>0</v>
      </c>
      <c r="GY122">
        <f t="shared" ca="1" si="299"/>
        <v>0</v>
      </c>
      <c r="GZ122">
        <f t="shared" ca="1" si="300"/>
        <v>0</v>
      </c>
    </row>
    <row r="123" spans="1:208" x14ac:dyDescent="0.3">
      <c r="A123">
        <f>_xlfn.AGGREGATE(3,5,$B$2:B123)</f>
        <v>122</v>
      </c>
      <c r="B123" t="s">
        <v>971</v>
      </c>
      <c r="C123" t="s">
        <v>972</v>
      </c>
      <c r="D123" t="s">
        <v>781</v>
      </c>
      <c r="E123" t="s">
        <v>830</v>
      </c>
      <c r="F123" t="s">
        <v>956</v>
      </c>
      <c r="G123" t="s">
        <v>973</v>
      </c>
      <c r="H123">
        <f t="shared" ref="H123" si="303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304">J123*0.14</f>
        <v>4424</v>
      </c>
      <c r="L123">
        <f t="shared" ref="L123" si="305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si="194"/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306">IF($F123="YES",0,IF(O123&gt;40000,200,IF(O123&gt;25000,150,IF(O123&gt;15000,130,IF(O123&gt;10000,110,0)))))</f>
        <v>200</v>
      </c>
      <c r="S123">
        <f t="shared" si="213"/>
        <v>38116</v>
      </c>
      <c r="T123">
        <f>_xlfn.XLOOKUP(B123,'[2]april-2025'!$A:$A,'[2]april-2025'!$C:$C,0,0)</f>
        <v>31600</v>
      </c>
      <c r="U123">
        <f t="shared" ref="U123" si="307">T123*0.18</f>
        <v>5688</v>
      </c>
      <c r="V123">
        <f t="shared" ref="V123" si="308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si="216"/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309">IF($F123="YES",0,IF(Y123&gt;40000,200,IF(Y123&gt;25000,150,IF(Y123&gt;15000,130,IF(Y123&gt;10000,110,0)))))</f>
        <v>200</v>
      </c>
      <c r="AC123">
        <f t="shared" ref="AC123" si="310">Y123-Z123-AA123-AB123</f>
        <v>39380</v>
      </c>
      <c r="AD123">
        <f>_xlfn.XLOOKUP(B123,'[3]may-2025'!$A:$A,'[3]may-2025'!$C:$C,0,0)</f>
        <v>31600</v>
      </c>
      <c r="AE123">
        <f t="shared" ref="AE123" si="311">AD123*0.18</f>
        <v>5688</v>
      </c>
      <c r="AF123">
        <f t="shared" ref="AF123" si="312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si="221"/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313">IF($F123="YES",0,IF(AI123&gt;40000,200,IF(AI123&gt;25000,150,IF(AI123&gt;15000,130,IF(AI123&gt;10000,110,0)))))</f>
        <v>200</v>
      </c>
      <c r="AM123">
        <f t="shared" ref="AM123" si="314">AI123-AJ123-AK123-AL123</f>
        <v>39380</v>
      </c>
      <c r="AN123">
        <f>_xlfn.XLOOKUP(B123,'[4]june-2025'!$A:$A,'[4]june-2025'!$C:$C,0,0)</f>
        <v>31600</v>
      </c>
      <c r="AO123">
        <f t="shared" ref="AO123" si="315">AN123*0.18</f>
        <v>5688</v>
      </c>
      <c r="AP123">
        <f t="shared" ref="AP123" si="316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si="226"/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317">IF($F123="YES",0,IF(AS123&gt;40000,200,IF(AS123&gt;25000,150,IF(AS123&gt;15000,130,IF(AS123&gt;10000,110,0)))))</f>
        <v>200</v>
      </c>
      <c r="AW123">
        <f t="shared" ref="AW123" si="318">AS123-AT123-AU123-AV123</f>
        <v>39380</v>
      </c>
      <c r="AX123">
        <f>_xlfn.XLOOKUP(B123,'[5]july-2025'!$A:$A,'[5]july-2025'!$C:$C,0,0)</f>
        <v>32500</v>
      </c>
      <c r="AY123">
        <f t="shared" ref="AY123" si="319">AX123*0.18</f>
        <v>5850</v>
      </c>
      <c r="AZ123">
        <v>1</v>
      </c>
      <c r="BA123">
        <f t="shared" ref="BA123" si="320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si="195"/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321">IF($F123="YES",0,IF(BD123&gt;40000,200,IF(BD123&gt;25000,150,IF(BD123&gt;15000,130,IF(BD123&gt;10000,110,0)))))</f>
        <v>200</v>
      </c>
      <c r="BH123">
        <f t="shared" ref="BH123" si="322">BD123-BE123-BF123-BG123</f>
        <v>40551</v>
      </c>
      <c r="BI123">
        <f>_xlfn.XLOOKUP(B123,'[6]august-2025'!$A:$A,'[6]august-2025'!$C:$C,0,0)</f>
        <v>32500</v>
      </c>
      <c r="BJ123">
        <f t="shared" ref="BJ123" si="323">BI123*0.18</f>
        <v>5850</v>
      </c>
      <c r="BK123">
        <f t="shared" ref="BK123" si="324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325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si="196"/>
        <v>200</v>
      </c>
      <c r="BR123">
        <f t="shared" si="197"/>
        <v>40550</v>
      </c>
      <c r="BS123">
        <f>_xlfn.XLOOKUP(B123,'[7]september-2025'!$A:$A,'[7]september-2025'!$C:$C,0,0)</f>
        <v>32500</v>
      </c>
      <c r="BT123">
        <f t="shared" ref="BT123" si="326">BS123*0.18</f>
        <v>5850</v>
      </c>
      <c r="BU123">
        <f t="shared" ref="BU123" si="327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si="198"/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328">IF($F123="YES",0,IF(BX123&gt;40000,200,IF(BX123&gt;25000,150,IF(BX123&gt;15000,130,IF(BX123&gt;10000,110,0)))))</f>
        <v>200</v>
      </c>
      <c r="CB123">
        <f t="shared" ref="CB123" si="329">BX123-BY123-BZ123-CA123</f>
        <v>40550</v>
      </c>
      <c r="CC123">
        <f>_xlfn.XLOOKUP(B123,'[8]october-2025'!$A:$A,'[8]october-2025'!$C:$C,0,0)</f>
        <v>32500</v>
      </c>
      <c r="CD123">
        <f t="shared" ref="CD123" si="330">CC123*0.18</f>
        <v>5850</v>
      </c>
      <c r="CE123">
        <f t="shared" ref="CE123" si="331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si="199"/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32">IF($F123="YES",0,IF(CH123&gt;40000,200,IF(CH123&gt;25000,150,IF(CH123&gt;15000,130,IF(CH123&gt;10000,110,0)))))</f>
        <v>200</v>
      </c>
      <c r="CL123">
        <f t="shared" ref="CL123" si="333">CH123-CI123-CJ123-CK123</f>
        <v>40550</v>
      </c>
      <c r="CM123">
        <f>_xlfn.XLOOKUP(B123,'[9]november-2025'!$A:$A,'[9]november-2025'!$C:$C,0,0)</f>
        <v>32500</v>
      </c>
      <c r="CN123">
        <f t="shared" ref="CN123" si="334">CM123*0.18</f>
        <v>5850</v>
      </c>
      <c r="CO123">
        <f t="shared" ref="CO123" si="335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si="200"/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36">IF($F123="YES",0,IF(CR123&gt;40000,200,IF(CR123&gt;25000,150,IF(CR123&gt;15000,130,IF(CR123&gt;10000,110,0)))))</f>
        <v>200</v>
      </c>
      <c r="CV123">
        <f t="shared" ref="CV123" si="337">CR123-CS123-CT123-CU123</f>
        <v>40550</v>
      </c>
      <c r="CW123">
        <f>_xlfn.XLOOKUP(B123,'[10]december-2025'!$A:$A,'[10]december-2025'!$C:$C,0,0)</f>
        <v>32500</v>
      </c>
      <c r="CX123">
        <f t="shared" ref="CX123" si="338">ROUND(CW123*0.18,0)</f>
        <v>5850</v>
      </c>
      <c r="CY123">
        <f t="shared" ref="CY123" si="339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si="201"/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40">IF($F123="YES",0,IF(DB123&gt;40000,200,IF(DB123&gt;25000,150,IF(DB123&gt;15000,130,IF(DB123&gt;10000,110,0)))))</f>
        <v>200</v>
      </c>
      <c r="DF123">
        <f t="shared" ref="DF123" si="341">DB123-DC123-DD123-DE123</f>
        <v>40550</v>
      </c>
      <c r="DG123">
        <f>_xlfn.XLOOKUP(B123,'[11]january-2026'!$A:$A,'[11]january-2026'!$C:$C,0,0)</f>
        <v>32500</v>
      </c>
      <c r="DH123">
        <f t="shared" ref="DH123" si="342">DG123*0.18</f>
        <v>5850</v>
      </c>
      <c r="DI123">
        <f t="shared" ref="DI123" si="343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si="202"/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44">IF($F123="YES",0,IF(DL123&gt;40000,200,IF(DL123&gt;25000,150,IF(DL123&gt;15000,130,IF(DL123&gt;10000,110,0)))))</f>
        <v>200</v>
      </c>
      <c r="DP123">
        <f t="shared" ref="DP123" si="345">DL123-DM123-DN123-DO123</f>
        <v>40550</v>
      </c>
      <c r="DQ123">
        <f>_xlfn.XLOOKUP(B123,'[12]february-2026'!$A:$A,'[12]february-2026'!$C:$C,0,0)</f>
        <v>32500</v>
      </c>
      <c r="DR123">
        <f t="shared" ref="DR123" si="346">DQ123*0.18</f>
        <v>5850</v>
      </c>
      <c r="DS123">
        <f t="shared" ref="DS123" si="347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si="203"/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48">IF($F123="YES",0,IF(DV123&gt;40000,200,IF(DV123&gt;25000,150,IF(DV123&gt;15000,130,IF(DV123&gt;10000,110,0)))))</f>
        <v>200</v>
      </c>
      <c r="DZ123">
        <f t="shared" ref="DZ123" si="349">DV123-DW123-DX123-DY123</f>
        <v>40550</v>
      </c>
      <c r="EA123">
        <f>_xlfn.XLOOKUP(B123,'[1]march-2025'!$A:$A,'[1]march-2025'!$J:$J,0,0)</f>
        <v>0</v>
      </c>
      <c r="EB123">
        <f>_xlfn.XLOOKUP(B123,'[2]april-2025'!$A:$A,'[2]april-2025'!$J:$J,0,0)</f>
        <v>0</v>
      </c>
      <c r="EC123">
        <f>_xlfn.XLOOKUP(B123,'[3]may-2025'!$A:$A,'[3]may-2025'!$J:$J,0,0)</f>
        <v>0</v>
      </c>
      <c r="ED123">
        <f>_xlfn.XLOOKUP(B123,'[4]june-2025'!$A:$A,'[4]june-2025'!$J:$J,0,0)</f>
        <v>0</v>
      </c>
      <c r="EE123">
        <f>_xlfn.XLOOKUP(B123,'[5]july-2025'!$A:$A,'[5]july-2025'!$J:$J,0,0)</f>
        <v>0</v>
      </c>
      <c r="EF123">
        <f>_xlfn.XLOOKUP(B123,'[6]august-2025'!$A:$A,'[6]august-2025'!$J:$J,0,0)</f>
        <v>0</v>
      </c>
      <c r="EG123">
        <f>_xlfn.XLOOKUP(B123,'[7]september-2025'!$A:$A,'[7]september-2025'!$J:$J,0,0)</f>
        <v>0</v>
      </c>
      <c r="EH123">
        <f>_xlfn.XLOOKUP(B123,'[8]october-2025'!$A:$A,'[8]october-2025'!$J:$J,0,0)</f>
        <v>0</v>
      </c>
      <c r="EI123">
        <f>_xlfn.XLOOKUP(C123,'[9]november-2025'!$A:$A,'[9]november-2025'!$J:$J,0,0)</f>
        <v>0</v>
      </c>
      <c r="EJ123">
        <f>_xlfn.XLOOKUP(B123,'[10]december-2025'!$A:$A,'[10]december-2025'!$J:$J,0,0)</f>
        <v>0</v>
      </c>
      <c r="EK123">
        <f>_xlfn.XLOOKUP(B123,'[11]january-2026'!$A:$A,'[11]january-2026'!$J:$J,0,0)</f>
        <v>0</v>
      </c>
      <c r="EL123">
        <f>_xlfn.XLOOKUP(B123,'[12]february-2026'!$A:$A,'[12]february-2026'!$J:$J,0,0)</f>
        <v>0</v>
      </c>
      <c r="EM123">
        <f t="shared" si="260"/>
        <v>0</v>
      </c>
      <c r="EN123">
        <f t="shared" si="204"/>
        <v>513857</v>
      </c>
      <c r="EO123">
        <f t="shared" si="205"/>
        <v>2400</v>
      </c>
      <c r="EP123">
        <f t="shared" ref="EP123" si="350">IF(EN123&gt;0,50000,0)</f>
        <v>50000</v>
      </c>
      <c r="EQ123">
        <v>1</v>
      </c>
      <c r="ER123">
        <f t="shared" si="262"/>
        <v>461457</v>
      </c>
      <c r="ES123">
        <f t="shared" si="206"/>
        <v>24000</v>
      </c>
      <c r="ET123">
        <f t="shared" si="207"/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ref="FE123" si="351">SUM(ES123:FD123)</f>
        <v>24000</v>
      </c>
      <c r="FF123">
        <f t="shared" ref="FF123" si="352">IF(FE123&gt;=150000,150000,FE123)</f>
        <v>24000</v>
      </c>
      <c r="FG123">
        <f t="shared" ref="FG123" si="353">ER123-FF123</f>
        <v>437457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si="208"/>
        <v>0</v>
      </c>
      <c r="FP123">
        <f t="shared" ref="FP123" si="354">FG123-FO123</f>
        <v>437457</v>
      </c>
      <c r="FQ123">
        <f t="shared" ref="FQ123" si="355">ROUND(IF(FP123&gt;0,IF(FP123&gt;500000,12500,(FP123-250000)*0.05),0),0)</f>
        <v>9373</v>
      </c>
      <c r="FR123">
        <f t="shared" ref="FR123" si="356">IF(ROUND(IF(FP123&gt;0,IF(FP123&gt;1000000,25000,(FP123-500000)*0.2),0),0)&lt;0,0,ROUND(IF(FP123&gt;0,IF(FP123&gt;1000000,25000,(FP123-500000)*0.2),0),0))</f>
        <v>0</v>
      </c>
      <c r="FS123">
        <f t="shared" ref="FS123" si="357">FQ123+FR123</f>
        <v>9373</v>
      </c>
      <c r="FT123">
        <f t="shared" ref="FT123" si="358">IF(FS123&lt;12500,0,FS123)</f>
        <v>0</v>
      </c>
      <c r="FU123">
        <f t="shared" ref="FU123" si="359">FT123*0.04</f>
        <v>0</v>
      </c>
      <c r="FV123">
        <f t="shared" ref="FV123" si="360">ROUND(FU123+FT123,0)</f>
        <v>0</v>
      </c>
      <c r="FW123">
        <v>1</v>
      </c>
      <c r="FX123">
        <f t="shared" ref="FX123" si="361">FV123-FW123</f>
        <v>-1</v>
      </c>
      <c r="FY123" t="b">
        <f t="shared" ref="FY123" si="362">IF(EN123&gt;500000,TRUE,FALSE)</f>
        <v>1</v>
      </c>
      <c r="FZ123">
        <f t="shared" ref="FZ123" ca="1" si="363">IF(FY123,RANDBETWEEN(500,1000),RANDBETWEEN(1000,3000))</f>
        <v>840</v>
      </c>
      <c r="GA123">
        <f t="shared" ref="GA123" ca="1" si="364">EN123+FZ123</f>
        <v>514697</v>
      </c>
      <c r="GB123">
        <f t="shared" ref="GB123" si="365">IF(EN123&gt;0,75000,0)</f>
        <v>75000</v>
      </c>
      <c r="GC123">
        <f t="shared" ref="GC123" ca="1" si="366">GA123-GB123</f>
        <v>439697</v>
      </c>
      <c r="GD123">
        <f t="shared" ref="GD123" ca="1" si="367">IF(GC123&gt;2400000,GC123-2400000,0)</f>
        <v>0</v>
      </c>
      <c r="GE123">
        <f t="shared" ref="GE123" ca="1" si="368">GD123*0.3</f>
        <v>0</v>
      </c>
      <c r="GF123">
        <f t="shared" ref="GF123" ca="1" si="369">IF(GC123&gt;2000000,GC123-2000000,0)</f>
        <v>0</v>
      </c>
      <c r="GG123">
        <f t="shared" ref="GG123" ca="1" si="370">GF123*0.25</f>
        <v>0</v>
      </c>
      <c r="GH123">
        <f t="shared" ref="GH123" ca="1" si="371">IF(GC123&gt;1600000,GC123-1600000-GD123,0)</f>
        <v>0</v>
      </c>
      <c r="GI123">
        <f t="shared" ref="GI123" ca="1" si="372">GH123*0.2</f>
        <v>0</v>
      </c>
      <c r="GJ123">
        <f t="shared" ca="1" si="209"/>
        <v>0</v>
      </c>
      <c r="GK123">
        <f t="shared" ref="GK123" ca="1" si="373">GJ123*0.15</f>
        <v>0</v>
      </c>
      <c r="GL123">
        <f t="shared" ref="GL123" ca="1" si="374">IF(GC123&gt;800000,GC123-800000-GD123-GH123-GJ123,0)</f>
        <v>0</v>
      </c>
      <c r="GM123">
        <f t="shared" ref="GM123" ca="1" si="375">GL123*0.1</f>
        <v>0</v>
      </c>
      <c r="GN123">
        <f t="shared" ref="GN123" ca="1" si="376">IF(GC123&gt;400000,GC123-400000-GD123-GH123-GJ123-GL123,0)</f>
        <v>39697</v>
      </c>
      <c r="GO123">
        <f t="shared" ref="GO123" ca="1" si="377">GN123*0.05</f>
        <v>1984.8500000000001</v>
      </c>
      <c r="GP123">
        <f t="shared" ref="GP123" ca="1" si="378">ROUND(GE123+GG123+GI123+GK123+GM123+GO123,0)</f>
        <v>1985</v>
      </c>
      <c r="GQ123">
        <f t="shared" ref="GQ123" ca="1" si="379">IF(GC123&gt;1200000,GC123,0)</f>
        <v>0</v>
      </c>
      <c r="GR123">
        <f t="shared" ref="GR123" ca="1" si="380">IF(GC123&gt;1200000,GQ123-1200000,0)</f>
        <v>0</v>
      </c>
      <c r="GS123">
        <f t="shared" ref="GS123" ca="1" si="381">IF(GC123&lt;1200001,MIN(GP123,60000),0)</f>
        <v>1985</v>
      </c>
      <c r="GT123">
        <f t="shared" ref="GT123" ca="1" si="382">IF(GC123&gt;1200000,GP123-GR123,0)</f>
        <v>0</v>
      </c>
      <c r="GU123" t="b">
        <f t="shared" ref="GU123" ca="1" si="383">IF(GT123&gt;0,TRUE,FALSE)</f>
        <v>0</v>
      </c>
      <c r="GV123">
        <f t="shared" ref="GV123" ca="1" si="384">IF(GU123,GT123,0)</f>
        <v>0</v>
      </c>
      <c r="GW123">
        <f t="shared" ref="GW123" ca="1" si="385">GS123+GV123</f>
        <v>1985</v>
      </c>
      <c r="GX123">
        <f t="shared" ref="GX123" ca="1" si="386">ROUND(GP123-GW123,0)</f>
        <v>0</v>
      </c>
      <c r="GY123">
        <f t="shared" ref="GY123" ca="1" si="387">GX123*0.04</f>
        <v>0</v>
      </c>
      <c r="GZ123">
        <f t="shared" ref="GZ123" ca="1" si="388">ROUNDUP(GX123+GY123,0)</f>
        <v>0</v>
      </c>
    </row>
    <row r="124" spans="1:208" x14ac:dyDescent="0.3">
      <c r="A124">
        <f>_xlfn.AGGREGATE(3,5,$B$2:B124)</f>
        <v>123</v>
      </c>
      <c r="B124" t="s">
        <v>360</v>
      </c>
      <c r="C124" t="s">
        <v>361</v>
      </c>
      <c r="D124" t="s">
        <v>782</v>
      </c>
      <c r="E124" t="s">
        <v>830</v>
      </c>
      <c r="F124" t="s">
        <v>956</v>
      </c>
      <c r="G124" t="s">
        <v>884</v>
      </c>
      <c r="H124">
        <f t="shared" si="302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211"/>
        <v>6622.0000000000009</v>
      </c>
      <c r="L124">
        <f t="shared" si="212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 t="shared" si="194"/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301"/>
        <v>200</v>
      </c>
      <c r="S124">
        <f t="shared" si="213"/>
        <v>57238</v>
      </c>
      <c r="T124">
        <f>_xlfn.XLOOKUP(B124,'[2]april-2025'!$A:$A,'[2]april-2025'!$C:$C,0,0)</f>
        <v>47300</v>
      </c>
      <c r="U124">
        <f t="shared" si="214"/>
        <v>8514</v>
      </c>
      <c r="V124">
        <f t="shared" si="215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216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217"/>
        <v>200</v>
      </c>
      <c r="AC124">
        <f t="shared" si="218"/>
        <v>59130</v>
      </c>
      <c r="AD124">
        <f>_xlfn.XLOOKUP(B124,'[3]may-2025'!$A:$A,'[3]may-2025'!$C:$C,0,0)</f>
        <v>47300</v>
      </c>
      <c r="AE124">
        <f t="shared" si="219"/>
        <v>8514</v>
      </c>
      <c r="AF124">
        <f t="shared" si="220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221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222"/>
        <v>200</v>
      </c>
      <c r="AM124">
        <f t="shared" si="223"/>
        <v>59130</v>
      </c>
      <c r="AN124">
        <f>_xlfn.XLOOKUP(B124,'[4]june-2025'!$A:$A,'[4]june-2025'!$C:$C,0,0)</f>
        <v>47300</v>
      </c>
      <c r="AO124">
        <f t="shared" si="224"/>
        <v>8514</v>
      </c>
      <c r="AP124">
        <f t="shared" si="225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226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227"/>
        <v>200</v>
      </c>
      <c r="AW124">
        <f t="shared" si="228"/>
        <v>59130</v>
      </c>
      <c r="AX124">
        <f>_xlfn.XLOOKUP(B124,'[5]july-2025'!$A:$A,'[5]july-2025'!$C:$C,0,0)</f>
        <v>48700</v>
      </c>
      <c r="AY124">
        <f t="shared" si="229"/>
        <v>8766</v>
      </c>
      <c r="AZ124">
        <v>0</v>
      </c>
      <c r="BA124">
        <f t="shared" si="230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 t="shared" si="195"/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231"/>
        <v>200</v>
      </c>
      <c r="BH124">
        <f t="shared" si="232"/>
        <v>60950</v>
      </c>
      <c r="BI124">
        <f>_xlfn.XLOOKUP(B124,'[6]august-2025'!$A:$A,'[6]august-2025'!$C:$C,0,0)</f>
        <v>48700</v>
      </c>
      <c r="BJ124">
        <f t="shared" si="233"/>
        <v>8766</v>
      </c>
      <c r="BK124">
        <f t="shared" si="234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35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 t="shared" si="196"/>
        <v>200</v>
      </c>
      <c r="BR124">
        <f t="shared" si="197"/>
        <v>60950</v>
      </c>
      <c r="BS124">
        <f>_xlfn.XLOOKUP(B124,'[7]september-2025'!$A:$A,'[7]september-2025'!$C:$C,0,0)</f>
        <v>48700</v>
      </c>
      <c r="BT124">
        <f t="shared" si="236"/>
        <v>8766</v>
      </c>
      <c r="BU124">
        <f t="shared" si="237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 t="shared" si="198"/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38"/>
        <v>200</v>
      </c>
      <c r="CB124">
        <f t="shared" si="239"/>
        <v>60950</v>
      </c>
      <c r="CC124">
        <f>_xlfn.XLOOKUP(B124,'[8]october-2025'!$A:$A,'[8]october-2025'!$C:$C,0,0)</f>
        <v>48700</v>
      </c>
      <c r="CD124">
        <f t="shared" si="240"/>
        <v>8766</v>
      </c>
      <c r="CE124">
        <f t="shared" si="241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 t="shared" si="199"/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42"/>
        <v>200</v>
      </c>
      <c r="CL124">
        <f t="shared" si="243"/>
        <v>60950</v>
      </c>
      <c r="CM124">
        <f>_xlfn.XLOOKUP(B124,'[9]november-2025'!$A:$A,'[9]november-2025'!$C:$C,0,0)</f>
        <v>48700</v>
      </c>
      <c r="CN124">
        <f t="shared" si="244"/>
        <v>8766</v>
      </c>
      <c r="CO124">
        <f t="shared" si="245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 t="shared" si="200"/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46"/>
        <v>200</v>
      </c>
      <c r="CV124">
        <f t="shared" si="247"/>
        <v>60950</v>
      </c>
      <c r="CW124">
        <f>_xlfn.XLOOKUP(B124,'[10]december-2025'!$A:$A,'[10]december-2025'!$C:$C,0,0)</f>
        <v>48700</v>
      </c>
      <c r="CX124">
        <f t="shared" si="248"/>
        <v>8766</v>
      </c>
      <c r="CY124">
        <f t="shared" si="249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 t="shared" si="201"/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50"/>
        <v>200</v>
      </c>
      <c r="DF124">
        <f t="shared" si="251"/>
        <v>60950</v>
      </c>
      <c r="DG124">
        <f>_xlfn.XLOOKUP(B124,'[11]january-2026'!$A:$A,'[11]january-2026'!$C:$C,0,0)</f>
        <v>48700</v>
      </c>
      <c r="DH124">
        <f t="shared" si="252"/>
        <v>8766</v>
      </c>
      <c r="DI124">
        <f t="shared" si="253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02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54"/>
        <v>200</v>
      </c>
      <c r="DP124">
        <f t="shared" si="255"/>
        <v>60950</v>
      </c>
      <c r="DQ124">
        <f>_xlfn.XLOOKUP(B124,'[12]february-2026'!$A:$A,'[12]february-2026'!$C:$C,0,0)</f>
        <v>48700</v>
      </c>
      <c r="DR124">
        <f t="shared" si="256"/>
        <v>8766</v>
      </c>
      <c r="DS124">
        <f t="shared" si="257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03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58"/>
        <v>200</v>
      </c>
      <c r="DZ124">
        <f t="shared" si="259"/>
        <v>60950</v>
      </c>
      <c r="EA124">
        <f>_xlfn.XLOOKUP(B124,'[1]march-2025'!$A:$A,'[1]march-2025'!$J:$J,0,0)</f>
        <v>0</v>
      </c>
      <c r="EB124">
        <f>_xlfn.XLOOKUP(B124,'[2]april-2025'!$A:$A,'[2]april-2025'!$J:$J,0,0)</f>
        <v>0</v>
      </c>
      <c r="EC124">
        <f>_xlfn.XLOOKUP(B124,'[3]may-2025'!$A:$A,'[3]may-2025'!$J:$J,0,0)</f>
        <v>0</v>
      </c>
      <c r="ED124">
        <f>_xlfn.XLOOKUP(B124,'[4]june-2025'!$A:$A,'[4]june-2025'!$J:$J,0,0)</f>
        <v>0</v>
      </c>
      <c r="EE124">
        <f>_xlfn.XLOOKUP(B124,'[5]july-2025'!$A:$A,'[5]july-2025'!$J:$J,0,0)</f>
        <v>0</v>
      </c>
      <c r="EF124">
        <f>_xlfn.XLOOKUP(B124,'[6]august-2025'!$A:$A,'[6]august-2025'!$J:$J,0,0)</f>
        <v>0</v>
      </c>
      <c r="EG124">
        <f>_xlfn.XLOOKUP(B124,'[7]september-2025'!$A:$A,'[7]september-2025'!$J:$J,0,0)</f>
        <v>0</v>
      </c>
      <c r="EH124">
        <f>_xlfn.XLOOKUP(B124,'[8]october-2025'!$A:$A,'[8]october-2025'!$J:$J,0,0)</f>
        <v>0</v>
      </c>
      <c r="EI124">
        <f>_xlfn.XLOOKUP(C124,'[9]november-2025'!$A:$A,'[9]november-2025'!$J:$J,0,0)</f>
        <v>0</v>
      </c>
      <c r="EJ124">
        <f>_xlfn.XLOOKUP(B124,'[10]december-2025'!$A:$A,'[10]december-2025'!$J:$J,0,0)</f>
        <v>0</v>
      </c>
      <c r="EK124">
        <f>_xlfn.XLOOKUP(B124,'[11]january-2026'!$A:$A,'[11]january-2026'!$J:$J,0,0)</f>
        <v>0</v>
      </c>
      <c r="EL124">
        <f>_xlfn.XLOOKUP(B124,'[12]february-2026'!$A:$A,'[12]february-2026'!$J:$J,0,0)</f>
        <v>0</v>
      </c>
      <c r="EM124">
        <f t="shared" si="260"/>
        <v>0</v>
      </c>
      <c r="EN124">
        <f t="shared" si="204"/>
        <v>768148</v>
      </c>
      <c r="EO124">
        <f t="shared" si="205"/>
        <v>2400</v>
      </c>
      <c r="EP124">
        <f t="shared" si="261"/>
        <v>50000</v>
      </c>
      <c r="EQ124">
        <v>0</v>
      </c>
      <c r="ER124">
        <f t="shared" si="262"/>
        <v>715748</v>
      </c>
      <c r="ES124">
        <f t="shared" si="206"/>
        <v>36000</v>
      </c>
      <c r="ET124">
        <f t="shared" si="207"/>
        <v>720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263"/>
        <v>36720</v>
      </c>
      <c r="FF124">
        <f t="shared" si="264"/>
        <v>36720</v>
      </c>
      <c r="FG124">
        <f t="shared" si="265"/>
        <v>679028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208"/>
        <v>0</v>
      </c>
      <c r="FP124">
        <f t="shared" si="266"/>
        <v>679028</v>
      </c>
      <c r="FQ124">
        <f t="shared" si="267"/>
        <v>12500</v>
      </c>
      <c r="FR124">
        <f t="shared" si="268"/>
        <v>35806</v>
      </c>
      <c r="FS124">
        <f t="shared" si="269"/>
        <v>48306</v>
      </c>
      <c r="FT124">
        <f t="shared" si="270"/>
        <v>48306</v>
      </c>
      <c r="FU124">
        <f t="shared" si="271"/>
        <v>1932.24</v>
      </c>
      <c r="FV124">
        <f t="shared" si="272"/>
        <v>50238</v>
      </c>
      <c r="FW124">
        <v>0</v>
      </c>
      <c r="FX124">
        <f t="shared" si="273"/>
        <v>50238</v>
      </c>
      <c r="FY124" t="b">
        <f t="shared" si="274"/>
        <v>1</v>
      </c>
      <c r="FZ124">
        <f t="shared" ca="1" si="275"/>
        <v>516</v>
      </c>
      <c r="GA124">
        <f t="shared" ca="1" si="276"/>
        <v>768664</v>
      </c>
      <c r="GB124">
        <f t="shared" si="277"/>
        <v>75000</v>
      </c>
      <c r="GC124">
        <f t="shared" ca="1" si="278"/>
        <v>693664</v>
      </c>
      <c r="GD124">
        <f t="shared" ca="1" si="279"/>
        <v>0</v>
      </c>
      <c r="GE124">
        <f t="shared" ca="1" si="280"/>
        <v>0</v>
      </c>
      <c r="GF124">
        <f t="shared" ca="1" si="281"/>
        <v>0</v>
      </c>
      <c r="GG124">
        <f t="shared" ca="1" si="282"/>
        <v>0</v>
      </c>
      <c r="GH124">
        <f t="shared" ca="1" si="283"/>
        <v>0</v>
      </c>
      <c r="GI124">
        <f t="shared" ca="1" si="284"/>
        <v>0</v>
      </c>
      <c r="GJ124">
        <f t="shared" ca="1" si="209"/>
        <v>0</v>
      </c>
      <c r="GK124">
        <f t="shared" ca="1" si="285"/>
        <v>0</v>
      </c>
      <c r="GL124">
        <f t="shared" ca="1" si="286"/>
        <v>0</v>
      </c>
      <c r="GM124">
        <f t="shared" ca="1" si="287"/>
        <v>0</v>
      </c>
      <c r="GN124">
        <f t="shared" ca="1" si="288"/>
        <v>293664</v>
      </c>
      <c r="GO124">
        <f t="shared" ca="1" si="289"/>
        <v>14683.2</v>
      </c>
      <c r="GP124">
        <f t="shared" ca="1" si="290"/>
        <v>14683</v>
      </c>
      <c r="GQ124">
        <f t="shared" ca="1" si="291"/>
        <v>0</v>
      </c>
      <c r="GR124">
        <f t="shared" ca="1" si="292"/>
        <v>0</v>
      </c>
      <c r="GS124">
        <f t="shared" ca="1" si="293"/>
        <v>14683</v>
      </c>
      <c r="GT124">
        <f t="shared" ca="1" si="294"/>
        <v>0</v>
      </c>
      <c r="GU124" t="b">
        <f t="shared" ca="1" si="295"/>
        <v>0</v>
      </c>
      <c r="GV124">
        <f t="shared" ca="1" si="296"/>
        <v>0</v>
      </c>
      <c r="GW124">
        <f t="shared" ca="1" si="297"/>
        <v>14683</v>
      </c>
      <c r="GX124">
        <f t="shared" ca="1" si="298"/>
        <v>0</v>
      </c>
      <c r="GY124">
        <f t="shared" ca="1" si="299"/>
        <v>0</v>
      </c>
      <c r="GZ124">
        <f t="shared" ca="1" si="300"/>
        <v>0</v>
      </c>
    </row>
    <row r="125" spans="1:208" x14ac:dyDescent="0.3">
      <c r="A125">
        <f>_xlfn.AGGREGATE(3,5,$B$2:B125)</f>
        <v>124</v>
      </c>
      <c r="B125" t="s">
        <v>362</v>
      </c>
      <c r="C125" t="s">
        <v>363</v>
      </c>
      <c r="D125" t="s">
        <v>782</v>
      </c>
      <c r="E125" t="s">
        <v>830</v>
      </c>
      <c r="F125" t="s">
        <v>956</v>
      </c>
      <c r="G125" t="s">
        <v>921</v>
      </c>
      <c r="H125">
        <f t="shared" si="302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211"/>
        <v>4424</v>
      </c>
      <c r="L125">
        <f t="shared" si="212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194"/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01"/>
        <v>200</v>
      </c>
      <c r="S125">
        <f t="shared" si="213"/>
        <v>38116</v>
      </c>
      <c r="T125">
        <f>_xlfn.XLOOKUP(B125,'[2]april-2025'!$A:$A,'[2]april-2025'!$C:$C,0,0)</f>
        <v>31600</v>
      </c>
      <c r="U125">
        <f t="shared" si="214"/>
        <v>5688</v>
      </c>
      <c r="V125">
        <f t="shared" si="215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16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17"/>
        <v>200</v>
      </c>
      <c r="AC125">
        <f t="shared" si="218"/>
        <v>39380</v>
      </c>
      <c r="AD125">
        <f>_xlfn.XLOOKUP(B125,'[3]may-2025'!$A:$A,'[3]may-2025'!$C:$C,0,0)</f>
        <v>31600</v>
      </c>
      <c r="AE125">
        <f t="shared" si="219"/>
        <v>5688</v>
      </c>
      <c r="AF125">
        <f t="shared" si="220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1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2"/>
        <v>200</v>
      </c>
      <c r="AM125">
        <f t="shared" si="223"/>
        <v>39380</v>
      </c>
      <c r="AN125">
        <f>_xlfn.XLOOKUP(B125,'[4]june-2025'!$A:$A,'[4]june-2025'!$C:$C,0,0)</f>
        <v>31600</v>
      </c>
      <c r="AO125">
        <f t="shared" si="224"/>
        <v>5688</v>
      </c>
      <c r="AP125">
        <f t="shared" si="225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26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27"/>
        <v>200</v>
      </c>
      <c r="AW125">
        <f t="shared" si="228"/>
        <v>39380</v>
      </c>
      <c r="AX125">
        <f>_xlfn.XLOOKUP(B125,'[5]july-2025'!$A:$A,'[5]july-2025'!$C:$C,0,0)</f>
        <v>32500</v>
      </c>
      <c r="AY125">
        <f t="shared" si="229"/>
        <v>5850</v>
      </c>
      <c r="AZ125">
        <v>0</v>
      </c>
      <c r="BA125">
        <f t="shared" si="230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195"/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1"/>
        <v>200</v>
      </c>
      <c r="BH125">
        <f t="shared" si="232"/>
        <v>40550</v>
      </c>
      <c r="BI125">
        <f>_xlfn.XLOOKUP(B125,'[6]august-2025'!$A:$A,'[6]august-2025'!$C:$C,0,0)</f>
        <v>32500</v>
      </c>
      <c r="BJ125">
        <f t="shared" si="233"/>
        <v>5850</v>
      </c>
      <c r="BK125">
        <f t="shared" si="234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35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 t="shared" si="196"/>
        <v>200</v>
      </c>
      <c r="BR125">
        <f t="shared" si="197"/>
        <v>40550</v>
      </c>
      <c r="BS125">
        <f>_xlfn.XLOOKUP(B125,'[7]september-2025'!$A:$A,'[7]september-2025'!$C:$C,0,0)</f>
        <v>32500</v>
      </c>
      <c r="BT125">
        <f t="shared" si="236"/>
        <v>5850</v>
      </c>
      <c r="BU125">
        <f t="shared" si="237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198"/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38"/>
        <v>200</v>
      </c>
      <c r="CB125">
        <f t="shared" si="239"/>
        <v>40550</v>
      </c>
      <c r="CC125">
        <f>_xlfn.XLOOKUP(B125,'[8]october-2025'!$A:$A,'[8]october-2025'!$C:$C,0,0)</f>
        <v>32500</v>
      </c>
      <c r="CD125">
        <f t="shared" si="240"/>
        <v>5850</v>
      </c>
      <c r="CE125">
        <f t="shared" si="241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199"/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42"/>
        <v>200</v>
      </c>
      <c r="CL125">
        <f t="shared" si="243"/>
        <v>40550</v>
      </c>
      <c r="CM125">
        <f>_xlfn.XLOOKUP(B125,'[9]november-2025'!$A:$A,'[9]november-2025'!$C:$C,0,0)</f>
        <v>32500</v>
      </c>
      <c r="CN125">
        <f t="shared" si="244"/>
        <v>5850</v>
      </c>
      <c r="CO125">
        <f t="shared" si="245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00"/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46"/>
        <v>200</v>
      </c>
      <c r="CV125">
        <f t="shared" si="247"/>
        <v>40550</v>
      </c>
      <c r="CW125">
        <f>_xlfn.XLOOKUP(B125,'[10]december-2025'!$A:$A,'[10]december-2025'!$C:$C,0,0)</f>
        <v>32500</v>
      </c>
      <c r="CX125">
        <f t="shared" si="248"/>
        <v>5850</v>
      </c>
      <c r="CY125">
        <f t="shared" si="249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01"/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50"/>
        <v>200</v>
      </c>
      <c r="DF125">
        <f t="shared" si="251"/>
        <v>40550</v>
      </c>
      <c r="DG125">
        <f>_xlfn.XLOOKUP(B125,'[11]january-2026'!$A:$A,'[11]january-2026'!$C:$C,0,0)</f>
        <v>32500</v>
      </c>
      <c r="DH125">
        <f t="shared" si="252"/>
        <v>5850</v>
      </c>
      <c r="DI125">
        <f t="shared" si="253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02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54"/>
        <v>200</v>
      </c>
      <c r="DP125">
        <f t="shared" si="255"/>
        <v>40550</v>
      </c>
      <c r="DQ125">
        <f>_xlfn.XLOOKUP(B125,'[12]february-2026'!$A:$A,'[12]february-2026'!$C:$C,0,0)</f>
        <v>32500</v>
      </c>
      <c r="DR125">
        <f t="shared" si="256"/>
        <v>5850</v>
      </c>
      <c r="DS125">
        <f t="shared" si="257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03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58"/>
        <v>200</v>
      </c>
      <c r="DZ125">
        <f t="shared" si="259"/>
        <v>40550</v>
      </c>
      <c r="EA125">
        <f>_xlfn.XLOOKUP(B125,'[1]march-2025'!$A:$A,'[1]march-2025'!$J:$J,0,0)</f>
        <v>0</v>
      </c>
      <c r="EB125">
        <f>_xlfn.XLOOKUP(B125,'[2]april-2025'!$A:$A,'[2]april-2025'!$J:$J,0,0)</f>
        <v>0</v>
      </c>
      <c r="EC125">
        <f>_xlfn.XLOOKUP(B125,'[3]may-2025'!$A:$A,'[3]may-2025'!$J:$J,0,0)</f>
        <v>0</v>
      </c>
      <c r="ED125">
        <f>_xlfn.XLOOKUP(B125,'[4]june-2025'!$A:$A,'[4]june-2025'!$J:$J,0,0)</f>
        <v>0</v>
      </c>
      <c r="EE125">
        <f>_xlfn.XLOOKUP(B125,'[5]july-2025'!$A:$A,'[5]july-2025'!$J:$J,0,0)</f>
        <v>0</v>
      </c>
      <c r="EF125">
        <f>_xlfn.XLOOKUP(B125,'[6]august-2025'!$A:$A,'[6]august-2025'!$J:$J,0,0)</f>
        <v>0</v>
      </c>
      <c r="EG125">
        <f>_xlfn.XLOOKUP(B125,'[7]september-2025'!$A:$A,'[7]september-2025'!$J:$J,0,0)</f>
        <v>0</v>
      </c>
      <c r="EH125">
        <f>_xlfn.XLOOKUP(B125,'[8]october-2025'!$A:$A,'[8]october-2025'!$J:$J,0,0)</f>
        <v>0</v>
      </c>
      <c r="EI125">
        <f>_xlfn.XLOOKUP(C125,'[9]november-2025'!$A:$A,'[9]november-2025'!$J:$J,0,0)</f>
        <v>0</v>
      </c>
      <c r="EJ125">
        <f>_xlfn.XLOOKUP(B125,'[10]december-2025'!$A:$A,'[10]december-2025'!$J:$J,0,0)</f>
        <v>0</v>
      </c>
      <c r="EK125">
        <f>_xlfn.XLOOKUP(B125,'[11]january-2026'!$A:$A,'[11]january-2026'!$J:$J,0,0)</f>
        <v>0</v>
      </c>
      <c r="EL125">
        <f>_xlfn.XLOOKUP(B125,'[12]february-2026'!$A:$A,'[12]february-2026'!$J:$J,0,0)</f>
        <v>0</v>
      </c>
      <c r="EM125">
        <f t="shared" si="260"/>
        <v>0</v>
      </c>
      <c r="EN125">
        <f t="shared" si="204"/>
        <v>513856</v>
      </c>
      <c r="EO125">
        <f t="shared" si="205"/>
        <v>2400</v>
      </c>
      <c r="EP125">
        <f t="shared" si="261"/>
        <v>50000</v>
      </c>
      <c r="EQ125">
        <v>0</v>
      </c>
      <c r="ER125">
        <f t="shared" si="262"/>
        <v>461456</v>
      </c>
      <c r="ES125">
        <f t="shared" si="206"/>
        <v>24000</v>
      </c>
      <c r="ET125">
        <f t="shared" si="207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263"/>
        <v>24000</v>
      </c>
      <c r="FF125">
        <f t="shared" si="264"/>
        <v>24000</v>
      </c>
      <c r="FG125">
        <f t="shared" si="265"/>
        <v>437456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208"/>
        <v>0</v>
      </c>
      <c r="FP125">
        <f t="shared" si="266"/>
        <v>437456</v>
      </c>
      <c r="FQ125">
        <f t="shared" si="267"/>
        <v>9373</v>
      </c>
      <c r="FR125">
        <f t="shared" si="268"/>
        <v>0</v>
      </c>
      <c r="FS125">
        <f t="shared" si="269"/>
        <v>9373</v>
      </c>
      <c r="FT125">
        <f t="shared" si="270"/>
        <v>0</v>
      </c>
      <c r="FU125">
        <f t="shared" si="271"/>
        <v>0</v>
      </c>
      <c r="FV125">
        <f t="shared" si="272"/>
        <v>0</v>
      </c>
      <c r="FW125">
        <v>0</v>
      </c>
      <c r="FX125">
        <f t="shared" si="273"/>
        <v>0</v>
      </c>
      <c r="FY125" t="b">
        <f t="shared" si="274"/>
        <v>1</v>
      </c>
      <c r="FZ125">
        <f t="shared" ca="1" si="275"/>
        <v>827</v>
      </c>
      <c r="GA125">
        <f t="shared" ca="1" si="276"/>
        <v>514683</v>
      </c>
      <c r="GB125">
        <f t="shared" si="277"/>
        <v>75000</v>
      </c>
      <c r="GC125">
        <f t="shared" ca="1" si="278"/>
        <v>439683</v>
      </c>
      <c r="GD125">
        <f t="shared" ca="1" si="279"/>
        <v>0</v>
      </c>
      <c r="GE125">
        <f t="shared" ca="1" si="280"/>
        <v>0</v>
      </c>
      <c r="GF125">
        <f t="shared" ca="1" si="281"/>
        <v>0</v>
      </c>
      <c r="GG125">
        <f t="shared" ca="1" si="282"/>
        <v>0</v>
      </c>
      <c r="GH125">
        <f t="shared" ca="1" si="283"/>
        <v>0</v>
      </c>
      <c r="GI125">
        <f t="shared" ca="1" si="284"/>
        <v>0</v>
      </c>
      <c r="GJ125">
        <f t="shared" ca="1" si="209"/>
        <v>0</v>
      </c>
      <c r="GK125">
        <f t="shared" ca="1" si="285"/>
        <v>0</v>
      </c>
      <c r="GL125">
        <f t="shared" ca="1" si="286"/>
        <v>0</v>
      </c>
      <c r="GM125">
        <f t="shared" ca="1" si="287"/>
        <v>0</v>
      </c>
      <c r="GN125">
        <f t="shared" ca="1" si="288"/>
        <v>39683</v>
      </c>
      <c r="GO125">
        <f t="shared" ca="1" si="289"/>
        <v>1984.15</v>
      </c>
      <c r="GP125">
        <f t="shared" ca="1" si="290"/>
        <v>1984</v>
      </c>
      <c r="GQ125">
        <f t="shared" ca="1" si="291"/>
        <v>0</v>
      </c>
      <c r="GR125">
        <f t="shared" ca="1" si="292"/>
        <v>0</v>
      </c>
      <c r="GS125">
        <f t="shared" ca="1" si="293"/>
        <v>1984</v>
      </c>
      <c r="GT125">
        <f t="shared" ca="1" si="294"/>
        <v>0</v>
      </c>
      <c r="GU125" t="b">
        <f t="shared" ca="1" si="295"/>
        <v>0</v>
      </c>
      <c r="GV125">
        <f t="shared" ca="1" si="296"/>
        <v>0</v>
      </c>
      <c r="GW125">
        <f t="shared" ca="1" si="297"/>
        <v>1984</v>
      </c>
      <c r="GX125">
        <f t="shared" ca="1" si="298"/>
        <v>0</v>
      </c>
      <c r="GY125">
        <f t="shared" ca="1" si="299"/>
        <v>0</v>
      </c>
      <c r="GZ125">
        <f t="shared" ca="1" si="300"/>
        <v>0</v>
      </c>
    </row>
    <row r="126" spans="1:208" x14ac:dyDescent="0.3">
      <c r="A126">
        <f>_xlfn.AGGREGATE(3,5,$B$2:B126)</f>
        <v>125</v>
      </c>
      <c r="B126" t="s">
        <v>364</v>
      </c>
      <c r="C126" t="s">
        <v>365</v>
      </c>
      <c r="D126" t="s">
        <v>782</v>
      </c>
      <c r="E126" t="s">
        <v>830</v>
      </c>
      <c r="F126" t="s">
        <v>956</v>
      </c>
      <c r="G126" t="s">
        <v>922</v>
      </c>
      <c r="H126">
        <f t="shared" si="302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211"/>
        <v>4298</v>
      </c>
      <c r="L126">
        <f t="shared" si="212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 t="shared" si="194"/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301"/>
        <v>150</v>
      </c>
      <c r="S126">
        <f t="shared" si="213"/>
        <v>37032</v>
      </c>
      <c r="T126">
        <f>_xlfn.XLOOKUP(B126,'[2]april-2025'!$A:$A,'[2]april-2025'!$C:$C,0,0)</f>
        <v>30700</v>
      </c>
      <c r="U126">
        <f t="shared" si="214"/>
        <v>5526</v>
      </c>
      <c r="V126">
        <f t="shared" si="215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216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217"/>
        <v>200</v>
      </c>
      <c r="AC126">
        <f t="shared" si="218"/>
        <v>38210</v>
      </c>
      <c r="AD126">
        <f>_xlfn.XLOOKUP(B126,'[3]may-2025'!$A:$A,'[3]may-2025'!$C:$C,0,0)</f>
        <v>30700</v>
      </c>
      <c r="AE126">
        <f t="shared" si="219"/>
        <v>5526</v>
      </c>
      <c r="AF126">
        <f t="shared" si="220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221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222"/>
        <v>200</v>
      </c>
      <c r="AM126">
        <f t="shared" si="223"/>
        <v>38210</v>
      </c>
      <c r="AN126">
        <f>_xlfn.XLOOKUP(B126,'[4]june-2025'!$A:$A,'[4]june-2025'!$C:$C,0,0)</f>
        <v>30700</v>
      </c>
      <c r="AO126">
        <f t="shared" si="224"/>
        <v>5526</v>
      </c>
      <c r="AP126">
        <f t="shared" si="225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226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227"/>
        <v>200</v>
      </c>
      <c r="AW126">
        <f t="shared" si="228"/>
        <v>38210</v>
      </c>
      <c r="AX126">
        <f>_xlfn.XLOOKUP(B126,'[5]july-2025'!$A:$A,'[5]july-2025'!$C:$C,0,0)</f>
        <v>34500</v>
      </c>
      <c r="AY126">
        <f t="shared" si="229"/>
        <v>6210</v>
      </c>
      <c r="AZ126">
        <v>0</v>
      </c>
      <c r="BA126">
        <f t="shared" si="230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 t="shared" si="195"/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231"/>
        <v>200</v>
      </c>
      <c r="BH126">
        <f t="shared" si="232"/>
        <v>43150</v>
      </c>
      <c r="BI126">
        <f>_xlfn.XLOOKUP(B126,'[6]august-2025'!$A:$A,'[6]august-2025'!$C:$C,0,0)</f>
        <v>34500</v>
      </c>
      <c r="BJ126">
        <f t="shared" si="233"/>
        <v>6210</v>
      </c>
      <c r="BK126">
        <f t="shared" si="234"/>
        <v>4140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35"/>
        <v>45350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196"/>
        <v>200</v>
      </c>
      <c r="BR126">
        <f t="shared" si="197"/>
        <v>42650</v>
      </c>
      <c r="BS126">
        <f>_xlfn.XLOOKUP(B126,'[7]september-2025'!$A:$A,'[7]september-2025'!$C:$C,0,0)</f>
        <v>34500</v>
      </c>
      <c r="BT126">
        <f t="shared" si="236"/>
        <v>6210</v>
      </c>
      <c r="BU126">
        <f t="shared" si="237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 t="shared" si="198"/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38"/>
        <v>200</v>
      </c>
      <c r="CB126">
        <f t="shared" si="239"/>
        <v>42650</v>
      </c>
      <c r="CC126">
        <f>_xlfn.XLOOKUP(B126,'[8]october-2025'!$A:$A,'[8]october-2025'!$C:$C,0,0)</f>
        <v>34500</v>
      </c>
      <c r="CD126">
        <f t="shared" si="240"/>
        <v>6210</v>
      </c>
      <c r="CE126">
        <f t="shared" si="241"/>
        <v>4140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 t="shared" si="199"/>
        <v>45350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42"/>
        <v>200</v>
      </c>
      <c r="CL126">
        <f t="shared" si="243"/>
        <v>42650</v>
      </c>
      <c r="CM126">
        <f>_xlfn.XLOOKUP(B126,'[9]november-2025'!$A:$A,'[9]november-2025'!$C:$C,0,0)</f>
        <v>34500</v>
      </c>
      <c r="CN126">
        <f t="shared" si="244"/>
        <v>6210</v>
      </c>
      <c r="CO126">
        <f t="shared" si="245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 t="shared" si="200"/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46"/>
        <v>200</v>
      </c>
      <c r="CV126">
        <f t="shared" si="247"/>
        <v>42650</v>
      </c>
      <c r="CW126">
        <f>_xlfn.XLOOKUP(B126,'[10]december-2025'!$A:$A,'[10]december-2025'!$C:$C,0,0)</f>
        <v>34500</v>
      </c>
      <c r="CX126">
        <f t="shared" si="248"/>
        <v>6210</v>
      </c>
      <c r="CY126">
        <f t="shared" si="249"/>
        <v>4140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 t="shared" si="201"/>
        <v>45350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50"/>
        <v>200</v>
      </c>
      <c r="DF126">
        <f t="shared" si="251"/>
        <v>42650</v>
      </c>
      <c r="DG126">
        <f>_xlfn.XLOOKUP(B126,'[11]january-2026'!$A:$A,'[11]january-2026'!$C:$C,0,0)</f>
        <v>34500</v>
      </c>
      <c r="DH126">
        <f t="shared" si="252"/>
        <v>6210</v>
      </c>
      <c r="DI126">
        <f t="shared" si="253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02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54"/>
        <v>200</v>
      </c>
      <c r="DP126">
        <f t="shared" si="255"/>
        <v>42650</v>
      </c>
      <c r="DQ126">
        <f>_xlfn.XLOOKUP(B126,'[12]february-2026'!$A:$A,'[12]february-2026'!$C:$C,0,0)</f>
        <v>34500</v>
      </c>
      <c r="DR126">
        <f t="shared" si="256"/>
        <v>6210</v>
      </c>
      <c r="DS126">
        <f t="shared" si="257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03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58"/>
        <v>200</v>
      </c>
      <c r="DZ126">
        <f t="shared" si="259"/>
        <v>42650</v>
      </c>
      <c r="EA126">
        <f>_xlfn.XLOOKUP(B126,'[1]march-2025'!$A:$A,'[1]march-2025'!$J:$J,0,0)</f>
        <v>0</v>
      </c>
      <c r="EB126">
        <f>_xlfn.XLOOKUP(B126,'[2]april-2025'!$A:$A,'[2]april-2025'!$J:$J,0,0)</f>
        <v>0</v>
      </c>
      <c r="EC126">
        <f>_xlfn.XLOOKUP(B126,'[3]may-2025'!$A:$A,'[3]may-2025'!$J:$J,0,0)</f>
        <v>0</v>
      </c>
      <c r="ED126">
        <f>_xlfn.XLOOKUP(B126,'[4]june-2025'!$A:$A,'[4]june-2025'!$J:$J,0,0)</f>
        <v>0</v>
      </c>
      <c r="EE126">
        <f>_xlfn.XLOOKUP(B126,'[5]july-2025'!$A:$A,'[5]july-2025'!$J:$J,0,0)</f>
        <v>0</v>
      </c>
      <c r="EF126">
        <f>_xlfn.XLOOKUP(B126,'[6]august-2025'!$A:$A,'[6]august-2025'!$J:$J,0,0)</f>
        <v>0</v>
      </c>
      <c r="EG126">
        <f>_xlfn.XLOOKUP(B126,'[7]september-2025'!$A:$A,'[7]september-2025'!$J:$J,0,0)</f>
        <v>0</v>
      </c>
      <c r="EH126">
        <f>_xlfn.XLOOKUP(B126,'[8]october-2025'!$A:$A,'[8]october-2025'!$J:$J,0,0)</f>
        <v>0</v>
      </c>
      <c r="EI126">
        <f>_xlfn.XLOOKUP(C126,'[9]november-2025'!$A:$A,'[9]november-2025'!$J:$J,0,0)</f>
        <v>0</v>
      </c>
      <c r="EJ126">
        <f>_xlfn.XLOOKUP(B126,'[10]december-2025'!$A:$A,'[10]december-2025'!$J:$J,0,0)</f>
        <v>0</v>
      </c>
      <c r="EK126">
        <f>_xlfn.XLOOKUP(B126,'[11]january-2026'!$A:$A,'[11]january-2026'!$J:$J,0,0)</f>
        <v>0</v>
      </c>
      <c r="EL126">
        <f>_xlfn.XLOOKUP(B126,'[12]february-2026'!$A:$A,'[12]february-2026'!$J:$J,0,0)</f>
        <v>0</v>
      </c>
      <c r="EM126">
        <f t="shared" si="260"/>
        <v>0</v>
      </c>
      <c r="EN126">
        <f t="shared" si="204"/>
        <v>530012</v>
      </c>
      <c r="EO126">
        <f t="shared" si="205"/>
        <v>2350</v>
      </c>
      <c r="EP126">
        <f t="shared" si="261"/>
        <v>50000</v>
      </c>
      <c r="EQ126">
        <v>0</v>
      </c>
      <c r="ER126">
        <f t="shared" si="262"/>
        <v>477662</v>
      </c>
      <c r="ES126">
        <f t="shared" si="206"/>
        <v>27500</v>
      </c>
      <c r="ET126">
        <f t="shared" si="207"/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si="263"/>
        <v>27500</v>
      </c>
      <c r="FF126">
        <f t="shared" si="264"/>
        <v>27500</v>
      </c>
      <c r="FG126">
        <f t="shared" si="265"/>
        <v>450162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si="208"/>
        <v>0</v>
      </c>
      <c r="FP126">
        <f t="shared" si="266"/>
        <v>450162</v>
      </c>
      <c r="FQ126">
        <f t="shared" si="267"/>
        <v>10008</v>
      </c>
      <c r="FR126">
        <f t="shared" si="268"/>
        <v>0</v>
      </c>
      <c r="FS126">
        <f t="shared" si="269"/>
        <v>10008</v>
      </c>
      <c r="FT126">
        <f t="shared" si="270"/>
        <v>0</v>
      </c>
      <c r="FU126">
        <f t="shared" si="271"/>
        <v>0</v>
      </c>
      <c r="FV126">
        <f t="shared" si="272"/>
        <v>0</v>
      </c>
      <c r="FW126">
        <v>0</v>
      </c>
      <c r="FX126">
        <f t="shared" si="273"/>
        <v>0</v>
      </c>
      <c r="FY126" t="b">
        <f t="shared" si="274"/>
        <v>1</v>
      </c>
      <c r="FZ126">
        <f t="shared" ca="1" si="275"/>
        <v>653</v>
      </c>
      <c r="GA126">
        <f t="shared" ca="1" si="276"/>
        <v>530665</v>
      </c>
      <c r="GB126">
        <f t="shared" si="277"/>
        <v>75000</v>
      </c>
      <c r="GC126">
        <f t="shared" ca="1" si="278"/>
        <v>455665</v>
      </c>
      <c r="GD126">
        <f t="shared" ca="1" si="279"/>
        <v>0</v>
      </c>
      <c r="GE126">
        <f t="shared" ca="1" si="280"/>
        <v>0</v>
      </c>
      <c r="GF126">
        <f t="shared" ca="1" si="281"/>
        <v>0</v>
      </c>
      <c r="GG126">
        <f t="shared" ca="1" si="282"/>
        <v>0</v>
      </c>
      <c r="GH126">
        <f t="shared" ca="1" si="283"/>
        <v>0</v>
      </c>
      <c r="GI126">
        <f t="shared" ca="1" si="284"/>
        <v>0</v>
      </c>
      <c r="GJ126">
        <f t="shared" ca="1" si="209"/>
        <v>0</v>
      </c>
      <c r="GK126">
        <f t="shared" ca="1" si="285"/>
        <v>0</v>
      </c>
      <c r="GL126">
        <f t="shared" ca="1" si="286"/>
        <v>0</v>
      </c>
      <c r="GM126">
        <f t="shared" ca="1" si="287"/>
        <v>0</v>
      </c>
      <c r="GN126">
        <f t="shared" ca="1" si="288"/>
        <v>55665</v>
      </c>
      <c r="GO126">
        <f t="shared" ca="1" si="289"/>
        <v>2783.25</v>
      </c>
      <c r="GP126">
        <f t="shared" ca="1" si="290"/>
        <v>2783</v>
      </c>
      <c r="GQ126">
        <f t="shared" ca="1" si="291"/>
        <v>0</v>
      </c>
      <c r="GR126">
        <f t="shared" ca="1" si="292"/>
        <v>0</v>
      </c>
      <c r="GS126">
        <f t="shared" ca="1" si="293"/>
        <v>2783</v>
      </c>
      <c r="GT126">
        <f t="shared" ca="1" si="294"/>
        <v>0</v>
      </c>
      <c r="GU126" t="b">
        <f t="shared" ca="1" si="295"/>
        <v>0</v>
      </c>
      <c r="GV126">
        <f t="shared" ca="1" si="296"/>
        <v>0</v>
      </c>
      <c r="GW126">
        <f t="shared" ca="1" si="297"/>
        <v>2783</v>
      </c>
      <c r="GX126">
        <f t="shared" ca="1" si="298"/>
        <v>0</v>
      </c>
      <c r="GY126">
        <f t="shared" ca="1" si="299"/>
        <v>0</v>
      </c>
      <c r="GZ126">
        <f t="shared" ca="1" si="300"/>
        <v>0</v>
      </c>
    </row>
    <row r="127" spans="1:208" x14ac:dyDescent="0.3">
      <c r="A127">
        <f>_xlfn.AGGREGATE(3,5,$B$2:B127)</f>
        <v>126</v>
      </c>
      <c r="B127" t="s">
        <v>366</v>
      </c>
      <c r="C127" t="s">
        <v>367</v>
      </c>
      <c r="D127" t="s">
        <v>783</v>
      </c>
      <c r="E127" t="s">
        <v>830</v>
      </c>
      <c r="F127" t="s">
        <v>956</v>
      </c>
      <c r="G127" t="s">
        <v>923</v>
      </c>
      <c r="H127">
        <f t="shared" si="302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211"/>
        <v>4690</v>
      </c>
      <c r="L127">
        <f t="shared" si="212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 t="shared" si="194"/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301"/>
        <v>200</v>
      </c>
      <c r="S127">
        <f t="shared" si="213"/>
        <v>39910</v>
      </c>
      <c r="T127">
        <f>_xlfn.XLOOKUP(B127,'[2]april-2025'!$A:$A,'[2]april-2025'!$C:$C,0,0)</f>
        <v>33500</v>
      </c>
      <c r="U127">
        <f t="shared" si="214"/>
        <v>6030</v>
      </c>
      <c r="V127">
        <f t="shared" si="215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216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217"/>
        <v>200</v>
      </c>
      <c r="AC127">
        <f t="shared" si="218"/>
        <v>41250</v>
      </c>
      <c r="AD127">
        <f>_xlfn.XLOOKUP(B127,'[3]may-2025'!$A:$A,'[3]may-2025'!$C:$C,0,0)</f>
        <v>33500</v>
      </c>
      <c r="AE127">
        <f t="shared" si="219"/>
        <v>6030</v>
      </c>
      <c r="AF127">
        <f t="shared" si="220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221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222"/>
        <v>200</v>
      </c>
      <c r="AM127">
        <f t="shared" si="223"/>
        <v>41250</v>
      </c>
      <c r="AN127">
        <f>_xlfn.XLOOKUP(B127,'[4]june-2025'!$A:$A,'[4]june-2025'!$C:$C,0,0)</f>
        <v>33500</v>
      </c>
      <c r="AO127">
        <f t="shared" si="224"/>
        <v>6030</v>
      </c>
      <c r="AP127">
        <f t="shared" si="225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226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227"/>
        <v>200</v>
      </c>
      <c r="AW127">
        <f t="shared" si="228"/>
        <v>41250</v>
      </c>
      <c r="AX127">
        <f>_xlfn.XLOOKUP(B127,'[5]july-2025'!$A:$A,'[5]july-2025'!$C:$C,0,0)</f>
        <v>34500</v>
      </c>
      <c r="AY127">
        <f t="shared" si="229"/>
        <v>6210</v>
      </c>
      <c r="AZ127">
        <v>0</v>
      </c>
      <c r="BA127">
        <f t="shared" si="230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 t="shared" si="195"/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231"/>
        <v>200</v>
      </c>
      <c r="BH127">
        <f t="shared" si="232"/>
        <v>42550</v>
      </c>
      <c r="BI127">
        <f>_xlfn.XLOOKUP(B127,'[6]august-2025'!$A:$A,'[6]august-2025'!$C:$C,0,0)</f>
        <v>34500</v>
      </c>
      <c r="BJ127">
        <f t="shared" si="233"/>
        <v>6210</v>
      </c>
      <c r="BK127">
        <f t="shared" si="234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35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 t="shared" si="196"/>
        <v>200</v>
      </c>
      <c r="BR127">
        <f t="shared" si="197"/>
        <v>42550</v>
      </c>
      <c r="BS127">
        <f>_xlfn.XLOOKUP(B127,'[7]september-2025'!$A:$A,'[7]september-2025'!$C:$C,0,0)</f>
        <v>34500</v>
      </c>
      <c r="BT127">
        <f t="shared" si="236"/>
        <v>6210</v>
      </c>
      <c r="BU127">
        <f t="shared" si="237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 t="shared" si="198"/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38"/>
        <v>200</v>
      </c>
      <c r="CB127">
        <f t="shared" si="239"/>
        <v>42550</v>
      </c>
      <c r="CC127">
        <f>_xlfn.XLOOKUP(B127,'[8]october-2025'!$A:$A,'[8]october-2025'!$C:$C,0,0)</f>
        <v>34500</v>
      </c>
      <c r="CD127">
        <f t="shared" si="240"/>
        <v>6210</v>
      </c>
      <c r="CE127">
        <f t="shared" si="241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 t="shared" si="199"/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42"/>
        <v>200</v>
      </c>
      <c r="CL127">
        <f t="shared" si="243"/>
        <v>42550</v>
      </c>
      <c r="CM127">
        <f>_xlfn.XLOOKUP(B127,'[9]november-2025'!$A:$A,'[9]november-2025'!$C:$C,0,0)</f>
        <v>34500</v>
      </c>
      <c r="CN127">
        <f t="shared" si="244"/>
        <v>6210</v>
      </c>
      <c r="CO127">
        <f t="shared" si="245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 t="shared" si="200"/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46"/>
        <v>200</v>
      </c>
      <c r="CV127">
        <f t="shared" si="247"/>
        <v>42550</v>
      </c>
      <c r="CW127">
        <f>_xlfn.XLOOKUP(B127,'[10]december-2025'!$A:$A,'[10]december-2025'!$C:$C,0,0)</f>
        <v>34500</v>
      </c>
      <c r="CX127">
        <f t="shared" si="248"/>
        <v>6210</v>
      </c>
      <c r="CY127">
        <f t="shared" si="249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 t="shared" si="201"/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50"/>
        <v>200</v>
      </c>
      <c r="DF127">
        <f t="shared" si="251"/>
        <v>42550</v>
      </c>
      <c r="DG127">
        <f>_xlfn.XLOOKUP(B127,'[11]january-2026'!$A:$A,'[11]january-2026'!$C:$C,0,0)</f>
        <v>34500</v>
      </c>
      <c r="DH127">
        <f t="shared" si="252"/>
        <v>6210</v>
      </c>
      <c r="DI127">
        <f t="shared" si="253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02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54"/>
        <v>200</v>
      </c>
      <c r="DP127">
        <f t="shared" si="255"/>
        <v>42550</v>
      </c>
      <c r="DQ127">
        <f>_xlfn.XLOOKUP(B127,'[12]february-2026'!$A:$A,'[12]february-2026'!$C:$C,0,0)</f>
        <v>34500</v>
      </c>
      <c r="DR127">
        <f t="shared" si="256"/>
        <v>6210</v>
      </c>
      <c r="DS127">
        <f t="shared" si="257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03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58"/>
        <v>200</v>
      </c>
      <c r="DZ127">
        <f t="shared" si="259"/>
        <v>42550</v>
      </c>
      <c r="EA127">
        <f>_xlfn.XLOOKUP(B127,'[1]march-2025'!$A:$A,'[1]march-2025'!$J:$J,0,0)</f>
        <v>0</v>
      </c>
      <c r="EB127">
        <f>_xlfn.XLOOKUP(B127,'[2]april-2025'!$A:$A,'[2]april-2025'!$J:$J,0,0)</f>
        <v>0</v>
      </c>
      <c r="EC127">
        <f>_xlfn.XLOOKUP(B127,'[3]may-2025'!$A:$A,'[3]may-2025'!$J:$J,0,0)</f>
        <v>0</v>
      </c>
      <c r="ED127">
        <f>_xlfn.XLOOKUP(B127,'[4]june-2025'!$A:$A,'[4]june-2025'!$J:$J,0,0)</f>
        <v>0</v>
      </c>
      <c r="EE127">
        <f>_xlfn.XLOOKUP(B127,'[5]july-2025'!$A:$A,'[5]july-2025'!$J:$J,0,0)</f>
        <v>0</v>
      </c>
      <c r="EF127">
        <f>_xlfn.XLOOKUP(B127,'[6]august-2025'!$A:$A,'[6]august-2025'!$J:$J,0,0)</f>
        <v>0</v>
      </c>
      <c r="EG127">
        <f>_xlfn.XLOOKUP(B127,'[7]september-2025'!$A:$A,'[7]september-2025'!$J:$J,0,0)</f>
        <v>0</v>
      </c>
      <c r="EH127">
        <f>_xlfn.XLOOKUP(B127,'[8]october-2025'!$A:$A,'[8]october-2025'!$J:$J,0,0)</f>
        <v>0</v>
      </c>
      <c r="EI127">
        <f>_xlfn.XLOOKUP(C127,'[9]november-2025'!$A:$A,'[9]november-2025'!$J:$J,0,0)</f>
        <v>0</v>
      </c>
      <c r="EJ127">
        <f>_xlfn.XLOOKUP(B127,'[10]december-2025'!$A:$A,'[10]december-2025'!$J:$J,0,0)</f>
        <v>0</v>
      </c>
      <c r="EK127">
        <f>_xlfn.XLOOKUP(B127,'[11]january-2026'!$A:$A,'[11]january-2026'!$J:$J,0,0)</f>
        <v>0</v>
      </c>
      <c r="EL127">
        <f>_xlfn.XLOOKUP(B127,'[12]february-2026'!$A:$A,'[12]february-2026'!$J:$J,0,0)</f>
        <v>0</v>
      </c>
      <c r="EM127">
        <f t="shared" si="260"/>
        <v>0</v>
      </c>
      <c r="EN127">
        <f t="shared" si="204"/>
        <v>543260</v>
      </c>
      <c r="EO127">
        <f t="shared" si="205"/>
        <v>2400</v>
      </c>
      <c r="EP127">
        <f t="shared" si="261"/>
        <v>50000</v>
      </c>
      <c r="EQ127">
        <v>0</v>
      </c>
      <c r="ER127">
        <f t="shared" si="262"/>
        <v>490860</v>
      </c>
      <c r="ES127">
        <f t="shared" si="206"/>
        <v>30000</v>
      </c>
      <c r="ET127">
        <f t="shared" si="207"/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263"/>
        <v>30000</v>
      </c>
      <c r="FF127">
        <f t="shared" si="264"/>
        <v>30000</v>
      </c>
      <c r="FG127">
        <f t="shared" si="265"/>
        <v>460860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208"/>
        <v>0</v>
      </c>
      <c r="FP127">
        <f t="shared" si="266"/>
        <v>460860</v>
      </c>
      <c r="FQ127">
        <f t="shared" si="267"/>
        <v>10543</v>
      </c>
      <c r="FR127">
        <f t="shared" si="268"/>
        <v>0</v>
      </c>
      <c r="FS127">
        <f t="shared" si="269"/>
        <v>10543</v>
      </c>
      <c r="FT127">
        <f t="shared" si="270"/>
        <v>0</v>
      </c>
      <c r="FU127">
        <f t="shared" si="271"/>
        <v>0</v>
      </c>
      <c r="FV127">
        <f t="shared" si="272"/>
        <v>0</v>
      </c>
      <c r="FW127">
        <v>0</v>
      </c>
      <c r="FX127">
        <f t="shared" si="273"/>
        <v>0</v>
      </c>
      <c r="FY127" t="b">
        <f t="shared" si="274"/>
        <v>1</v>
      </c>
      <c r="FZ127">
        <f t="shared" ca="1" si="275"/>
        <v>960</v>
      </c>
      <c r="GA127">
        <f t="shared" ca="1" si="276"/>
        <v>544220</v>
      </c>
      <c r="GB127">
        <f t="shared" si="277"/>
        <v>75000</v>
      </c>
      <c r="GC127">
        <f t="shared" ca="1" si="278"/>
        <v>469220</v>
      </c>
      <c r="GD127">
        <f t="shared" ca="1" si="279"/>
        <v>0</v>
      </c>
      <c r="GE127">
        <f t="shared" ca="1" si="280"/>
        <v>0</v>
      </c>
      <c r="GF127">
        <f t="shared" ca="1" si="281"/>
        <v>0</v>
      </c>
      <c r="GG127">
        <f t="shared" ca="1" si="282"/>
        <v>0</v>
      </c>
      <c r="GH127">
        <f t="shared" ca="1" si="283"/>
        <v>0</v>
      </c>
      <c r="GI127">
        <f t="shared" ca="1" si="284"/>
        <v>0</v>
      </c>
      <c r="GJ127">
        <f t="shared" ca="1" si="209"/>
        <v>0</v>
      </c>
      <c r="GK127">
        <f t="shared" ca="1" si="285"/>
        <v>0</v>
      </c>
      <c r="GL127">
        <f t="shared" ca="1" si="286"/>
        <v>0</v>
      </c>
      <c r="GM127">
        <f t="shared" ca="1" si="287"/>
        <v>0</v>
      </c>
      <c r="GN127">
        <f t="shared" ca="1" si="288"/>
        <v>69220</v>
      </c>
      <c r="GO127">
        <f t="shared" ca="1" si="289"/>
        <v>3461</v>
      </c>
      <c r="GP127">
        <f t="shared" ca="1" si="290"/>
        <v>3461</v>
      </c>
      <c r="GQ127">
        <f t="shared" ca="1" si="291"/>
        <v>0</v>
      </c>
      <c r="GR127">
        <f t="shared" ca="1" si="292"/>
        <v>0</v>
      </c>
      <c r="GS127">
        <f t="shared" ca="1" si="293"/>
        <v>3461</v>
      </c>
      <c r="GT127">
        <f t="shared" ca="1" si="294"/>
        <v>0</v>
      </c>
      <c r="GU127" t="b">
        <f t="shared" ca="1" si="295"/>
        <v>0</v>
      </c>
      <c r="GV127">
        <f t="shared" ca="1" si="296"/>
        <v>0</v>
      </c>
      <c r="GW127">
        <f t="shared" ca="1" si="297"/>
        <v>3461</v>
      </c>
      <c r="GX127">
        <f t="shared" ca="1" si="298"/>
        <v>0</v>
      </c>
      <c r="GY127">
        <f t="shared" ca="1" si="299"/>
        <v>0</v>
      </c>
      <c r="GZ127">
        <f t="shared" ca="1" si="300"/>
        <v>0</v>
      </c>
    </row>
    <row r="128" spans="1:208" x14ac:dyDescent="0.3">
      <c r="A128">
        <f>_xlfn.AGGREGATE(3,5,$B$2:B128)</f>
        <v>127</v>
      </c>
      <c r="B128" t="s">
        <v>368</v>
      </c>
      <c r="C128" t="s">
        <v>369</v>
      </c>
      <c r="D128" t="s">
        <v>783</v>
      </c>
      <c r="E128" t="s">
        <v>830</v>
      </c>
      <c r="F128" t="s">
        <v>956</v>
      </c>
      <c r="G128" t="s">
        <v>881</v>
      </c>
      <c r="H128">
        <f t="shared" si="302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211"/>
        <v>3780.0000000000005</v>
      </c>
      <c r="L128">
        <f t="shared" si="212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 t="shared" si="194"/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01"/>
        <v>150</v>
      </c>
      <c r="S128">
        <f t="shared" si="213"/>
        <v>31870</v>
      </c>
      <c r="T128">
        <f>_xlfn.XLOOKUP(B128,'[2]april-2025'!$A:$A,'[2]april-2025'!$C:$C,0,0)</f>
        <v>27000</v>
      </c>
      <c r="U128">
        <f t="shared" si="214"/>
        <v>4860</v>
      </c>
      <c r="V128">
        <f t="shared" si="215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216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17"/>
        <v>150</v>
      </c>
      <c r="AC128">
        <f t="shared" si="218"/>
        <v>32950</v>
      </c>
      <c r="AD128">
        <f>_xlfn.XLOOKUP(B128,'[3]may-2025'!$A:$A,'[3]may-2025'!$C:$C,0,0)</f>
        <v>31600</v>
      </c>
      <c r="AE128">
        <f t="shared" si="219"/>
        <v>5688</v>
      </c>
      <c r="AF128">
        <f t="shared" si="220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221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2"/>
        <v>200</v>
      </c>
      <c r="AM128">
        <f t="shared" si="223"/>
        <v>38880</v>
      </c>
      <c r="AN128">
        <f>_xlfn.XLOOKUP(B128,'[4]june-2025'!$A:$A,'[4]june-2025'!$C:$C,0,0)</f>
        <v>31600</v>
      </c>
      <c r="AO128">
        <f t="shared" si="224"/>
        <v>5688</v>
      </c>
      <c r="AP128">
        <f t="shared" si="225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226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27"/>
        <v>200</v>
      </c>
      <c r="AW128">
        <f t="shared" si="228"/>
        <v>38880</v>
      </c>
      <c r="AX128">
        <f>_xlfn.XLOOKUP(B128,'[5]july-2025'!$A:$A,'[5]july-2025'!$C:$C,0,0)</f>
        <v>32500</v>
      </c>
      <c r="AY128">
        <f t="shared" si="229"/>
        <v>5850</v>
      </c>
      <c r="AZ128">
        <v>0</v>
      </c>
      <c r="BA128">
        <f t="shared" si="230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 t="shared" si="195"/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1"/>
        <v>200</v>
      </c>
      <c r="BH128">
        <f t="shared" si="232"/>
        <v>40050</v>
      </c>
      <c r="BI128">
        <f>_xlfn.XLOOKUP(B128,'[6]august-2025'!$A:$A,'[6]august-2025'!$C:$C,0,0)</f>
        <v>32500</v>
      </c>
      <c r="BJ128">
        <f t="shared" si="233"/>
        <v>5850</v>
      </c>
      <c r="BK128">
        <f t="shared" si="234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35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196"/>
        <v>200</v>
      </c>
      <c r="BR128">
        <f t="shared" si="197"/>
        <v>40050</v>
      </c>
      <c r="BS128">
        <f>_xlfn.XLOOKUP(B128,'[7]september-2025'!$A:$A,'[7]september-2025'!$C:$C,0,0)</f>
        <v>32500</v>
      </c>
      <c r="BT128">
        <f t="shared" si="236"/>
        <v>5850</v>
      </c>
      <c r="BU128">
        <f t="shared" si="237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 t="shared" si="198"/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38"/>
        <v>200</v>
      </c>
      <c r="CB128">
        <f t="shared" si="239"/>
        <v>40050</v>
      </c>
      <c r="CC128">
        <f>_xlfn.XLOOKUP(B128,'[8]october-2025'!$A:$A,'[8]october-2025'!$C:$C,0,0)</f>
        <v>32500</v>
      </c>
      <c r="CD128">
        <f t="shared" si="240"/>
        <v>5850</v>
      </c>
      <c r="CE128">
        <f t="shared" si="241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 t="shared" si="199"/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42"/>
        <v>200</v>
      </c>
      <c r="CL128">
        <f t="shared" si="243"/>
        <v>40050</v>
      </c>
      <c r="CM128">
        <f>_xlfn.XLOOKUP(B128,'[9]november-2025'!$A:$A,'[9]november-2025'!$C:$C,0,0)</f>
        <v>32500</v>
      </c>
      <c r="CN128">
        <f t="shared" si="244"/>
        <v>5850</v>
      </c>
      <c r="CO128">
        <f t="shared" si="245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 t="shared" si="200"/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46"/>
        <v>200</v>
      </c>
      <c r="CV128">
        <f t="shared" si="247"/>
        <v>40050</v>
      </c>
      <c r="CW128">
        <f>_xlfn.XLOOKUP(B128,'[10]december-2025'!$A:$A,'[10]december-2025'!$C:$C,0,0)</f>
        <v>32500</v>
      </c>
      <c r="CX128">
        <f t="shared" si="248"/>
        <v>5850</v>
      </c>
      <c r="CY128">
        <f t="shared" si="249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 t="shared" si="201"/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50"/>
        <v>200</v>
      </c>
      <c r="DF128">
        <f t="shared" si="251"/>
        <v>40050</v>
      </c>
      <c r="DG128">
        <f>_xlfn.XLOOKUP(B128,'[11]january-2026'!$A:$A,'[11]january-2026'!$C:$C,0,0)</f>
        <v>32500</v>
      </c>
      <c r="DH128">
        <f t="shared" si="252"/>
        <v>5850</v>
      </c>
      <c r="DI128">
        <f t="shared" si="253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02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54"/>
        <v>200</v>
      </c>
      <c r="DP128">
        <f t="shared" si="255"/>
        <v>40050</v>
      </c>
      <c r="DQ128">
        <f>_xlfn.XLOOKUP(B128,'[12]february-2026'!$A:$A,'[12]february-2026'!$C:$C,0,0)</f>
        <v>32500</v>
      </c>
      <c r="DR128">
        <f t="shared" si="256"/>
        <v>5850</v>
      </c>
      <c r="DS128">
        <f t="shared" si="257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03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58"/>
        <v>200</v>
      </c>
      <c r="DZ128">
        <f t="shared" si="259"/>
        <v>40050</v>
      </c>
      <c r="EA128">
        <f>_xlfn.XLOOKUP(B128,'[1]march-2025'!$A:$A,'[1]march-2025'!$J:$J,0,0)</f>
        <v>0</v>
      </c>
      <c r="EB128">
        <f>_xlfn.XLOOKUP(B128,'[2]april-2025'!$A:$A,'[2]april-2025'!$J:$J,0,0)</f>
        <v>0</v>
      </c>
      <c r="EC128">
        <f>_xlfn.XLOOKUP(B128,'[3]may-2025'!$A:$A,'[3]may-2025'!$J:$J,0,0)</f>
        <v>0</v>
      </c>
      <c r="ED128">
        <f>_xlfn.XLOOKUP(B128,'[4]june-2025'!$A:$A,'[4]june-2025'!$J:$J,0,0)</f>
        <v>0</v>
      </c>
      <c r="EE128">
        <f>_xlfn.XLOOKUP(B128,'[5]july-2025'!$A:$A,'[5]july-2025'!$J:$J,0,0)</f>
        <v>0</v>
      </c>
      <c r="EF128">
        <f>_xlfn.XLOOKUP(B128,'[6]august-2025'!$A:$A,'[6]august-2025'!$J:$J,0,0)</f>
        <v>0</v>
      </c>
      <c r="EG128">
        <f>_xlfn.XLOOKUP(B128,'[7]september-2025'!$A:$A,'[7]september-2025'!$J:$J,0,0)</f>
        <v>0</v>
      </c>
      <c r="EH128">
        <f>_xlfn.XLOOKUP(B128,'[8]october-2025'!$A:$A,'[8]october-2025'!$J:$J,0,0)</f>
        <v>0</v>
      </c>
      <c r="EI128">
        <f>_xlfn.XLOOKUP(C128,'[9]november-2025'!$A:$A,'[9]november-2025'!$J:$J,0,0)</f>
        <v>0</v>
      </c>
      <c r="EJ128">
        <f>_xlfn.XLOOKUP(B128,'[10]december-2025'!$A:$A,'[10]december-2025'!$J:$J,0,0)</f>
        <v>0</v>
      </c>
      <c r="EK128">
        <f>_xlfn.XLOOKUP(B128,'[11]january-2026'!$A:$A,'[11]january-2026'!$J:$J,0,0)</f>
        <v>0</v>
      </c>
      <c r="EL128">
        <f>_xlfn.XLOOKUP(B128,'[12]february-2026'!$A:$A,'[12]february-2026'!$J:$J,0,0)</f>
        <v>0</v>
      </c>
      <c r="EM128">
        <f t="shared" si="260"/>
        <v>0</v>
      </c>
      <c r="EN128">
        <f t="shared" si="204"/>
        <v>496080</v>
      </c>
      <c r="EO128">
        <f t="shared" si="205"/>
        <v>2300</v>
      </c>
      <c r="EP128">
        <f t="shared" si="261"/>
        <v>50000</v>
      </c>
      <c r="EQ128">
        <v>0</v>
      </c>
      <c r="ER128">
        <f t="shared" si="262"/>
        <v>443780</v>
      </c>
      <c r="ES128">
        <f t="shared" si="206"/>
        <v>24000</v>
      </c>
      <c r="ET128">
        <f t="shared" si="207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263"/>
        <v>24000</v>
      </c>
      <c r="FF128">
        <f t="shared" si="264"/>
        <v>24000</v>
      </c>
      <c r="FG128">
        <f t="shared" si="265"/>
        <v>419780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208"/>
        <v>0</v>
      </c>
      <c r="FP128">
        <f t="shared" si="266"/>
        <v>419780</v>
      </c>
      <c r="FQ128">
        <f t="shared" si="267"/>
        <v>8489</v>
      </c>
      <c r="FR128">
        <f t="shared" si="268"/>
        <v>0</v>
      </c>
      <c r="FS128">
        <f t="shared" si="269"/>
        <v>8489</v>
      </c>
      <c r="FT128">
        <f t="shared" si="270"/>
        <v>0</v>
      </c>
      <c r="FU128">
        <f t="shared" si="271"/>
        <v>0</v>
      </c>
      <c r="FV128">
        <f t="shared" si="272"/>
        <v>0</v>
      </c>
      <c r="FW128">
        <v>0</v>
      </c>
      <c r="FX128">
        <f t="shared" si="273"/>
        <v>0</v>
      </c>
      <c r="FY128" t="b">
        <f t="shared" si="274"/>
        <v>0</v>
      </c>
      <c r="FZ128">
        <f t="shared" ca="1" si="275"/>
        <v>1844</v>
      </c>
      <c r="GA128">
        <f t="shared" ca="1" si="276"/>
        <v>497924</v>
      </c>
      <c r="GB128">
        <f t="shared" si="277"/>
        <v>75000</v>
      </c>
      <c r="GC128">
        <f t="shared" ca="1" si="278"/>
        <v>422924</v>
      </c>
      <c r="GD128">
        <f t="shared" ca="1" si="279"/>
        <v>0</v>
      </c>
      <c r="GE128">
        <f t="shared" ca="1" si="280"/>
        <v>0</v>
      </c>
      <c r="GF128">
        <f t="shared" ca="1" si="281"/>
        <v>0</v>
      </c>
      <c r="GG128">
        <f t="shared" ca="1" si="282"/>
        <v>0</v>
      </c>
      <c r="GH128">
        <f t="shared" ca="1" si="283"/>
        <v>0</v>
      </c>
      <c r="GI128">
        <f t="shared" ca="1" si="284"/>
        <v>0</v>
      </c>
      <c r="GJ128">
        <f t="shared" ca="1" si="209"/>
        <v>0</v>
      </c>
      <c r="GK128">
        <f t="shared" ca="1" si="285"/>
        <v>0</v>
      </c>
      <c r="GL128">
        <f t="shared" ca="1" si="286"/>
        <v>0</v>
      </c>
      <c r="GM128">
        <f t="shared" ca="1" si="287"/>
        <v>0</v>
      </c>
      <c r="GN128">
        <f t="shared" ca="1" si="288"/>
        <v>22924</v>
      </c>
      <c r="GO128">
        <f t="shared" ca="1" si="289"/>
        <v>1146.2</v>
      </c>
      <c r="GP128">
        <f t="shared" ca="1" si="290"/>
        <v>1146</v>
      </c>
      <c r="GQ128">
        <f t="shared" ca="1" si="291"/>
        <v>0</v>
      </c>
      <c r="GR128">
        <f t="shared" ca="1" si="292"/>
        <v>0</v>
      </c>
      <c r="GS128">
        <f t="shared" ca="1" si="293"/>
        <v>1146</v>
      </c>
      <c r="GT128">
        <f t="shared" ca="1" si="294"/>
        <v>0</v>
      </c>
      <c r="GU128" t="b">
        <f t="shared" ca="1" si="295"/>
        <v>0</v>
      </c>
      <c r="GV128">
        <f t="shared" ca="1" si="296"/>
        <v>0</v>
      </c>
      <c r="GW128">
        <f t="shared" ca="1" si="297"/>
        <v>1146</v>
      </c>
      <c r="GX128">
        <f t="shared" ca="1" si="298"/>
        <v>0</v>
      </c>
      <c r="GY128">
        <f t="shared" ca="1" si="299"/>
        <v>0</v>
      </c>
      <c r="GZ128">
        <f t="shared" ca="1" si="300"/>
        <v>0</v>
      </c>
    </row>
    <row r="129" spans="1:208" x14ac:dyDescent="0.3">
      <c r="A129">
        <f>_xlfn.AGGREGATE(3,5,$B$2:B129)</f>
        <v>128</v>
      </c>
      <c r="B129" t="s">
        <v>370</v>
      </c>
      <c r="C129" t="s">
        <v>371</v>
      </c>
      <c r="D129" t="s">
        <v>783</v>
      </c>
      <c r="E129" t="s">
        <v>830</v>
      </c>
      <c r="F129" t="s">
        <v>956</v>
      </c>
      <c r="G129" t="s">
        <v>903</v>
      </c>
      <c r="H129">
        <f t="shared" si="302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211"/>
        <v>4046.0000000000005</v>
      </c>
      <c r="L129">
        <f t="shared" si="212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194"/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301"/>
        <v>150</v>
      </c>
      <c r="S129">
        <f t="shared" si="213"/>
        <v>34764</v>
      </c>
      <c r="T129">
        <f>_xlfn.XLOOKUP(B129,'[2]april-2025'!$A:$A,'[2]april-2025'!$C:$C,0,0)</f>
        <v>28900</v>
      </c>
      <c r="U129">
        <f t="shared" si="214"/>
        <v>5202</v>
      </c>
      <c r="V129">
        <f t="shared" si="215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216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217"/>
        <v>150</v>
      </c>
      <c r="AC129">
        <f t="shared" si="218"/>
        <v>35920</v>
      </c>
      <c r="AD129">
        <f>_xlfn.XLOOKUP(B129,'[3]may-2025'!$A:$A,'[3]may-2025'!$C:$C,0,0)</f>
        <v>28900</v>
      </c>
      <c r="AE129">
        <f t="shared" si="219"/>
        <v>5202</v>
      </c>
      <c r="AF129">
        <f t="shared" si="220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221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222"/>
        <v>150</v>
      </c>
      <c r="AM129">
        <f t="shared" si="223"/>
        <v>35920</v>
      </c>
      <c r="AN129">
        <f>_xlfn.XLOOKUP(B129,'[4]june-2025'!$A:$A,'[4]june-2025'!$C:$C,0,0)</f>
        <v>28900</v>
      </c>
      <c r="AO129">
        <f t="shared" si="224"/>
        <v>5202</v>
      </c>
      <c r="AP129">
        <f t="shared" si="225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226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227"/>
        <v>150</v>
      </c>
      <c r="AW129">
        <f t="shared" si="228"/>
        <v>35920</v>
      </c>
      <c r="AX129">
        <f>_xlfn.XLOOKUP(B129,'[5]july-2025'!$A:$A,'[5]july-2025'!$C:$C,0,0)</f>
        <v>29800</v>
      </c>
      <c r="AY129">
        <f t="shared" si="229"/>
        <v>5364</v>
      </c>
      <c r="AZ129">
        <v>0</v>
      </c>
      <c r="BA129">
        <f t="shared" si="230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195"/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231"/>
        <v>150</v>
      </c>
      <c r="BH129">
        <f t="shared" si="232"/>
        <v>37090</v>
      </c>
      <c r="BI129">
        <f>_xlfn.XLOOKUP(B129,'[6]august-2025'!$A:$A,'[6]august-2025'!$C:$C,0,0)</f>
        <v>29800</v>
      </c>
      <c r="BJ129">
        <f t="shared" si="233"/>
        <v>5364</v>
      </c>
      <c r="BK129">
        <f t="shared" si="234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35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 t="shared" si="196"/>
        <v>150</v>
      </c>
      <c r="BR129">
        <f t="shared" si="197"/>
        <v>37090</v>
      </c>
      <c r="BS129">
        <f>_xlfn.XLOOKUP(B129,'[7]september-2025'!$A:$A,'[7]september-2025'!$C:$C,0,0)</f>
        <v>29800</v>
      </c>
      <c r="BT129">
        <f t="shared" si="236"/>
        <v>5364</v>
      </c>
      <c r="BU129">
        <f t="shared" si="237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198"/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38"/>
        <v>150</v>
      </c>
      <c r="CB129">
        <f t="shared" si="239"/>
        <v>37090</v>
      </c>
      <c r="CC129">
        <f>_xlfn.XLOOKUP(B129,'[8]october-2025'!$A:$A,'[8]october-2025'!$C:$C,0,0)</f>
        <v>29800</v>
      </c>
      <c r="CD129">
        <f t="shared" si="240"/>
        <v>5364</v>
      </c>
      <c r="CE129">
        <f t="shared" si="241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199"/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42"/>
        <v>150</v>
      </c>
      <c r="CL129">
        <f t="shared" si="243"/>
        <v>37090</v>
      </c>
      <c r="CM129">
        <f>_xlfn.XLOOKUP(B129,'[9]november-2025'!$A:$A,'[9]november-2025'!$C:$C,0,0)</f>
        <v>29800</v>
      </c>
      <c r="CN129">
        <f t="shared" si="244"/>
        <v>5364</v>
      </c>
      <c r="CO129">
        <f t="shared" si="245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200"/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46"/>
        <v>150</v>
      </c>
      <c r="CV129">
        <f t="shared" si="247"/>
        <v>37090</v>
      </c>
      <c r="CW129">
        <f>_xlfn.XLOOKUP(B129,'[10]december-2025'!$A:$A,'[10]december-2025'!$C:$C,0,0)</f>
        <v>29800</v>
      </c>
      <c r="CX129">
        <f t="shared" si="248"/>
        <v>5364</v>
      </c>
      <c r="CY129">
        <f t="shared" si="249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201"/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50"/>
        <v>150</v>
      </c>
      <c r="DF129">
        <f t="shared" si="251"/>
        <v>37090</v>
      </c>
      <c r="DG129">
        <f>_xlfn.XLOOKUP(B129,'[11]january-2026'!$A:$A,'[11]january-2026'!$C:$C,0,0)</f>
        <v>29800</v>
      </c>
      <c r="DH129">
        <f t="shared" si="252"/>
        <v>5364</v>
      </c>
      <c r="DI129">
        <f t="shared" si="253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02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54"/>
        <v>150</v>
      </c>
      <c r="DP129">
        <f t="shared" si="255"/>
        <v>37090</v>
      </c>
      <c r="DQ129">
        <f>_xlfn.XLOOKUP(B129,'[12]february-2026'!$A:$A,'[12]february-2026'!$C:$C,0,0)</f>
        <v>29800</v>
      </c>
      <c r="DR129">
        <f t="shared" si="256"/>
        <v>5364</v>
      </c>
      <c r="DS129">
        <f t="shared" si="257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03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58"/>
        <v>150</v>
      </c>
      <c r="DZ129">
        <f t="shared" si="259"/>
        <v>37090</v>
      </c>
      <c r="EA129">
        <f>_xlfn.XLOOKUP(B129,'[1]march-2025'!$A:$A,'[1]march-2025'!$J:$J,0,0)</f>
        <v>0</v>
      </c>
      <c r="EB129">
        <f>_xlfn.XLOOKUP(B129,'[2]april-2025'!$A:$A,'[2]april-2025'!$J:$J,0,0)</f>
        <v>0</v>
      </c>
      <c r="EC129">
        <f>_xlfn.XLOOKUP(B129,'[3]may-2025'!$A:$A,'[3]may-2025'!$J:$J,0,0)</f>
        <v>34471</v>
      </c>
      <c r="ED129">
        <f>_xlfn.XLOOKUP(B129,'[4]june-2025'!$A:$A,'[4]june-2025'!$J:$J,0,0)</f>
        <v>0</v>
      </c>
      <c r="EE129">
        <f>_xlfn.XLOOKUP(B129,'[5]july-2025'!$A:$A,'[5]july-2025'!$J:$J,0,0)</f>
        <v>0</v>
      </c>
      <c r="EF129">
        <f>_xlfn.XLOOKUP(B129,'[6]august-2025'!$A:$A,'[6]august-2025'!$J:$J,0,0)</f>
        <v>0</v>
      </c>
      <c r="EG129">
        <f>_xlfn.XLOOKUP(B129,'[7]september-2025'!$A:$A,'[7]september-2025'!$J:$J,0,0)</f>
        <v>0</v>
      </c>
      <c r="EH129">
        <f>_xlfn.XLOOKUP(B129,'[8]october-2025'!$A:$A,'[8]october-2025'!$J:$J,0,0)</f>
        <v>0</v>
      </c>
      <c r="EI129">
        <f>_xlfn.XLOOKUP(C129,'[9]november-2025'!$A:$A,'[9]november-2025'!$J:$J,0,0)</f>
        <v>0</v>
      </c>
      <c r="EJ129">
        <f>_xlfn.XLOOKUP(B129,'[10]december-2025'!$A:$A,'[10]december-2025'!$J:$J,0,0)</f>
        <v>0</v>
      </c>
      <c r="EK129">
        <f>_xlfn.XLOOKUP(B129,'[11]january-2026'!$A:$A,'[11]january-2026'!$J:$J,0,0)</f>
        <v>0</v>
      </c>
      <c r="EL129">
        <f>_xlfn.XLOOKUP(B129,'[12]february-2026'!$A:$A,'[12]february-2026'!$J:$J,0,0)</f>
        <v>0</v>
      </c>
      <c r="EM129">
        <f t="shared" si="260"/>
        <v>34471</v>
      </c>
      <c r="EN129">
        <f t="shared" si="204"/>
        <v>471844</v>
      </c>
      <c r="EO129">
        <f t="shared" si="205"/>
        <v>1800</v>
      </c>
      <c r="EP129">
        <f t="shared" si="261"/>
        <v>50000</v>
      </c>
      <c r="EQ129">
        <v>0</v>
      </c>
      <c r="ER129">
        <f t="shared" si="262"/>
        <v>454515</v>
      </c>
      <c r="ES129">
        <f t="shared" si="206"/>
        <v>24000</v>
      </c>
      <c r="ET129">
        <f t="shared" si="207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263"/>
        <v>24000</v>
      </c>
      <c r="FF129">
        <f t="shared" si="264"/>
        <v>24000</v>
      </c>
      <c r="FG129">
        <f t="shared" si="265"/>
        <v>430515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208"/>
        <v>0</v>
      </c>
      <c r="FP129">
        <f t="shared" si="266"/>
        <v>430515</v>
      </c>
      <c r="FQ129">
        <f t="shared" si="267"/>
        <v>9026</v>
      </c>
      <c r="FR129">
        <f t="shared" si="268"/>
        <v>0</v>
      </c>
      <c r="FS129">
        <f t="shared" si="269"/>
        <v>9026</v>
      </c>
      <c r="FT129">
        <f t="shared" si="270"/>
        <v>0</v>
      </c>
      <c r="FU129">
        <f t="shared" si="271"/>
        <v>0</v>
      </c>
      <c r="FV129">
        <f t="shared" si="272"/>
        <v>0</v>
      </c>
      <c r="FW129">
        <v>0</v>
      </c>
      <c r="FX129">
        <f t="shared" si="273"/>
        <v>0</v>
      </c>
      <c r="FY129" t="b">
        <f t="shared" si="274"/>
        <v>0</v>
      </c>
      <c r="FZ129">
        <f t="shared" ca="1" si="275"/>
        <v>2062</v>
      </c>
      <c r="GA129">
        <f t="shared" ca="1" si="276"/>
        <v>473906</v>
      </c>
      <c r="GB129">
        <f t="shared" si="277"/>
        <v>75000</v>
      </c>
      <c r="GC129">
        <f t="shared" ca="1" si="278"/>
        <v>398906</v>
      </c>
      <c r="GD129">
        <f t="shared" ca="1" si="279"/>
        <v>0</v>
      </c>
      <c r="GE129">
        <f t="shared" ca="1" si="280"/>
        <v>0</v>
      </c>
      <c r="GF129">
        <f t="shared" ca="1" si="281"/>
        <v>0</v>
      </c>
      <c r="GG129">
        <f t="shared" ca="1" si="282"/>
        <v>0</v>
      </c>
      <c r="GH129">
        <f t="shared" ca="1" si="283"/>
        <v>0</v>
      </c>
      <c r="GI129">
        <f t="shared" ca="1" si="284"/>
        <v>0</v>
      </c>
      <c r="GJ129">
        <f t="shared" ca="1" si="209"/>
        <v>0</v>
      </c>
      <c r="GK129">
        <f t="shared" ca="1" si="285"/>
        <v>0</v>
      </c>
      <c r="GL129">
        <f t="shared" ca="1" si="286"/>
        <v>0</v>
      </c>
      <c r="GM129">
        <f t="shared" ca="1" si="287"/>
        <v>0</v>
      </c>
      <c r="GN129">
        <f t="shared" ca="1" si="288"/>
        <v>0</v>
      </c>
      <c r="GO129">
        <f t="shared" ca="1" si="289"/>
        <v>0</v>
      </c>
      <c r="GP129">
        <f t="shared" ca="1" si="290"/>
        <v>0</v>
      </c>
      <c r="GQ129">
        <f t="shared" ca="1" si="291"/>
        <v>0</v>
      </c>
      <c r="GR129">
        <f t="shared" ca="1" si="292"/>
        <v>0</v>
      </c>
      <c r="GS129">
        <f t="shared" ca="1" si="293"/>
        <v>0</v>
      </c>
      <c r="GT129">
        <f t="shared" ca="1" si="294"/>
        <v>0</v>
      </c>
      <c r="GU129" t="b">
        <f t="shared" ca="1" si="295"/>
        <v>0</v>
      </c>
      <c r="GV129">
        <f t="shared" ca="1" si="296"/>
        <v>0</v>
      </c>
      <c r="GW129">
        <f t="shared" ca="1" si="297"/>
        <v>0</v>
      </c>
      <c r="GX129">
        <f t="shared" ca="1" si="298"/>
        <v>0</v>
      </c>
      <c r="GY129">
        <f t="shared" ca="1" si="299"/>
        <v>0</v>
      </c>
      <c r="GZ129">
        <f t="shared" ca="1" si="300"/>
        <v>0</v>
      </c>
    </row>
    <row r="130" spans="1:208" x14ac:dyDescent="0.3">
      <c r="A130">
        <f>_xlfn.AGGREGATE(3,5,$B$2:B130)</f>
        <v>129</v>
      </c>
      <c r="B130" t="s">
        <v>372</v>
      </c>
      <c r="C130" t="s">
        <v>373</v>
      </c>
      <c r="D130" t="s">
        <v>784</v>
      </c>
      <c r="E130" t="s">
        <v>831</v>
      </c>
      <c r="F130" t="s">
        <v>956</v>
      </c>
      <c r="G130" t="s">
        <v>879</v>
      </c>
      <c r="H130">
        <f t="shared" si="302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211"/>
        <v>7238.0000000000009</v>
      </c>
      <c r="L130">
        <f t="shared" si="212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 t="shared" ref="O130:O193" si="389">IF(J130&gt;0,SUM(J130:N130),0)</f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301"/>
        <v>200</v>
      </c>
      <c r="S130">
        <f t="shared" si="213"/>
        <v>60842</v>
      </c>
      <c r="T130">
        <f>_xlfn.XLOOKUP(B130,'[2]april-2025'!$A:$A,'[2]april-2025'!$C:$C,0,0)</f>
        <v>51700</v>
      </c>
      <c r="U130">
        <f t="shared" si="214"/>
        <v>9306</v>
      </c>
      <c r="V130">
        <f t="shared" si="215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216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217"/>
        <v>200</v>
      </c>
      <c r="AC130">
        <f t="shared" si="218"/>
        <v>62910</v>
      </c>
      <c r="AD130">
        <f>_xlfn.XLOOKUP(B130,'[3]may-2025'!$A:$A,'[3]may-2025'!$C:$C,0,0)</f>
        <v>51700</v>
      </c>
      <c r="AE130">
        <f t="shared" si="219"/>
        <v>9306</v>
      </c>
      <c r="AF130">
        <f t="shared" si="220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221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222"/>
        <v>200</v>
      </c>
      <c r="AM130">
        <f t="shared" si="223"/>
        <v>62910</v>
      </c>
      <c r="AN130">
        <f>_xlfn.XLOOKUP(B130,'[4]june-2025'!$A:$A,'[4]june-2025'!$C:$C,0,0)</f>
        <v>51700</v>
      </c>
      <c r="AO130">
        <f t="shared" si="224"/>
        <v>9306</v>
      </c>
      <c r="AP130">
        <f t="shared" si="225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226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227"/>
        <v>200</v>
      </c>
      <c r="AW130">
        <f t="shared" si="228"/>
        <v>62910</v>
      </c>
      <c r="AX130">
        <f>_xlfn.XLOOKUP(B130,'[5]july-2025'!$A:$A,'[5]july-2025'!$C:$C,0,0)</f>
        <v>53300</v>
      </c>
      <c r="AY130">
        <f t="shared" si="229"/>
        <v>9594</v>
      </c>
      <c r="AZ130">
        <v>0</v>
      </c>
      <c r="BA130">
        <f t="shared" si="230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 t="shared" ref="BD130:BD193" si="390">IF(AX130&gt;0,SUM(AX130:BC130),0)</f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231"/>
        <v>200</v>
      </c>
      <c r="BH130">
        <f t="shared" si="232"/>
        <v>64990</v>
      </c>
      <c r="BI130">
        <f>_xlfn.XLOOKUP(B130,'[6]august-2025'!$A:$A,'[6]august-2025'!$C:$C,0,0)</f>
        <v>53300</v>
      </c>
      <c r="BJ130">
        <f t="shared" si="233"/>
        <v>9594</v>
      </c>
      <c r="BK130">
        <f t="shared" si="234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35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 t="shared" ref="BQ130:BQ193" si="391">IF($F130="YES",0,IF(BN130&gt;40000,200,IF(BN130&gt;25000,150,IF(BN130&gt;15000,130,IF(BN130&gt;10000,110,0)))))</f>
        <v>200</v>
      </c>
      <c r="BR130">
        <f t="shared" ref="BR130:BR193" si="392">BN130-BO130-BP130-BQ130</f>
        <v>64990</v>
      </c>
      <c r="BS130">
        <f>_xlfn.XLOOKUP(B130,'[7]september-2025'!$A:$A,'[7]september-2025'!$C:$C,0,0)</f>
        <v>53300</v>
      </c>
      <c r="BT130">
        <f t="shared" si="236"/>
        <v>9594</v>
      </c>
      <c r="BU130">
        <f t="shared" si="237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 t="shared" ref="BX130:BX193" si="393">IF(BS130&gt;0,SUM(BS130:BW130),0)</f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38"/>
        <v>200</v>
      </c>
      <c r="CB130">
        <f t="shared" si="239"/>
        <v>64990</v>
      </c>
      <c r="CC130">
        <f>_xlfn.XLOOKUP(B130,'[8]october-2025'!$A:$A,'[8]october-2025'!$C:$C,0,0)</f>
        <v>53300</v>
      </c>
      <c r="CD130">
        <f t="shared" si="240"/>
        <v>9594</v>
      </c>
      <c r="CE130">
        <f t="shared" si="241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 t="shared" ref="CH130:CH193" si="394">IF(CC130&gt;0,SUM(CC130:CG130),0)</f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42"/>
        <v>200</v>
      </c>
      <c r="CL130">
        <f t="shared" si="243"/>
        <v>64990</v>
      </c>
      <c r="CM130">
        <f>_xlfn.XLOOKUP(B130,'[9]november-2025'!$A:$A,'[9]november-2025'!$C:$C,0,0)</f>
        <v>53300</v>
      </c>
      <c r="CN130">
        <f t="shared" si="244"/>
        <v>9594</v>
      </c>
      <c r="CO130">
        <f t="shared" si="245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 t="shared" ref="CR130:CR193" si="395">IF(CM130&gt;0,SUM(CM130:CQ130),0)</f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46"/>
        <v>200</v>
      </c>
      <c r="CV130">
        <f t="shared" si="247"/>
        <v>64990</v>
      </c>
      <c r="CW130">
        <f>_xlfn.XLOOKUP(B130,'[10]december-2025'!$A:$A,'[10]december-2025'!$C:$C,0,0)</f>
        <v>53300</v>
      </c>
      <c r="CX130">
        <f t="shared" si="248"/>
        <v>9594</v>
      </c>
      <c r="CY130">
        <f t="shared" si="249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 t="shared" ref="DB130:DB193" si="396">IF(CW130&gt;0,SUM(CW130:DA130),0)</f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50"/>
        <v>200</v>
      </c>
      <c r="DF130">
        <f t="shared" si="251"/>
        <v>64990</v>
      </c>
      <c r="DG130">
        <f>_xlfn.XLOOKUP(B130,'[11]january-2026'!$A:$A,'[11]january-2026'!$C:$C,0,0)</f>
        <v>53300</v>
      </c>
      <c r="DH130">
        <f t="shared" si="252"/>
        <v>9594</v>
      </c>
      <c r="DI130">
        <f t="shared" si="253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ref="DL130:DL193" si="397">IF(DG130&gt;0,SUM(DG130:DK130),0)</f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54"/>
        <v>200</v>
      </c>
      <c r="DP130">
        <f t="shared" si="255"/>
        <v>64990</v>
      </c>
      <c r="DQ130">
        <f>_xlfn.XLOOKUP(B130,'[12]february-2026'!$A:$A,'[12]february-2026'!$C:$C,0,0)</f>
        <v>53300</v>
      </c>
      <c r="DR130">
        <f t="shared" si="256"/>
        <v>9594</v>
      </c>
      <c r="DS130">
        <f t="shared" si="257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ref="DV130:DV193" si="398">IF(DQ130&gt;0,SUM(DQ130:DU130),0)</f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58"/>
        <v>200</v>
      </c>
      <c r="DZ130">
        <f t="shared" si="259"/>
        <v>64990</v>
      </c>
      <c r="EA130">
        <f>_xlfn.XLOOKUP(B130,'[1]march-2025'!$A:$A,'[1]march-2025'!$J:$J,0,0)</f>
        <v>0</v>
      </c>
      <c r="EB130">
        <f>_xlfn.XLOOKUP(B130,'[2]april-2025'!$A:$A,'[2]april-2025'!$J:$J,0,0)</f>
        <v>0</v>
      </c>
      <c r="EC130">
        <f>_xlfn.XLOOKUP(B130,'[3]may-2025'!$A:$A,'[3]may-2025'!$J:$J,0,0)</f>
        <v>0</v>
      </c>
      <c r="ED130">
        <f>_xlfn.XLOOKUP(B130,'[4]june-2025'!$A:$A,'[4]june-2025'!$J:$J,0,0)</f>
        <v>0</v>
      </c>
      <c r="EE130">
        <f>_xlfn.XLOOKUP(B130,'[5]july-2025'!$A:$A,'[5]july-2025'!$J:$J,0,0)</f>
        <v>0</v>
      </c>
      <c r="EF130">
        <f>_xlfn.XLOOKUP(B130,'[6]august-2025'!$A:$A,'[6]august-2025'!$J:$J,0,0)</f>
        <v>0</v>
      </c>
      <c r="EG130">
        <f>_xlfn.XLOOKUP(B130,'[7]september-2025'!$A:$A,'[7]september-2025'!$J:$J,0,0)</f>
        <v>0</v>
      </c>
      <c r="EH130">
        <f>_xlfn.XLOOKUP(B130,'[8]october-2025'!$A:$A,'[8]october-2025'!$J:$J,0,0)</f>
        <v>0</v>
      </c>
      <c r="EI130">
        <f>_xlfn.XLOOKUP(C130,'[9]november-2025'!$A:$A,'[9]november-2025'!$J:$J,0,0)</f>
        <v>0</v>
      </c>
      <c r="EJ130">
        <f>_xlfn.XLOOKUP(B130,'[10]december-2025'!$A:$A,'[10]december-2025'!$J:$J,0,0)</f>
        <v>0</v>
      </c>
      <c r="EK130">
        <f>_xlfn.XLOOKUP(B130,'[11]january-2026'!$A:$A,'[11]january-2026'!$J:$J,0,0)</f>
        <v>0</v>
      </c>
      <c r="EL130">
        <f>_xlfn.XLOOKUP(B130,'[12]february-2026'!$A:$A,'[12]february-2026'!$J:$J,0,0)</f>
        <v>0</v>
      </c>
      <c r="EM130">
        <f t="shared" si="260"/>
        <v>0</v>
      </c>
      <c r="EN130">
        <f t="shared" ref="EN130:EN193" si="399">DV130+DL130+DB130+CR130+CH130+BX130+BN130+BD130+AS130+AI130+Y130+O130+H130+I130</f>
        <v>838692</v>
      </c>
      <c r="EO130">
        <f t="shared" ref="EO130:EO193" si="400">DY130+DO130+DE130+CU130+CK130+CA130+BQ130+BG130+AV130+AL130+AB130+R130</f>
        <v>2400</v>
      </c>
      <c r="EP130">
        <f t="shared" si="261"/>
        <v>50000</v>
      </c>
      <c r="EQ130">
        <v>0</v>
      </c>
      <c r="ER130">
        <f t="shared" si="262"/>
        <v>786292</v>
      </c>
      <c r="ES130">
        <f t="shared" ref="ES130:ES193" si="401">DW130+DM130+DC130+CS130+CI130+BY130+BO130+BE130+AT130+AJ130+Z130+P130</f>
        <v>60000</v>
      </c>
      <c r="ET130">
        <f t="shared" ref="ET130:ET193" si="402">DX130+DN130+DD130+CT130+CJ130+BZ130+BP130+BF130+AU130+AK130+AA130+Q130</f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263"/>
        <v>60000</v>
      </c>
      <c r="FF130">
        <f t="shared" si="264"/>
        <v>60000</v>
      </c>
      <c r="FG130">
        <f t="shared" si="265"/>
        <v>726292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ref="FO130:FO193" si="403">SUM(FH130:FN130)+(IF(F130="YES",50000,0))</f>
        <v>0</v>
      </c>
      <c r="FP130">
        <f t="shared" si="266"/>
        <v>726292</v>
      </c>
      <c r="FQ130">
        <f t="shared" si="267"/>
        <v>12500</v>
      </c>
      <c r="FR130">
        <f t="shared" si="268"/>
        <v>45258</v>
      </c>
      <c r="FS130">
        <f t="shared" si="269"/>
        <v>57758</v>
      </c>
      <c r="FT130">
        <f t="shared" si="270"/>
        <v>57758</v>
      </c>
      <c r="FU130">
        <f t="shared" si="271"/>
        <v>2310.3200000000002</v>
      </c>
      <c r="FV130">
        <f t="shared" si="272"/>
        <v>60068</v>
      </c>
      <c r="FW130">
        <v>0</v>
      </c>
      <c r="FX130">
        <f t="shared" si="273"/>
        <v>60068</v>
      </c>
      <c r="FY130" t="b">
        <f t="shared" si="274"/>
        <v>1</v>
      </c>
      <c r="FZ130">
        <f t="shared" ca="1" si="275"/>
        <v>902</v>
      </c>
      <c r="GA130">
        <f t="shared" ca="1" si="276"/>
        <v>839594</v>
      </c>
      <c r="GB130">
        <f t="shared" si="277"/>
        <v>75000</v>
      </c>
      <c r="GC130">
        <f t="shared" ca="1" si="278"/>
        <v>764594</v>
      </c>
      <c r="GD130">
        <f t="shared" ca="1" si="279"/>
        <v>0</v>
      </c>
      <c r="GE130">
        <f t="shared" ca="1" si="280"/>
        <v>0</v>
      </c>
      <c r="GF130">
        <f t="shared" ca="1" si="281"/>
        <v>0</v>
      </c>
      <c r="GG130">
        <f t="shared" ca="1" si="282"/>
        <v>0</v>
      </c>
      <c r="GH130">
        <f t="shared" ca="1" si="283"/>
        <v>0</v>
      </c>
      <c r="GI130">
        <f t="shared" ca="1" si="284"/>
        <v>0</v>
      </c>
      <c r="GJ130">
        <f t="shared" ref="GJ130:GJ193" ca="1" si="404">IF(GC130&gt;1200000,GC130-1200000-IF(F130="YES",50000,0)-GH130,0)</f>
        <v>0</v>
      </c>
      <c r="GK130">
        <f t="shared" ca="1" si="285"/>
        <v>0</v>
      </c>
      <c r="GL130">
        <f t="shared" ca="1" si="286"/>
        <v>0</v>
      </c>
      <c r="GM130">
        <f t="shared" ca="1" si="287"/>
        <v>0</v>
      </c>
      <c r="GN130">
        <f t="shared" ca="1" si="288"/>
        <v>364594</v>
      </c>
      <c r="GO130">
        <f t="shared" ca="1" si="289"/>
        <v>18229.7</v>
      </c>
      <c r="GP130">
        <f t="shared" ca="1" si="290"/>
        <v>18230</v>
      </c>
      <c r="GQ130">
        <f t="shared" ca="1" si="291"/>
        <v>0</v>
      </c>
      <c r="GR130">
        <f t="shared" ca="1" si="292"/>
        <v>0</v>
      </c>
      <c r="GS130">
        <f t="shared" ca="1" si="293"/>
        <v>18230</v>
      </c>
      <c r="GT130">
        <f t="shared" ca="1" si="294"/>
        <v>0</v>
      </c>
      <c r="GU130" t="b">
        <f t="shared" ca="1" si="295"/>
        <v>0</v>
      </c>
      <c r="GV130">
        <f t="shared" ca="1" si="296"/>
        <v>0</v>
      </c>
      <c r="GW130">
        <f t="shared" ca="1" si="297"/>
        <v>18230</v>
      </c>
      <c r="GX130">
        <f t="shared" ca="1" si="298"/>
        <v>0</v>
      </c>
      <c r="GY130">
        <f t="shared" ca="1" si="299"/>
        <v>0</v>
      </c>
      <c r="GZ130">
        <f t="shared" ca="1" si="300"/>
        <v>0</v>
      </c>
    </row>
    <row r="131" spans="1:208" x14ac:dyDescent="0.3">
      <c r="A131">
        <f>_xlfn.AGGREGATE(3,5,$B$2:B131)</f>
        <v>130</v>
      </c>
      <c r="B131" t="s">
        <v>374</v>
      </c>
      <c r="C131" t="s">
        <v>375</v>
      </c>
      <c r="D131" t="s">
        <v>784</v>
      </c>
      <c r="E131" t="s">
        <v>830</v>
      </c>
      <c r="F131" t="s">
        <v>956</v>
      </c>
      <c r="G131" t="s">
        <v>924</v>
      </c>
      <c r="H131">
        <f t="shared" si="302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211"/>
        <v>4424</v>
      </c>
      <c r="L131">
        <f t="shared" si="212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389"/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301"/>
        <v>200</v>
      </c>
      <c r="S131">
        <f t="shared" ref="S131:S194" si="405">O131-P131-Q131-R131</f>
        <v>37116</v>
      </c>
      <c r="T131">
        <f>_xlfn.XLOOKUP(B131,'[2]april-2025'!$A:$A,'[2]april-2025'!$C:$C,0,0)</f>
        <v>31600</v>
      </c>
      <c r="U131">
        <f t="shared" si="214"/>
        <v>5688</v>
      </c>
      <c r="V131">
        <f t="shared" si="215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ref="Y131:Y194" si="406">IF(T131&gt;0,SUM(T131:X131),0)</f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217"/>
        <v>200</v>
      </c>
      <c r="AC131">
        <f t="shared" si="218"/>
        <v>38380</v>
      </c>
      <c r="AD131">
        <f>_xlfn.XLOOKUP(B131,'[3]may-2025'!$A:$A,'[3]may-2025'!$C:$C,0,0)</f>
        <v>31600</v>
      </c>
      <c r="AE131">
        <f t="shared" si="219"/>
        <v>5688</v>
      </c>
      <c r="AF131">
        <f t="shared" si="220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ref="AI131:AI194" si="407">IF(AD131&gt;0,SUM(AD131:AH131),0)</f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222"/>
        <v>200</v>
      </c>
      <c r="AM131">
        <f t="shared" si="223"/>
        <v>38380</v>
      </c>
      <c r="AN131">
        <f>_xlfn.XLOOKUP(B131,'[4]june-2025'!$A:$A,'[4]june-2025'!$C:$C,0,0)</f>
        <v>31600</v>
      </c>
      <c r="AO131">
        <f t="shared" si="224"/>
        <v>5688</v>
      </c>
      <c r="AP131">
        <f t="shared" si="225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ref="AS131:AS194" si="408">IF(AN131&gt;0,SUM(AN131:AR131),0)</f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227"/>
        <v>200</v>
      </c>
      <c r="AW131">
        <f t="shared" si="228"/>
        <v>38380</v>
      </c>
      <c r="AX131">
        <f>_xlfn.XLOOKUP(B131,'[5]july-2025'!$A:$A,'[5]july-2025'!$C:$C,0,0)</f>
        <v>32500</v>
      </c>
      <c r="AY131">
        <f t="shared" si="229"/>
        <v>5850</v>
      </c>
      <c r="AZ131">
        <v>0</v>
      </c>
      <c r="BA131">
        <f t="shared" si="230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390"/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231"/>
        <v>200</v>
      </c>
      <c r="BH131">
        <f t="shared" si="232"/>
        <v>39550</v>
      </c>
      <c r="BI131">
        <f>_xlfn.XLOOKUP(B131,'[6]august-2025'!$A:$A,'[6]august-2025'!$C:$C,0,0)</f>
        <v>32500</v>
      </c>
      <c r="BJ131">
        <f t="shared" si="233"/>
        <v>5850</v>
      </c>
      <c r="BK131">
        <f t="shared" si="234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35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 t="shared" si="391"/>
        <v>200</v>
      </c>
      <c r="BR131">
        <f t="shared" si="392"/>
        <v>39550</v>
      </c>
      <c r="BS131">
        <f>_xlfn.XLOOKUP(B131,'[7]september-2025'!$A:$A,'[7]september-2025'!$C:$C,0,0)</f>
        <v>32500</v>
      </c>
      <c r="BT131">
        <f t="shared" si="236"/>
        <v>5850</v>
      </c>
      <c r="BU131">
        <f t="shared" si="237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393"/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38"/>
        <v>200</v>
      </c>
      <c r="CB131">
        <f t="shared" si="239"/>
        <v>39550</v>
      </c>
      <c r="CC131">
        <f>_xlfn.XLOOKUP(B131,'[8]october-2025'!$A:$A,'[8]october-2025'!$C:$C,0,0)</f>
        <v>32500</v>
      </c>
      <c r="CD131">
        <f t="shared" si="240"/>
        <v>5850</v>
      </c>
      <c r="CE131">
        <f t="shared" si="241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394"/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42"/>
        <v>200</v>
      </c>
      <c r="CL131">
        <f t="shared" si="243"/>
        <v>39550</v>
      </c>
      <c r="CM131">
        <f>_xlfn.XLOOKUP(B131,'[9]november-2025'!$A:$A,'[9]november-2025'!$C:$C,0,0)</f>
        <v>32500</v>
      </c>
      <c r="CN131">
        <f t="shared" si="244"/>
        <v>5850</v>
      </c>
      <c r="CO131">
        <f t="shared" si="245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395"/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46"/>
        <v>200</v>
      </c>
      <c r="CV131">
        <f t="shared" si="247"/>
        <v>39550</v>
      </c>
      <c r="CW131">
        <f>_xlfn.XLOOKUP(B131,'[10]december-2025'!$A:$A,'[10]december-2025'!$C:$C,0,0)</f>
        <v>32500</v>
      </c>
      <c r="CX131">
        <f t="shared" si="248"/>
        <v>5850</v>
      </c>
      <c r="CY131">
        <f t="shared" si="249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396"/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50"/>
        <v>200</v>
      </c>
      <c r="DF131">
        <f t="shared" si="251"/>
        <v>39550</v>
      </c>
      <c r="DG131">
        <f>_xlfn.XLOOKUP(B131,'[11]january-2026'!$A:$A,'[11]january-2026'!$C:$C,0,0)</f>
        <v>32500</v>
      </c>
      <c r="DH131">
        <f t="shared" si="252"/>
        <v>5850</v>
      </c>
      <c r="DI131">
        <f t="shared" si="253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397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54"/>
        <v>200</v>
      </c>
      <c r="DP131">
        <f t="shared" si="255"/>
        <v>39550</v>
      </c>
      <c r="DQ131">
        <f>_xlfn.XLOOKUP(B131,'[12]february-2026'!$A:$A,'[12]february-2026'!$C:$C,0,0)</f>
        <v>32500</v>
      </c>
      <c r="DR131">
        <f t="shared" si="256"/>
        <v>5850</v>
      </c>
      <c r="DS131">
        <f t="shared" si="257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398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58"/>
        <v>200</v>
      </c>
      <c r="DZ131">
        <f t="shared" si="259"/>
        <v>39550</v>
      </c>
      <c r="EA131">
        <f>_xlfn.XLOOKUP(B131,'[1]march-2025'!$A:$A,'[1]march-2025'!$J:$J,0,0)</f>
        <v>0</v>
      </c>
      <c r="EB131">
        <f>_xlfn.XLOOKUP(B131,'[2]april-2025'!$A:$A,'[2]april-2025'!$J:$J,0,0)</f>
        <v>0</v>
      </c>
      <c r="EC131">
        <f>_xlfn.XLOOKUP(B131,'[3]may-2025'!$A:$A,'[3]may-2025'!$J:$J,0,0)</f>
        <v>0</v>
      </c>
      <c r="ED131">
        <f>_xlfn.XLOOKUP(B131,'[4]june-2025'!$A:$A,'[4]june-2025'!$J:$J,0,0)</f>
        <v>0</v>
      </c>
      <c r="EE131">
        <f>_xlfn.XLOOKUP(B131,'[5]july-2025'!$A:$A,'[5]july-2025'!$J:$J,0,0)</f>
        <v>0</v>
      </c>
      <c r="EF131">
        <f>_xlfn.XLOOKUP(B131,'[6]august-2025'!$A:$A,'[6]august-2025'!$J:$J,0,0)</f>
        <v>0</v>
      </c>
      <c r="EG131">
        <f>_xlfn.XLOOKUP(B131,'[7]september-2025'!$A:$A,'[7]september-2025'!$J:$J,0,0)</f>
        <v>0</v>
      </c>
      <c r="EH131">
        <f>_xlfn.XLOOKUP(B131,'[8]october-2025'!$A:$A,'[8]october-2025'!$J:$J,0,0)</f>
        <v>0</v>
      </c>
      <c r="EI131">
        <f>_xlfn.XLOOKUP(C131,'[9]november-2025'!$A:$A,'[9]november-2025'!$J:$J,0,0)</f>
        <v>0</v>
      </c>
      <c r="EJ131">
        <f>_xlfn.XLOOKUP(B131,'[10]december-2025'!$A:$A,'[10]december-2025'!$J:$J,0,0)</f>
        <v>0</v>
      </c>
      <c r="EK131">
        <f>_xlfn.XLOOKUP(B131,'[11]january-2026'!$A:$A,'[11]january-2026'!$J:$J,0,0)</f>
        <v>0</v>
      </c>
      <c r="EL131">
        <f>_xlfn.XLOOKUP(B131,'[12]february-2026'!$A:$A,'[12]february-2026'!$J:$J,0,0)</f>
        <v>0</v>
      </c>
      <c r="EM131">
        <f t="shared" ref="EM131:EM194" si="409">SUM(EA131:EL131)</f>
        <v>0</v>
      </c>
      <c r="EN131">
        <f t="shared" si="399"/>
        <v>513856</v>
      </c>
      <c r="EO131">
        <f t="shared" si="400"/>
        <v>2400</v>
      </c>
      <c r="EP131">
        <f t="shared" si="261"/>
        <v>50000</v>
      </c>
      <c r="EQ131">
        <v>0</v>
      </c>
      <c r="ER131">
        <f t="shared" ref="ER131:ER194" si="410">EN131-EO131-EP131+EM131</f>
        <v>461456</v>
      </c>
      <c r="ES131">
        <f t="shared" si="401"/>
        <v>36000</v>
      </c>
      <c r="ET131">
        <f t="shared" si="402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263"/>
        <v>36000</v>
      </c>
      <c r="FF131">
        <f t="shared" si="264"/>
        <v>36000</v>
      </c>
      <c r="FG131">
        <f t="shared" si="265"/>
        <v>425456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403"/>
        <v>0</v>
      </c>
      <c r="FP131">
        <f t="shared" si="266"/>
        <v>425456</v>
      </c>
      <c r="FQ131">
        <f t="shared" si="267"/>
        <v>8773</v>
      </c>
      <c r="FR131">
        <f t="shared" si="268"/>
        <v>0</v>
      </c>
      <c r="FS131">
        <f t="shared" si="269"/>
        <v>8773</v>
      </c>
      <c r="FT131">
        <f t="shared" si="270"/>
        <v>0</v>
      </c>
      <c r="FU131">
        <f t="shared" si="271"/>
        <v>0</v>
      </c>
      <c r="FV131">
        <f t="shared" si="272"/>
        <v>0</v>
      </c>
      <c r="FW131">
        <v>0</v>
      </c>
      <c r="FX131">
        <f t="shared" si="273"/>
        <v>0</v>
      </c>
      <c r="FY131" t="b">
        <f t="shared" si="274"/>
        <v>1</v>
      </c>
      <c r="FZ131">
        <f t="shared" ca="1" si="275"/>
        <v>502</v>
      </c>
      <c r="GA131">
        <f t="shared" ca="1" si="276"/>
        <v>514358</v>
      </c>
      <c r="GB131">
        <f t="shared" si="277"/>
        <v>75000</v>
      </c>
      <c r="GC131">
        <f t="shared" ca="1" si="278"/>
        <v>439358</v>
      </c>
      <c r="GD131">
        <f t="shared" ca="1" si="279"/>
        <v>0</v>
      </c>
      <c r="GE131">
        <f t="shared" ca="1" si="280"/>
        <v>0</v>
      </c>
      <c r="GF131">
        <f t="shared" ca="1" si="281"/>
        <v>0</v>
      </c>
      <c r="GG131">
        <f t="shared" ca="1" si="282"/>
        <v>0</v>
      </c>
      <c r="GH131">
        <f t="shared" ca="1" si="283"/>
        <v>0</v>
      </c>
      <c r="GI131">
        <f t="shared" ca="1" si="284"/>
        <v>0</v>
      </c>
      <c r="GJ131">
        <f t="shared" ca="1" si="404"/>
        <v>0</v>
      </c>
      <c r="GK131">
        <f t="shared" ca="1" si="285"/>
        <v>0</v>
      </c>
      <c r="GL131">
        <f t="shared" ca="1" si="286"/>
        <v>0</v>
      </c>
      <c r="GM131">
        <f t="shared" ca="1" si="287"/>
        <v>0</v>
      </c>
      <c r="GN131">
        <f t="shared" ca="1" si="288"/>
        <v>39358</v>
      </c>
      <c r="GO131">
        <f t="shared" ca="1" si="289"/>
        <v>1967.9</v>
      </c>
      <c r="GP131">
        <f t="shared" ca="1" si="290"/>
        <v>1968</v>
      </c>
      <c r="GQ131">
        <f t="shared" ca="1" si="291"/>
        <v>0</v>
      </c>
      <c r="GR131">
        <f t="shared" ca="1" si="292"/>
        <v>0</v>
      </c>
      <c r="GS131">
        <f t="shared" ca="1" si="293"/>
        <v>1968</v>
      </c>
      <c r="GT131">
        <f t="shared" ca="1" si="294"/>
        <v>0</v>
      </c>
      <c r="GU131" t="b">
        <f t="shared" ca="1" si="295"/>
        <v>0</v>
      </c>
      <c r="GV131">
        <f t="shared" ca="1" si="296"/>
        <v>0</v>
      </c>
      <c r="GW131">
        <f t="shared" ca="1" si="297"/>
        <v>1968</v>
      </c>
      <c r="GX131">
        <f t="shared" ca="1" si="298"/>
        <v>0</v>
      </c>
      <c r="GY131">
        <f t="shared" ca="1" si="299"/>
        <v>0</v>
      </c>
      <c r="GZ131">
        <f t="shared" ca="1" si="300"/>
        <v>0</v>
      </c>
    </row>
    <row r="132" spans="1:208" x14ac:dyDescent="0.3">
      <c r="A132">
        <f>_xlfn.AGGREGATE(3,5,$B$2:B132)</f>
        <v>131</v>
      </c>
      <c r="B132" t="s">
        <v>862</v>
      </c>
      <c r="C132" t="s">
        <v>863</v>
      </c>
      <c r="D132" t="s">
        <v>784</v>
      </c>
      <c r="E132" t="s">
        <v>830</v>
      </c>
      <c r="F132" t="s">
        <v>958</v>
      </c>
      <c r="G132" t="s">
        <v>925</v>
      </c>
      <c r="H132">
        <f t="shared" ref="H132:H133" si="411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412">J132*0.14</f>
        <v>0</v>
      </c>
      <c r="L132">
        <f t="shared" ref="L132:L195" si="413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 t="shared" si="389"/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01"/>
        <v>0</v>
      </c>
      <c r="S132">
        <f t="shared" si="405"/>
        <v>0</v>
      </c>
      <c r="T132">
        <f>_xlfn.XLOOKUP(B132,'[2]april-2025'!$A:$A,'[2]april-2025'!$C:$C,0,0)</f>
        <v>0</v>
      </c>
      <c r="U132">
        <f t="shared" ref="U132:U195" si="414">T132*0.18</f>
        <v>0</v>
      </c>
      <c r="V132">
        <f t="shared" ref="V132:V195" si="415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si="406"/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416">IF($F132="YES",0,IF(Y132&gt;40000,200,IF(Y132&gt;25000,150,IF(Y132&gt;15000,130,IF(Y132&gt;10000,110,0)))))</f>
        <v>0</v>
      </c>
      <c r="AC132">
        <f t="shared" ref="AC132:AC195" si="417">Y132-Z132-AA132-AB132</f>
        <v>0</v>
      </c>
      <c r="AD132">
        <f>_xlfn.XLOOKUP(B132,'[3]may-2025'!$A:$A,'[3]may-2025'!$C:$C,0,0)</f>
        <v>24700</v>
      </c>
      <c r="AE132">
        <f t="shared" ref="AE132:AE195" si="418">AD132*0.18</f>
        <v>4446</v>
      </c>
      <c r="AF132">
        <f t="shared" ref="AF132:AF195" si="419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si="407"/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420">IF($F132="YES",0,IF(AI132&gt;40000,200,IF(AI132&gt;25000,150,IF(AI132&gt;15000,130,IF(AI132&gt;10000,110,0)))))</f>
        <v>150</v>
      </c>
      <c r="AM132">
        <f t="shared" ref="AM132:AM195" si="421">AI132-AJ132-AK132-AL132</f>
        <v>31960</v>
      </c>
      <c r="AN132">
        <f>_xlfn.XLOOKUP(B132,'[4]june-2025'!$A:$A,'[4]june-2025'!$C:$C,0,0)</f>
        <v>24700</v>
      </c>
      <c r="AO132">
        <f t="shared" ref="AO132:AO195" si="422">AN132*0.18</f>
        <v>4446</v>
      </c>
      <c r="AP132">
        <f t="shared" ref="AP132:AP195" si="423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si="408"/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424">IF($F132="YES",0,IF(AS132&gt;40000,200,IF(AS132&gt;25000,150,IF(AS132&gt;15000,130,IF(AS132&gt;10000,110,0)))))</f>
        <v>150</v>
      </c>
      <c r="AW132">
        <f t="shared" ref="AW132:AW195" si="425">AS132-AT132-AU132-AV132</f>
        <v>31960</v>
      </c>
      <c r="AX132">
        <f>_xlfn.XLOOKUP(B132,'[5]july-2025'!$A:$A,'[5]july-2025'!$C:$C,0,0)</f>
        <v>24700</v>
      </c>
      <c r="AY132">
        <f t="shared" ref="AY132:AY195" si="426">AX132*0.18</f>
        <v>4446</v>
      </c>
      <c r="AZ132">
        <v>0</v>
      </c>
      <c r="BA132">
        <f t="shared" ref="BA132:BA195" si="427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 t="shared" si="390"/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428">IF($F132="YES",0,IF(BD132&gt;40000,200,IF(BD132&gt;25000,150,IF(BD132&gt;15000,130,IF(BD132&gt;10000,110,0)))))</f>
        <v>150</v>
      </c>
      <c r="BH132">
        <f t="shared" ref="BH132:BH195" si="429">BD132-BE132-BF132-BG132</f>
        <v>31960</v>
      </c>
      <c r="BI132">
        <f>_xlfn.XLOOKUP(B132,'[6]august-2025'!$A:$A,'[6]august-2025'!$C:$C,0,0)</f>
        <v>24700</v>
      </c>
      <c r="BJ132">
        <f t="shared" ref="BJ132:BJ195" si="430">BI132*0.18</f>
        <v>4446</v>
      </c>
      <c r="BK132">
        <f t="shared" ref="BK132:BK195" si="431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432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si="391"/>
        <v>150</v>
      </c>
      <c r="BR132">
        <f t="shared" si="392"/>
        <v>31960</v>
      </c>
      <c r="BS132">
        <f>_xlfn.XLOOKUP(B132,'[7]september-2025'!$A:$A,'[7]september-2025'!$C:$C,0,0)</f>
        <v>24700</v>
      </c>
      <c r="BT132">
        <f t="shared" ref="BT132:BT195" si="433">BS132*0.18</f>
        <v>4446</v>
      </c>
      <c r="BU132">
        <f t="shared" ref="BU132:BU195" si="434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 t="shared" si="393"/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435">IF($F132="YES",0,IF(BX132&gt;40000,200,IF(BX132&gt;25000,150,IF(BX132&gt;15000,130,IF(BX132&gt;10000,110,0)))))</f>
        <v>150</v>
      </c>
      <c r="CB132">
        <f t="shared" ref="CB132:CB195" si="436">BX132-BY132-BZ132-CA132</f>
        <v>31960</v>
      </c>
      <c r="CC132">
        <f>_xlfn.XLOOKUP(B132,'[8]october-2025'!$A:$A,'[8]october-2025'!$C:$C,0,0)</f>
        <v>24700</v>
      </c>
      <c r="CD132">
        <f t="shared" ref="CD132:CD195" si="437">CC132*0.18</f>
        <v>4446</v>
      </c>
      <c r="CE132">
        <f t="shared" ref="CE132:CE195" si="438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 t="shared" si="394"/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439">IF($F132="YES",0,IF(CH132&gt;40000,200,IF(CH132&gt;25000,150,IF(CH132&gt;15000,130,IF(CH132&gt;10000,110,0)))))</f>
        <v>150</v>
      </c>
      <c r="CL132">
        <f t="shared" ref="CL132:CL195" si="440">CH132-CI132-CJ132-CK132</f>
        <v>31960</v>
      </c>
      <c r="CM132">
        <f>_xlfn.XLOOKUP(B132,'[9]november-2025'!$A:$A,'[9]november-2025'!$C:$C,0,0)</f>
        <v>24700</v>
      </c>
      <c r="CN132">
        <f t="shared" ref="CN132:CN195" si="441">CM132*0.18</f>
        <v>4446</v>
      </c>
      <c r="CO132">
        <f t="shared" ref="CO132:CO195" si="442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 t="shared" si="395"/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443">IF($F132="YES",0,IF(CR132&gt;40000,200,IF(CR132&gt;25000,150,IF(CR132&gt;15000,130,IF(CR132&gt;10000,110,0)))))</f>
        <v>150</v>
      </c>
      <c r="CV132">
        <f t="shared" ref="CV132:CV195" si="444">CR132-CS132-CT132-CU132</f>
        <v>31960</v>
      </c>
      <c r="CW132">
        <f>_xlfn.XLOOKUP(B132,'[10]december-2025'!$A:$A,'[10]december-2025'!$C:$C,0,0)</f>
        <v>24700</v>
      </c>
      <c r="CX132">
        <f t="shared" ref="CX132:CX195" si="445">ROUND(CW132*0.18,0)</f>
        <v>4446</v>
      </c>
      <c r="CY132">
        <f t="shared" ref="CY132:CY195" si="446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 t="shared" si="396"/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447">IF($F132="YES",0,IF(DB132&gt;40000,200,IF(DB132&gt;25000,150,IF(DB132&gt;15000,130,IF(DB132&gt;10000,110,0)))))</f>
        <v>150</v>
      </c>
      <c r="DF132">
        <f t="shared" ref="DF132:DF195" si="448">DB132-DC132-DD132-DE132</f>
        <v>31960</v>
      </c>
      <c r="DG132">
        <f>_xlfn.XLOOKUP(B132,'[11]january-2026'!$A:$A,'[11]january-2026'!$C:$C,0,0)</f>
        <v>24700</v>
      </c>
      <c r="DH132">
        <f t="shared" ref="DH132:DH195" si="449">DG132*0.18</f>
        <v>4446</v>
      </c>
      <c r="DI132">
        <f t="shared" ref="DI132:DI195" si="450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si="397"/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51">IF($F132="YES",0,IF(DL132&gt;40000,200,IF(DL132&gt;25000,150,IF(DL132&gt;15000,130,IF(DL132&gt;10000,110,0)))))</f>
        <v>150</v>
      </c>
      <c r="DP132">
        <f t="shared" ref="DP132:DP195" si="452">DL132-DM132-DN132-DO132</f>
        <v>29960</v>
      </c>
      <c r="DQ132">
        <f>_xlfn.XLOOKUP(B132,'[12]february-2026'!$A:$A,'[12]february-2026'!$C:$C,0,0)</f>
        <v>24700</v>
      </c>
      <c r="DR132">
        <f t="shared" ref="DR132:DR195" si="453">DQ132*0.18</f>
        <v>4446</v>
      </c>
      <c r="DS132">
        <f t="shared" ref="DS132:DS195" si="454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si="398"/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55">IF($F132="YES",0,IF(DV132&gt;40000,200,IF(DV132&gt;25000,150,IF(DV132&gt;15000,130,IF(DV132&gt;10000,110,0)))))</f>
        <v>150</v>
      </c>
      <c r="DZ132">
        <f t="shared" ref="DZ132:DZ195" si="456">DV132-DW132-DX132-DY132</f>
        <v>29960</v>
      </c>
      <c r="EA132">
        <f>_xlfn.XLOOKUP(B132,'[1]march-2025'!$A:$A,'[1]march-2025'!$J:$J,0,0)</f>
        <v>0</v>
      </c>
      <c r="EB132">
        <f>_xlfn.XLOOKUP(B132,'[2]april-2025'!$A:$A,'[2]april-2025'!$J:$J,0,0)</f>
        <v>0</v>
      </c>
      <c r="EC132">
        <f>_xlfn.XLOOKUP(B132,'[3]may-2025'!$A:$A,'[3]may-2025'!$J:$J,0,0)</f>
        <v>0</v>
      </c>
      <c r="ED132">
        <f>_xlfn.XLOOKUP(B132,'[4]june-2025'!$A:$A,'[4]june-2025'!$J:$J,0,0)</f>
        <v>0</v>
      </c>
      <c r="EE132">
        <f>_xlfn.XLOOKUP(B132,'[5]july-2025'!$A:$A,'[5]july-2025'!$J:$J,0,0)</f>
        <v>0</v>
      </c>
      <c r="EF132">
        <f>_xlfn.XLOOKUP(B132,'[6]august-2025'!$A:$A,'[6]august-2025'!$J:$J,0,0)</f>
        <v>0</v>
      </c>
      <c r="EG132">
        <f>_xlfn.XLOOKUP(B132,'[7]september-2025'!$A:$A,'[7]september-2025'!$J:$J,0,0)</f>
        <v>0</v>
      </c>
      <c r="EH132">
        <f>_xlfn.XLOOKUP(B132,'[8]october-2025'!$A:$A,'[8]october-2025'!$J:$J,0,0)</f>
        <v>0</v>
      </c>
      <c r="EI132">
        <f>_xlfn.XLOOKUP(C132,'[9]november-2025'!$A:$A,'[9]november-2025'!$J:$J,0,0)</f>
        <v>0</v>
      </c>
      <c r="EJ132">
        <f>_xlfn.XLOOKUP(B132,'[10]december-2025'!$A:$A,'[10]december-2025'!$J:$J,0,0)</f>
        <v>0</v>
      </c>
      <c r="EK132">
        <f>_xlfn.XLOOKUP(B132,'[11]january-2026'!$A:$A,'[11]january-2026'!$J:$J,0,0)</f>
        <v>0</v>
      </c>
      <c r="EL132">
        <f>_xlfn.XLOOKUP(B132,'[12]february-2026'!$A:$A,'[12]february-2026'!$J:$J,0,0)</f>
        <v>0</v>
      </c>
      <c r="EM132">
        <f t="shared" si="409"/>
        <v>0</v>
      </c>
      <c r="EN132">
        <f t="shared" si="399"/>
        <v>321100</v>
      </c>
      <c r="EO132">
        <f t="shared" si="400"/>
        <v>1500</v>
      </c>
      <c r="EP132">
        <f t="shared" ref="EP132:EP195" si="457">IF(EN132&gt;0,50000,0)</f>
        <v>50000</v>
      </c>
      <c r="EQ132">
        <v>0</v>
      </c>
      <c r="ER132">
        <f t="shared" si="410"/>
        <v>269600</v>
      </c>
      <c r="ES132">
        <f t="shared" si="401"/>
        <v>4000</v>
      </c>
      <c r="ET132">
        <f t="shared" si="402"/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ref="FE132:FE195" si="458">SUM(ES132:FD132)</f>
        <v>4000</v>
      </c>
      <c r="FF132">
        <f t="shared" ref="FF132:FF195" si="459">IF(FE132&gt;=150000,150000,FE132)</f>
        <v>4000</v>
      </c>
      <c r="FG132">
        <f t="shared" ref="FG132:FG195" si="460">ER132-FF132</f>
        <v>265600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si="403"/>
        <v>0</v>
      </c>
      <c r="FP132">
        <f t="shared" ref="FP132:FP195" si="461">FG132-FO132</f>
        <v>265600</v>
      </c>
      <c r="FQ132">
        <f t="shared" ref="FQ132:FQ195" si="462">ROUND(IF(FP132&gt;0,IF(FP132&gt;500000,12500,(FP132-250000)*0.05),0),0)</f>
        <v>780</v>
      </c>
      <c r="FR132">
        <f t="shared" ref="FR132:FR195" si="463">IF(ROUND(IF(FP132&gt;0,IF(FP132&gt;1000000,25000,(FP132-500000)*0.2),0),0)&lt;0,0,ROUND(IF(FP132&gt;0,IF(FP132&gt;1000000,25000,(FP132-500000)*0.2),0),0))</f>
        <v>0</v>
      </c>
      <c r="FS132">
        <f t="shared" ref="FS132:FS195" si="464">FQ132+FR132</f>
        <v>780</v>
      </c>
      <c r="FT132">
        <f t="shared" ref="FT132:FT195" si="465">IF(FS132&lt;12500,0,FS132)</f>
        <v>0</v>
      </c>
      <c r="FU132">
        <f t="shared" ref="FU132:FU195" si="466">FT132*0.04</f>
        <v>0</v>
      </c>
      <c r="FV132">
        <f t="shared" ref="FV132:FV195" si="467">ROUND(FU132+FT132,0)</f>
        <v>0</v>
      </c>
      <c r="FW132">
        <v>0</v>
      </c>
      <c r="FX132">
        <f t="shared" ref="FX132:FX195" si="468">FV132-FW132</f>
        <v>0</v>
      </c>
      <c r="FY132" t="b">
        <f t="shared" ref="FY132:FY195" si="469">IF(EN132&gt;500000,TRUE,FALSE)</f>
        <v>0</v>
      </c>
      <c r="FZ132">
        <f t="shared" ref="FZ132:FZ195" ca="1" si="470">IF(FY132,RANDBETWEEN(500,1000),RANDBETWEEN(1000,3000))</f>
        <v>2650</v>
      </c>
      <c r="GA132">
        <f t="shared" ref="GA132:GA195" ca="1" si="471">EN132+FZ132</f>
        <v>323750</v>
      </c>
      <c r="GB132">
        <f t="shared" ref="GB132:GB195" si="472">IF(EN132&gt;0,75000,0)</f>
        <v>75000</v>
      </c>
      <c r="GC132">
        <f t="shared" ref="GC132:GC195" ca="1" si="473">GA132-GB132</f>
        <v>248750</v>
      </c>
      <c r="GD132">
        <f t="shared" ref="GD132:GD195" ca="1" si="474">IF(GC132&gt;2400000,GC132-2400000,0)</f>
        <v>0</v>
      </c>
      <c r="GE132">
        <f t="shared" ref="GE132:GE195" ca="1" si="475">GD132*0.3</f>
        <v>0</v>
      </c>
      <c r="GF132">
        <f t="shared" ref="GF132:GF195" ca="1" si="476">IF(GC132&gt;2000000,GC132-2000000,0)</f>
        <v>0</v>
      </c>
      <c r="GG132">
        <f t="shared" ref="GG132:GG195" ca="1" si="477">GF132*0.25</f>
        <v>0</v>
      </c>
      <c r="GH132">
        <f t="shared" ref="GH132:GH195" ca="1" si="478">IF(GC132&gt;1600000,GC132-1600000-GD132,0)</f>
        <v>0</v>
      </c>
      <c r="GI132">
        <f t="shared" ref="GI132:GI195" ca="1" si="479">GH132*0.2</f>
        <v>0</v>
      </c>
      <c r="GJ132">
        <f t="shared" ca="1" si="404"/>
        <v>0</v>
      </c>
      <c r="GK132">
        <f t="shared" ref="GK132:GK195" ca="1" si="480">GJ132*0.15</f>
        <v>0</v>
      </c>
      <c r="GL132">
        <f t="shared" ref="GL132:GL195" ca="1" si="481">IF(GC132&gt;800000,GC132-800000-GD132-GH132-GJ132,0)</f>
        <v>0</v>
      </c>
      <c r="GM132">
        <f t="shared" ref="GM132:GM195" ca="1" si="482">GL132*0.1</f>
        <v>0</v>
      </c>
      <c r="GN132">
        <f t="shared" ref="GN132:GN195" ca="1" si="483">IF(GC132&gt;400000,GC132-400000-GD132-GH132-GJ132-GL132,0)</f>
        <v>0</v>
      </c>
      <c r="GO132">
        <f t="shared" ref="GO132:GO195" ca="1" si="484">GN132*0.05</f>
        <v>0</v>
      </c>
      <c r="GP132">
        <f t="shared" ref="GP132:GP195" ca="1" si="485">ROUND(GE132+GG132+GI132+GK132+GM132+GO132,0)</f>
        <v>0</v>
      </c>
      <c r="GQ132">
        <f t="shared" ref="GQ132:GQ195" ca="1" si="486">IF(GC132&gt;1200000,GC132,0)</f>
        <v>0</v>
      </c>
      <c r="GR132">
        <f t="shared" ref="GR132:GR195" ca="1" si="487">IF(GC132&gt;1200000,GQ132-1200000,0)</f>
        <v>0</v>
      </c>
      <c r="GS132">
        <f t="shared" ref="GS132:GS195" ca="1" si="488">IF(GC132&lt;1200001,MIN(GP132,60000),0)</f>
        <v>0</v>
      </c>
      <c r="GT132">
        <f t="shared" ref="GT132:GT195" ca="1" si="489">IF(GC132&gt;1200000,GP132-GR132,0)</f>
        <v>0</v>
      </c>
      <c r="GU132" t="b">
        <f t="shared" ref="GU132:GU195" ca="1" si="490">IF(GT132&gt;0,TRUE,FALSE)</f>
        <v>0</v>
      </c>
      <c r="GV132">
        <f t="shared" ref="GV132:GV195" ca="1" si="491">IF(GU132,GT132,0)</f>
        <v>0</v>
      </c>
      <c r="GW132">
        <f t="shared" ref="GW132:GW195" ca="1" si="492">GS132+GV132</f>
        <v>0</v>
      </c>
      <c r="GX132">
        <f t="shared" ref="GX132:GX195" ca="1" si="493">ROUND(GP132-GW132,0)</f>
        <v>0</v>
      </c>
      <c r="GY132">
        <f t="shared" ref="GY132:GY195" ca="1" si="494">GX132*0.04</f>
        <v>0</v>
      </c>
      <c r="GZ132">
        <f t="shared" ref="GZ132:GZ195" ca="1" si="495">ROUNDUP(GX132+GY132,0)</f>
        <v>0</v>
      </c>
    </row>
    <row r="133" spans="1:208" x14ac:dyDescent="0.3">
      <c r="A133">
        <f>_xlfn.AGGREGATE(3,5,$B$2:B133)</f>
        <v>132</v>
      </c>
      <c r="B133" t="s">
        <v>376</v>
      </c>
      <c r="C133" t="s">
        <v>377</v>
      </c>
      <c r="D133" t="s">
        <v>785</v>
      </c>
      <c r="E133" t="s">
        <v>830</v>
      </c>
      <c r="F133" t="s">
        <v>956</v>
      </c>
      <c r="G133" t="s">
        <v>896</v>
      </c>
      <c r="H133">
        <f t="shared" si="411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412"/>
        <v>4690</v>
      </c>
      <c r="L133">
        <f t="shared" si="413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389"/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496">IF($F133="YES",0,IF(O133&gt;40000,200,IF(O133&gt;25000,150,IF(O133&gt;15000,130,IF(O133&gt;10000,110,0)))))</f>
        <v>200</v>
      </c>
      <c r="S133">
        <f t="shared" si="405"/>
        <v>40010</v>
      </c>
      <c r="T133">
        <f>_xlfn.XLOOKUP(B133,'[2]april-2025'!$A:$A,'[2]april-2025'!$C:$C,0,0)</f>
        <v>33500</v>
      </c>
      <c r="U133">
        <f t="shared" si="414"/>
        <v>6030</v>
      </c>
      <c r="V133">
        <f t="shared" si="415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406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416"/>
        <v>200</v>
      </c>
      <c r="AC133">
        <f t="shared" si="417"/>
        <v>41350</v>
      </c>
      <c r="AD133">
        <f>_xlfn.XLOOKUP(B133,'[3]may-2025'!$A:$A,'[3]may-2025'!$C:$C,0,0)</f>
        <v>33500</v>
      </c>
      <c r="AE133">
        <f t="shared" si="418"/>
        <v>6030</v>
      </c>
      <c r="AF133">
        <f t="shared" si="419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407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420"/>
        <v>200</v>
      </c>
      <c r="AM133">
        <f t="shared" si="421"/>
        <v>41350</v>
      </c>
      <c r="AN133">
        <f>_xlfn.XLOOKUP(B133,'[4]june-2025'!$A:$A,'[4]june-2025'!$C:$C,0,0)</f>
        <v>33500</v>
      </c>
      <c r="AO133">
        <f t="shared" si="422"/>
        <v>6030</v>
      </c>
      <c r="AP133">
        <f t="shared" si="423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408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424"/>
        <v>200</v>
      </c>
      <c r="AW133">
        <f t="shared" si="425"/>
        <v>41350</v>
      </c>
      <c r="AX133">
        <f>_xlfn.XLOOKUP(B133,'[5]july-2025'!$A:$A,'[5]july-2025'!$C:$C,0,0)</f>
        <v>34500</v>
      </c>
      <c r="AY133">
        <f t="shared" si="426"/>
        <v>6210</v>
      </c>
      <c r="AZ133">
        <v>0</v>
      </c>
      <c r="BA133">
        <f t="shared" si="427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390"/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428"/>
        <v>200</v>
      </c>
      <c r="BH133">
        <f t="shared" si="429"/>
        <v>42650</v>
      </c>
      <c r="BI133">
        <f>_xlfn.XLOOKUP(B133,'[6]august-2025'!$A:$A,'[6]august-2025'!$C:$C,0,0)</f>
        <v>34500</v>
      </c>
      <c r="BJ133">
        <f t="shared" si="430"/>
        <v>6210</v>
      </c>
      <c r="BK133">
        <f t="shared" si="431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432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 t="shared" si="391"/>
        <v>200</v>
      </c>
      <c r="BR133">
        <f t="shared" si="392"/>
        <v>42650</v>
      </c>
      <c r="BS133">
        <f>_xlfn.XLOOKUP(B133,'[7]september-2025'!$A:$A,'[7]september-2025'!$C:$C,0,0)</f>
        <v>34500</v>
      </c>
      <c r="BT133">
        <f t="shared" si="433"/>
        <v>6210</v>
      </c>
      <c r="BU133">
        <f t="shared" si="434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393"/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435"/>
        <v>200</v>
      </c>
      <c r="CB133">
        <f t="shared" si="436"/>
        <v>42650</v>
      </c>
      <c r="CC133">
        <f>_xlfn.XLOOKUP(B133,'[8]october-2025'!$A:$A,'[8]october-2025'!$C:$C,0,0)</f>
        <v>34500</v>
      </c>
      <c r="CD133">
        <f t="shared" si="437"/>
        <v>6210</v>
      </c>
      <c r="CE133">
        <f t="shared" si="438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394"/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439"/>
        <v>200</v>
      </c>
      <c r="CL133">
        <f t="shared" si="440"/>
        <v>42650</v>
      </c>
      <c r="CM133">
        <f>_xlfn.XLOOKUP(B133,'[9]november-2025'!$A:$A,'[9]november-2025'!$C:$C,0,0)</f>
        <v>34500</v>
      </c>
      <c r="CN133">
        <f t="shared" si="441"/>
        <v>6210</v>
      </c>
      <c r="CO133">
        <f t="shared" si="442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395"/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443"/>
        <v>200</v>
      </c>
      <c r="CV133">
        <f t="shared" si="444"/>
        <v>42650</v>
      </c>
      <c r="CW133">
        <f>_xlfn.XLOOKUP(B133,'[10]december-2025'!$A:$A,'[10]december-2025'!$C:$C,0,0)</f>
        <v>34500</v>
      </c>
      <c r="CX133">
        <f t="shared" si="445"/>
        <v>6210</v>
      </c>
      <c r="CY133">
        <f t="shared" si="446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396"/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447"/>
        <v>200</v>
      </c>
      <c r="DF133">
        <f t="shared" si="448"/>
        <v>42650</v>
      </c>
      <c r="DG133">
        <f>_xlfn.XLOOKUP(B133,'[11]january-2026'!$A:$A,'[11]january-2026'!$C:$C,0,0)</f>
        <v>34500</v>
      </c>
      <c r="DH133">
        <f t="shared" si="449"/>
        <v>6210</v>
      </c>
      <c r="DI133">
        <f t="shared" si="450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397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51"/>
        <v>200</v>
      </c>
      <c r="DP133">
        <f t="shared" si="452"/>
        <v>42650</v>
      </c>
      <c r="DQ133">
        <f>_xlfn.XLOOKUP(B133,'[12]february-2026'!$A:$A,'[12]february-2026'!$C:$C,0,0)</f>
        <v>34500</v>
      </c>
      <c r="DR133">
        <f t="shared" si="453"/>
        <v>6210</v>
      </c>
      <c r="DS133">
        <f t="shared" si="454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398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55"/>
        <v>200</v>
      </c>
      <c r="DZ133">
        <f t="shared" si="456"/>
        <v>42650</v>
      </c>
      <c r="EA133">
        <f>_xlfn.XLOOKUP(B133,'[1]march-2025'!$A:$A,'[1]march-2025'!$J:$J,0,0)</f>
        <v>0</v>
      </c>
      <c r="EB133">
        <f>_xlfn.XLOOKUP(B133,'[2]april-2025'!$A:$A,'[2]april-2025'!$J:$J,0,0)</f>
        <v>0</v>
      </c>
      <c r="EC133">
        <f>_xlfn.XLOOKUP(B133,'[3]may-2025'!$A:$A,'[3]may-2025'!$J:$J,0,0)</f>
        <v>0</v>
      </c>
      <c r="ED133">
        <f>_xlfn.XLOOKUP(B133,'[4]june-2025'!$A:$A,'[4]june-2025'!$J:$J,0,0)</f>
        <v>0</v>
      </c>
      <c r="EE133">
        <f>_xlfn.XLOOKUP(B133,'[5]july-2025'!$A:$A,'[5]july-2025'!$J:$J,0,0)</f>
        <v>0</v>
      </c>
      <c r="EF133">
        <f>_xlfn.XLOOKUP(B133,'[6]august-2025'!$A:$A,'[6]august-2025'!$J:$J,0,0)</f>
        <v>0</v>
      </c>
      <c r="EG133">
        <f>_xlfn.XLOOKUP(B133,'[7]september-2025'!$A:$A,'[7]september-2025'!$J:$J,0,0)</f>
        <v>0</v>
      </c>
      <c r="EH133">
        <f>_xlfn.XLOOKUP(B133,'[8]october-2025'!$A:$A,'[8]october-2025'!$J:$J,0,0)</f>
        <v>0</v>
      </c>
      <c r="EI133">
        <f>_xlfn.XLOOKUP(C133,'[9]november-2025'!$A:$A,'[9]november-2025'!$J:$J,0,0)</f>
        <v>0</v>
      </c>
      <c r="EJ133">
        <f>_xlfn.XLOOKUP(B133,'[10]december-2025'!$A:$A,'[10]december-2025'!$J:$J,0,0)</f>
        <v>0</v>
      </c>
      <c r="EK133">
        <f>_xlfn.XLOOKUP(B133,'[11]january-2026'!$A:$A,'[11]january-2026'!$J:$J,0,0)</f>
        <v>0</v>
      </c>
      <c r="EL133">
        <f>_xlfn.XLOOKUP(B133,'[12]february-2026'!$A:$A,'[12]february-2026'!$J:$J,0,0)</f>
        <v>0</v>
      </c>
      <c r="EM133">
        <f t="shared" si="409"/>
        <v>0</v>
      </c>
      <c r="EN133">
        <f t="shared" si="399"/>
        <v>544460</v>
      </c>
      <c r="EO133">
        <f t="shared" si="400"/>
        <v>2400</v>
      </c>
      <c r="EP133">
        <f t="shared" si="457"/>
        <v>50000</v>
      </c>
      <c r="EQ133">
        <v>0</v>
      </c>
      <c r="ER133">
        <f t="shared" si="410"/>
        <v>492060</v>
      </c>
      <c r="ES133">
        <f t="shared" si="401"/>
        <v>30000</v>
      </c>
      <c r="ET133">
        <f t="shared" si="402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458"/>
        <v>30000</v>
      </c>
      <c r="FF133">
        <f t="shared" si="459"/>
        <v>30000</v>
      </c>
      <c r="FG133">
        <f t="shared" si="460"/>
        <v>462060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403"/>
        <v>0</v>
      </c>
      <c r="FP133">
        <f t="shared" si="461"/>
        <v>462060</v>
      </c>
      <c r="FQ133">
        <f t="shared" si="462"/>
        <v>10603</v>
      </c>
      <c r="FR133">
        <f t="shared" si="463"/>
        <v>0</v>
      </c>
      <c r="FS133">
        <f t="shared" si="464"/>
        <v>10603</v>
      </c>
      <c r="FT133">
        <f t="shared" si="465"/>
        <v>0</v>
      </c>
      <c r="FU133">
        <f t="shared" si="466"/>
        <v>0</v>
      </c>
      <c r="FV133">
        <f t="shared" si="467"/>
        <v>0</v>
      </c>
      <c r="FW133">
        <v>0</v>
      </c>
      <c r="FX133">
        <f t="shared" si="468"/>
        <v>0</v>
      </c>
      <c r="FY133" t="b">
        <f t="shared" si="469"/>
        <v>1</v>
      </c>
      <c r="FZ133">
        <f t="shared" ca="1" si="470"/>
        <v>721</v>
      </c>
      <c r="GA133">
        <f t="shared" ca="1" si="471"/>
        <v>545181</v>
      </c>
      <c r="GB133">
        <f t="shared" si="472"/>
        <v>75000</v>
      </c>
      <c r="GC133">
        <f t="shared" ca="1" si="473"/>
        <v>470181</v>
      </c>
      <c r="GD133">
        <f t="shared" ca="1" si="474"/>
        <v>0</v>
      </c>
      <c r="GE133">
        <f t="shared" ca="1" si="475"/>
        <v>0</v>
      </c>
      <c r="GF133">
        <f t="shared" ca="1" si="476"/>
        <v>0</v>
      </c>
      <c r="GG133">
        <f t="shared" ca="1" si="477"/>
        <v>0</v>
      </c>
      <c r="GH133">
        <f t="shared" ca="1" si="478"/>
        <v>0</v>
      </c>
      <c r="GI133">
        <f t="shared" ca="1" si="479"/>
        <v>0</v>
      </c>
      <c r="GJ133">
        <f t="shared" ca="1" si="404"/>
        <v>0</v>
      </c>
      <c r="GK133">
        <f t="shared" ca="1" si="480"/>
        <v>0</v>
      </c>
      <c r="GL133">
        <f t="shared" ca="1" si="481"/>
        <v>0</v>
      </c>
      <c r="GM133">
        <f t="shared" ca="1" si="482"/>
        <v>0</v>
      </c>
      <c r="GN133">
        <f t="shared" ca="1" si="483"/>
        <v>70181</v>
      </c>
      <c r="GO133">
        <f t="shared" ca="1" si="484"/>
        <v>3509.05</v>
      </c>
      <c r="GP133">
        <f t="shared" ca="1" si="485"/>
        <v>3509</v>
      </c>
      <c r="GQ133">
        <f t="shared" ca="1" si="486"/>
        <v>0</v>
      </c>
      <c r="GR133">
        <f t="shared" ca="1" si="487"/>
        <v>0</v>
      </c>
      <c r="GS133">
        <f t="shared" ca="1" si="488"/>
        <v>3509</v>
      </c>
      <c r="GT133">
        <f t="shared" ca="1" si="489"/>
        <v>0</v>
      </c>
      <c r="GU133" t="b">
        <f t="shared" ca="1" si="490"/>
        <v>0</v>
      </c>
      <c r="GV133">
        <f t="shared" ca="1" si="491"/>
        <v>0</v>
      </c>
      <c r="GW133">
        <f t="shared" ca="1" si="492"/>
        <v>3509</v>
      </c>
      <c r="GX133">
        <f t="shared" ca="1" si="493"/>
        <v>0</v>
      </c>
      <c r="GY133">
        <f t="shared" ca="1" si="494"/>
        <v>0</v>
      </c>
      <c r="GZ133">
        <f t="shared" ca="1" si="495"/>
        <v>0</v>
      </c>
    </row>
    <row r="134" spans="1:208" x14ac:dyDescent="0.3">
      <c r="A134">
        <f>_xlfn.AGGREGATE(3,5,$B$2:B134)</f>
        <v>133</v>
      </c>
      <c r="B134" t="s">
        <v>963</v>
      </c>
      <c r="C134" t="s">
        <v>964</v>
      </c>
      <c r="D134" t="s">
        <v>785</v>
      </c>
      <c r="E134" t="s">
        <v>830</v>
      </c>
      <c r="F134" t="s">
        <v>956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412"/>
        <v>0</v>
      </c>
      <c r="L134">
        <f t="shared" si="413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389"/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496"/>
        <v>0</v>
      </c>
      <c r="S134">
        <f t="shared" si="405"/>
        <v>0</v>
      </c>
      <c r="T134">
        <f>_xlfn.XLOOKUP(B134,'[2]april-2025'!$A:$A,'[2]april-2025'!$C:$C,0,0)</f>
        <v>0</v>
      </c>
      <c r="U134">
        <f t="shared" si="414"/>
        <v>0</v>
      </c>
      <c r="V134">
        <f t="shared" si="415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406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416"/>
        <v>0</v>
      </c>
      <c r="AC134">
        <f t="shared" si="417"/>
        <v>0</v>
      </c>
      <c r="AD134">
        <f>_xlfn.XLOOKUP(B134,'[3]may-2025'!$A:$A,'[3]may-2025'!$C:$C,0,0)</f>
        <v>0</v>
      </c>
      <c r="AE134">
        <f t="shared" si="418"/>
        <v>0</v>
      </c>
      <c r="AF134">
        <f t="shared" si="419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407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420"/>
        <v>0</v>
      </c>
      <c r="AM134">
        <f t="shared" si="421"/>
        <v>0</v>
      </c>
      <c r="AN134">
        <f>_xlfn.XLOOKUP(B134,'[4]june-2025'!$A:$A,'[4]june-2025'!$C:$C,0,0)</f>
        <v>0</v>
      </c>
      <c r="AO134">
        <f t="shared" si="422"/>
        <v>0</v>
      </c>
      <c r="AP134">
        <f t="shared" si="423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408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424"/>
        <v>0</v>
      </c>
      <c r="AW134">
        <f t="shared" si="425"/>
        <v>0</v>
      </c>
      <c r="AX134">
        <f>_xlfn.XLOOKUP(B134,'[5]july-2025'!$A:$A,'[5]july-2025'!$C:$C,0,0)</f>
        <v>0</v>
      </c>
      <c r="AY134">
        <f t="shared" si="426"/>
        <v>0</v>
      </c>
      <c r="AZ134">
        <v>1</v>
      </c>
      <c r="BA134">
        <f t="shared" si="427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390"/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428"/>
        <v>0</v>
      </c>
      <c r="BH134">
        <f t="shared" si="429"/>
        <v>0</v>
      </c>
      <c r="BI134">
        <f>_xlfn.XLOOKUP(B134,'[6]august-2025'!$A:$A,'[6]august-2025'!$C:$C,0,0)</f>
        <v>0</v>
      </c>
      <c r="BJ134">
        <f t="shared" si="430"/>
        <v>0</v>
      </c>
      <c r="BK134">
        <f t="shared" si="431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432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 t="shared" si="391"/>
        <v>0</v>
      </c>
      <c r="BR134">
        <f t="shared" si="392"/>
        <v>0</v>
      </c>
      <c r="BS134">
        <f>_xlfn.XLOOKUP(B134,'[7]september-2025'!$A:$A,'[7]september-2025'!$C:$C,0,0)</f>
        <v>0</v>
      </c>
      <c r="BT134">
        <f t="shared" si="433"/>
        <v>0</v>
      </c>
      <c r="BU134">
        <f t="shared" si="434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393"/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435"/>
        <v>0</v>
      </c>
      <c r="CB134">
        <f t="shared" si="436"/>
        <v>0</v>
      </c>
      <c r="CC134">
        <f>_xlfn.XLOOKUP(B134,'[8]october-2025'!$A:$A,'[8]october-2025'!$C:$C,0,0)</f>
        <v>0</v>
      </c>
      <c r="CD134">
        <f t="shared" si="437"/>
        <v>0</v>
      </c>
      <c r="CE134">
        <f t="shared" si="438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394"/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439"/>
        <v>0</v>
      </c>
      <c r="CL134">
        <f t="shared" si="440"/>
        <v>0</v>
      </c>
      <c r="CM134">
        <f>_xlfn.XLOOKUP(B134,'[9]november-2025'!$A:$A,'[9]november-2025'!$C:$C,0,0)</f>
        <v>24700</v>
      </c>
      <c r="CN134">
        <f t="shared" si="441"/>
        <v>4446</v>
      </c>
      <c r="CO134">
        <f t="shared" si="442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395"/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443"/>
        <v>150</v>
      </c>
      <c r="CV134">
        <f t="shared" si="444"/>
        <v>32460</v>
      </c>
      <c r="CW134">
        <f>_xlfn.XLOOKUP(B134,'[10]december-2025'!$A:$A,'[10]december-2025'!$C:$C,0,0)</f>
        <v>24700</v>
      </c>
      <c r="CX134">
        <f t="shared" si="445"/>
        <v>4446</v>
      </c>
      <c r="CY134">
        <f t="shared" si="446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396"/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447"/>
        <v>150</v>
      </c>
      <c r="DF134">
        <f t="shared" si="448"/>
        <v>32460</v>
      </c>
      <c r="DG134">
        <f>_xlfn.XLOOKUP(B134,'[11]january-2026'!$A:$A,'[11]january-2026'!$C:$C,0,0)</f>
        <v>24700</v>
      </c>
      <c r="DH134">
        <f t="shared" si="449"/>
        <v>4446</v>
      </c>
      <c r="DI134">
        <f t="shared" si="450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397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51"/>
        <v>150</v>
      </c>
      <c r="DP134">
        <f t="shared" si="452"/>
        <v>32460</v>
      </c>
      <c r="DQ134">
        <f>_xlfn.XLOOKUP(B134,'[12]february-2026'!$A:$A,'[12]february-2026'!$C:$C,0,0)</f>
        <v>24700</v>
      </c>
      <c r="DR134">
        <f t="shared" si="453"/>
        <v>4446</v>
      </c>
      <c r="DS134">
        <f t="shared" si="454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398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55"/>
        <v>150</v>
      </c>
      <c r="DZ134">
        <f t="shared" si="456"/>
        <v>32460</v>
      </c>
      <c r="EA134">
        <f>_xlfn.XLOOKUP(B134,'[1]march-2025'!$A:$A,'[1]march-2025'!$J:$J,0,0)</f>
        <v>0</v>
      </c>
      <c r="EB134">
        <f>_xlfn.XLOOKUP(B134,'[2]april-2025'!$A:$A,'[2]april-2025'!$J:$J,0,0)</f>
        <v>0</v>
      </c>
      <c r="EC134">
        <f>_xlfn.XLOOKUP(B134,'[3]may-2025'!$A:$A,'[3]may-2025'!$J:$J,0,0)</f>
        <v>0</v>
      </c>
      <c r="ED134">
        <f>_xlfn.XLOOKUP(B134,'[4]june-2025'!$A:$A,'[4]june-2025'!$J:$J,0,0)</f>
        <v>0</v>
      </c>
      <c r="EE134">
        <f>_xlfn.XLOOKUP(B134,'[5]july-2025'!$A:$A,'[5]july-2025'!$J:$J,0,0)</f>
        <v>0</v>
      </c>
      <c r="EF134">
        <f>_xlfn.XLOOKUP(B134,'[6]august-2025'!$A:$A,'[6]august-2025'!$J:$J,0,0)</f>
        <v>0</v>
      </c>
      <c r="EG134">
        <f>_xlfn.XLOOKUP(B134,'[7]september-2025'!$A:$A,'[7]september-2025'!$J:$J,0,0)</f>
        <v>0</v>
      </c>
      <c r="EH134">
        <f>_xlfn.XLOOKUP(B134,'[8]october-2025'!$A:$A,'[8]october-2025'!$J:$J,0,0)</f>
        <v>0</v>
      </c>
      <c r="EI134">
        <f>_xlfn.XLOOKUP(C134,'[9]november-2025'!$A:$A,'[9]november-2025'!$J:$J,0,0)</f>
        <v>0</v>
      </c>
      <c r="EJ134">
        <f>_xlfn.XLOOKUP(B134,'[10]december-2025'!$A:$A,'[10]december-2025'!$J:$J,0,0)</f>
        <v>0</v>
      </c>
      <c r="EK134">
        <f>_xlfn.XLOOKUP(B134,'[11]january-2026'!$A:$A,'[11]january-2026'!$J:$J,0,0)</f>
        <v>0</v>
      </c>
      <c r="EL134">
        <f>_xlfn.XLOOKUP(B134,'[12]february-2026'!$A:$A,'[12]february-2026'!$J:$J,0,0)</f>
        <v>0</v>
      </c>
      <c r="EM134">
        <f t="shared" si="409"/>
        <v>0</v>
      </c>
      <c r="EN134">
        <f t="shared" si="399"/>
        <v>130440</v>
      </c>
      <c r="EO134">
        <f t="shared" si="400"/>
        <v>600</v>
      </c>
      <c r="EP134">
        <f t="shared" si="457"/>
        <v>50000</v>
      </c>
      <c r="EQ134">
        <v>1</v>
      </c>
      <c r="ER134">
        <f t="shared" si="410"/>
        <v>79840</v>
      </c>
      <c r="ES134">
        <f t="shared" si="401"/>
        <v>0</v>
      </c>
      <c r="ET134">
        <f t="shared" si="402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458"/>
        <v>0</v>
      </c>
      <c r="FF134">
        <f t="shared" si="459"/>
        <v>0</v>
      </c>
      <c r="FG134">
        <f t="shared" si="460"/>
        <v>79840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403"/>
        <v>0</v>
      </c>
      <c r="FP134">
        <f t="shared" si="461"/>
        <v>79840</v>
      </c>
      <c r="FQ134">
        <f t="shared" si="462"/>
        <v>-8508</v>
      </c>
      <c r="FR134">
        <f t="shared" si="463"/>
        <v>0</v>
      </c>
      <c r="FS134">
        <f t="shared" si="464"/>
        <v>-8508</v>
      </c>
      <c r="FT134">
        <f t="shared" si="465"/>
        <v>0</v>
      </c>
      <c r="FU134">
        <f t="shared" si="466"/>
        <v>0</v>
      </c>
      <c r="FV134">
        <f t="shared" si="467"/>
        <v>0</v>
      </c>
      <c r="FW134">
        <v>1</v>
      </c>
      <c r="FX134">
        <f t="shared" si="468"/>
        <v>-1</v>
      </c>
      <c r="FY134" t="b">
        <f t="shared" si="469"/>
        <v>0</v>
      </c>
      <c r="FZ134">
        <f t="shared" ca="1" si="470"/>
        <v>1227</v>
      </c>
      <c r="GA134">
        <f t="shared" ca="1" si="471"/>
        <v>131667</v>
      </c>
      <c r="GB134">
        <f t="shared" si="472"/>
        <v>75000</v>
      </c>
      <c r="GC134">
        <f t="shared" ca="1" si="473"/>
        <v>56667</v>
      </c>
      <c r="GD134">
        <f t="shared" ca="1" si="474"/>
        <v>0</v>
      </c>
      <c r="GE134">
        <f t="shared" ca="1" si="475"/>
        <v>0</v>
      </c>
      <c r="GF134">
        <f t="shared" ca="1" si="476"/>
        <v>0</v>
      </c>
      <c r="GG134">
        <f t="shared" ca="1" si="477"/>
        <v>0</v>
      </c>
      <c r="GH134">
        <f t="shared" ca="1" si="478"/>
        <v>0</v>
      </c>
      <c r="GI134">
        <f t="shared" ca="1" si="479"/>
        <v>0</v>
      </c>
      <c r="GJ134">
        <f t="shared" ca="1" si="404"/>
        <v>0</v>
      </c>
      <c r="GK134">
        <f t="shared" ca="1" si="480"/>
        <v>0</v>
      </c>
      <c r="GL134">
        <f t="shared" ca="1" si="481"/>
        <v>0</v>
      </c>
      <c r="GM134">
        <f t="shared" ca="1" si="482"/>
        <v>0</v>
      </c>
      <c r="GN134">
        <f t="shared" ca="1" si="483"/>
        <v>0</v>
      </c>
      <c r="GO134">
        <f t="shared" ca="1" si="484"/>
        <v>0</v>
      </c>
      <c r="GP134">
        <f t="shared" ca="1" si="485"/>
        <v>0</v>
      </c>
      <c r="GQ134">
        <f t="shared" ca="1" si="486"/>
        <v>0</v>
      </c>
      <c r="GR134">
        <f t="shared" ca="1" si="487"/>
        <v>0</v>
      </c>
      <c r="GS134">
        <f t="shared" ca="1" si="488"/>
        <v>0</v>
      </c>
      <c r="GT134">
        <f t="shared" ca="1" si="489"/>
        <v>0</v>
      </c>
      <c r="GU134" t="b">
        <f t="shared" ca="1" si="490"/>
        <v>0</v>
      </c>
      <c r="GV134">
        <f t="shared" ca="1" si="491"/>
        <v>0</v>
      </c>
      <c r="GW134">
        <f t="shared" ca="1" si="492"/>
        <v>0</v>
      </c>
      <c r="GX134">
        <f t="shared" ca="1" si="493"/>
        <v>0</v>
      </c>
      <c r="GY134">
        <f t="shared" ca="1" si="494"/>
        <v>0</v>
      </c>
      <c r="GZ134">
        <f t="shared" ca="1" si="495"/>
        <v>0</v>
      </c>
    </row>
    <row r="135" spans="1:208" x14ac:dyDescent="0.3">
      <c r="A135">
        <f>_xlfn.AGGREGATE(3,5,$B$2:B135)</f>
        <v>134</v>
      </c>
      <c r="B135" t="s">
        <v>378</v>
      </c>
      <c r="C135" t="s">
        <v>379</v>
      </c>
      <c r="D135" t="s">
        <v>786</v>
      </c>
      <c r="E135" t="s">
        <v>831</v>
      </c>
      <c r="F135" t="s">
        <v>956</v>
      </c>
      <c r="G135" t="s">
        <v>877</v>
      </c>
      <c r="H135">
        <f t="shared" ref="H135:H166" si="497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412"/>
        <v>4970.0000000000009</v>
      </c>
      <c r="L135">
        <f t="shared" si="413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 t="shared" si="389"/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496"/>
        <v>200</v>
      </c>
      <c r="S135">
        <f t="shared" si="405"/>
        <v>40430</v>
      </c>
      <c r="T135">
        <f>_xlfn.XLOOKUP(B135,'[2]april-2025'!$A:$A,'[2]april-2025'!$C:$C,0,0)</f>
        <v>35500</v>
      </c>
      <c r="U135">
        <f t="shared" si="414"/>
        <v>6390</v>
      </c>
      <c r="V135">
        <f t="shared" si="415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406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416"/>
        <v>200</v>
      </c>
      <c r="AC135">
        <f t="shared" si="417"/>
        <v>41850</v>
      </c>
      <c r="AD135">
        <f>_xlfn.XLOOKUP(B135,'[3]may-2025'!$A:$A,'[3]may-2025'!$C:$C,0,0)</f>
        <v>35500</v>
      </c>
      <c r="AE135">
        <f t="shared" si="418"/>
        <v>6390</v>
      </c>
      <c r="AF135">
        <f t="shared" si="419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407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420"/>
        <v>200</v>
      </c>
      <c r="AM135">
        <f t="shared" si="421"/>
        <v>41850</v>
      </c>
      <c r="AN135">
        <f>_xlfn.XLOOKUP(B135,'[4]june-2025'!$A:$A,'[4]june-2025'!$C:$C,0,0)</f>
        <v>35500</v>
      </c>
      <c r="AO135">
        <f t="shared" si="422"/>
        <v>6390</v>
      </c>
      <c r="AP135">
        <f t="shared" si="423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408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424"/>
        <v>200</v>
      </c>
      <c r="AW135">
        <f t="shared" si="425"/>
        <v>41850</v>
      </c>
      <c r="AX135">
        <f>_xlfn.XLOOKUP(B135,'[5]july-2025'!$A:$A,'[5]july-2025'!$C:$C,0,0)</f>
        <v>36600</v>
      </c>
      <c r="AY135">
        <f t="shared" si="426"/>
        <v>6588</v>
      </c>
      <c r="AZ135">
        <v>0</v>
      </c>
      <c r="BA135">
        <f t="shared" si="427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 t="shared" si="390"/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428"/>
        <v>200</v>
      </c>
      <c r="BH135">
        <f t="shared" si="429"/>
        <v>43280</v>
      </c>
      <c r="BI135">
        <f>_xlfn.XLOOKUP(B135,'[6]august-2025'!$A:$A,'[6]august-2025'!$C:$C,0,0)</f>
        <v>36600</v>
      </c>
      <c r="BJ135">
        <f t="shared" si="430"/>
        <v>6588</v>
      </c>
      <c r="BK135">
        <f t="shared" si="431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432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 t="shared" si="391"/>
        <v>200</v>
      </c>
      <c r="BR135">
        <f t="shared" si="392"/>
        <v>43280</v>
      </c>
      <c r="BS135">
        <f>_xlfn.XLOOKUP(B135,'[7]september-2025'!$A:$A,'[7]september-2025'!$C:$C,0,0)</f>
        <v>36600</v>
      </c>
      <c r="BT135">
        <f t="shared" si="433"/>
        <v>6588</v>
      </c>
      <c r="BU135">
        <f t="shared" si="434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 t="shared" si="393"/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435"/>
        <v>200</v>
      </c>
      <c r="CB135">
        <f t="shared" si="436"/>
        <v>43280</v>
      </c>
      <c r="CC135">
        <f>_xlfn.XLOOKUP(B135,'[8]october-2025'!$A:$A,'[8]october-2025'!$C:$C,0,0)</f>
        <v>36600</v>
      </c>
      <c r="CD135">
        <f t="shared" si="437"/>
        <v>6588</v>
      </c>
      <c r="CE135">
        <f t="shared" si="438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 t="shared" si="394"/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439"/>
        <v>200</v>
      </c>
      <c r="CL135">
        <f t="shared" si="440"/>
        <v>43280</v>
      </c>
      <c r="CM135">
        <f>_xlfn.XLOOKUP(B135,'[9]november-2025'!$A:$A,'[9]november-2025'!$C:$C,0,0)</f>
        <v>36600</v>
      </c>
      <c r="CN135">
        <f t="shared" si="441"/>
        <v>6588</v>
      </c>
      <c r="CO135">
        <f t="shared" si="442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 t="shared" si="395"/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443"/>
        <v>200</v>
      </c>
      <c r="CV135">
        <f t="shared" si="444"/>
        <v>43280</v>
      </c>
      <c r="CW135">
        <f>_xlfn.XLOOKUP(B135,'[10]december-2025'!$A:$A,'[10]december-2025'!$C:$C,0,0)</f>
        <v>36600</v>
      </c>
      <c r="CX135">
        <f t="shared" si="445"/>
        <v>6588</v>
      </c>
      <c r="CY135">
        <f t="shared" si="446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 t="shared" si="396"/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447"/>
        <v>200</v>
      </c>
      <c r="DF135">
        <f t="shared" si="448"/>
        <v>43280</v>
      </c>
      <c r="DG135">
        <f>_xlfn.XLOOKUP(B135,'[11]january-2026'!$A:$A,'[11]january-2026'!$C:$C,0,0)</f>
        <v>36600</v>
      </c>
      <c r="DH135">
        <f t="shared" si="449"/>
        <v>6588</v>
      </c>
      <c r="DI135">
        <f t="shared" si="450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397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51"/>
        <v>200</v>
      </c>
      <c r="DP135">
        <f t="shared" si="452"/>
        <v>43280</v>
      </c>
      <c r="DQ135">
        <f>_xlfn.XLOOKUP(B135,'[12]february-2026'!$A:$A,'[12]february-2026'!$C:$C,0,0)</f>
        <v>36600</v>
      </c>
      <c r="DR135">
        <f t="shared" si="453"/>
        <v>6588</v>
      </c>
      <c r="DS135">
        <f t="shared" si="454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398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55"/>
        <v>200</v>
      </c>
      <c r="DZ135">
        <f t="shared" si="456"/>
        <v>43280</v>
      </c>
      <c r="EA135">
        <f>_xlfn.XLOOKUP(B135,'[1]march-2025'!$A:$A,'[1]march-2025'!$J:$J,0,0)</f>
        <v>0</v>
      </c>
      <c r="EB135">
        <f>_xlfn.XLOOKUP(B135,'[2]april-2025'!$A:$A,'[2]april-2025'!$J:$J,0,0)</f>
        <v>0</v>
      </c>
      <c r="EC135">
        <f>_xlfn.XLOOKUP(B135,'[3]may-2025'!$A:$A,'[3]may-2025'!$J:$J,0,0)</f>
        <v>0</v>
      </c>
      <c r="ED135">
        <f>_xlfn.XLOOKUP(B135,'[4]june-2025'!$A:$A,'[4]june-2025'!$J:$J,0,0)</f>
        <v>0</v>
      </c>
      <c r="EE135">
        <f>_xlfn.XLOOKUP(B135,'[5]july-2025'!$A:$A,'[5]july-2025'!$J:$J,0,0)</f>
        <v>0</v>
      </c>
      <c r="EF135">
        <f>_xlfn.XLOOKUP(B135,'[6]august-2025'!$A:$A,'[6]august-2025'!$J:$J,0,0)</f>
        <v>0</v>
      </c>
      <c r="EG135">
        <f>_xlfn.XLOOKUP(B135,'[7]september-2025'!$A:$A,'[7]september-2025'!$J:$J,0,0)</f>
        <v>0</v>
      </c>
      <c r="EH135">
        <f>_xlfn.XLOOKUP(B135,'[8]october-2025'!$A:$A,'[8]october-2025'!$J:$J,0,0)</f>
        <v>0</v>
      </c>
      <c r="EI135">
        <f>_xlfn.XLOOKUP(C135,'[9]november-2025'!$A:$A,'[9]november-2025'!$J:$J,0,0)</f>
        <v>0</v>
      </c>
      <c r="EJ135">
        <f>_xlfn.XLOOKUP(B135,'[10]december-2025'!$A:$A,'[10]december-2025'!$J:$J,0,0)</f>
        <v>0</v>
      </c>
      <c r="EK135">
        <f>_xlfn.XLOOKUP(B135,'[11]january-2026'!$A:$A,'[11]january-2026'!$J:$J,0,0)</f>
        <v>0</v>
      </c>
      <c r="EL135">
        <f>_xlfn.XLOOKUP(B135,'[12]february-2026'!$A:$A,'[12]february-2026'!$J:$J,0,0)</f>
        <v>0</v>
      </c>
      <c r="EM135">
        <f t="shared" si="409"/>
        <v>0</v>
      </c>
      <c r="EN135">
        <f t="shared" si="399"/>
        <v>581420</v>
      </c>
      <c r="EO135">
        <f t="shared" si="400"/>
        <v>2400</v>
      </c>
      <c r="EP135">
        <f t="shared" si="457"/>
        <v>50000</v>
      </c>
      <c r="EQ135">
        <v>0</v>
      </c>
      <c r="ER135">
        <f t="shared" si="410"/>
        <v>529020</v>
      </c>
      <c r="ES135">
        <f t="shared" si="401"/>
        <v>60000</v>
      </c>
      <c r="ET135">
        <f t="shared" si="402"/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si="458"/>
        <v>60000</v>
      </c>
      <c r="FF135">
        <f t="shared" si="459"/>
        <v>60000</v>
      </c>
      <c r="FG135">
        <f t="shared" si="460"/>
        <v>469020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si="403"/>
        <v>0</v>
      </c>
      <c r="FP135">
        <f t="shared" si="461"/>
        <v>469020</v>
      </c>
      <c r="FQ135">
        <f t="shared" si="462"/>
        <v>10951</v>
      </c>
      <c r="FR135">
        <f t="shared" si="463"/>
        <v>0</v>
      </c>
      <c r="FS135">
        <f t="shared" si="464"/>
        <v>10951</v>
      </c>
      <c r="FT135">
        <f t="shared" si="465"/>
        <v>0</v>
      </c>
      <c r="FU135">
        <f t="shared" si="466"/>
        <v>0</v>
      </c>
      <c r="FV135">
        <f t="shared" si="467"/>
        <v>0</v>
      </c>
      <c r="FW135">
        <v>0</v>
      </c>
      <c r="FX135">
        <f t="shared" si="468"/>
        <v>0</v>
      </c>
      <c r="FY135" t="b">
        <f t="shared" si="469"/>
        <v>1</v>
      </c>
      <c r="FZ135">
        <f t="shared" ca="1" si="470"/>
        <v>846</v>
      </c>
      <c r="GA135">
        <f t="shared" ca="1" si="471"/>
        <v>582266</v>
      </c>
      <c r="GB135">
        <f t="shared" si="472"/>
        <v>75000</v>
      </c>
      <c r="GC135">
        <f t="shared" ca="1" si="473"/>
        <v>507266</v>
      </c>
      <c r="GD135">
        <f t="shared" ca="1" si="474"/>
        <v>0</v>
      </c>
      <c r="GE135">
        <f t="shared" ca="1" si="475"/>
        <v>0</v>
      </c>
      <c r="GF135">
        <f t="shared" ca="1" si="476"/>
        <v>0</v>
      </c>
      <c r="GG135">
        <f t="shared" ca="1" si="477"/>
        <v>0</v>
      </c>
      <c r="GH135">
        <f t="shared" ca="1" si="478"/>
        <v>0</v>
      </c>
      <c r="GI135">
        <f t="shared" ca="1" si="479"/>
        <v>0</v>
      </c>
      <c r="GJ135">
        <f t="shared" ca="1" si="404"/>
        <v>0</v>
      </c>
      <c r="GK135">
        <f t="shared" ca="1" si="480"/>
        <v>0</v>
      </c>
      <c r="GL135">
        <f t="shared" ca="1" si="481"/>
        <v>0</v>
      </c>
      <c r="GM135">
        <f t="shared" ca="1" si="482"/>
        <v>0</v>
      </c>
      <c r="GN135">
        <f t="shared" ca="1" si="483"/>
        <v>107266</v>
      </c>
      <c r="GO135">
        <f t="shared" ca="1" si="484"/>
        <v>5363.3</v>
      </c>
      <c r="GP135">
        <f t="shared" ca="1" si="485"/>
        <v>5363</v>
      </c>
      <c r="GQ135">
        <f t="shared" ca="1" si="486"/>
        <v>0</v>
      </c>
      <c r="GR135">
        <f t="shared" ca="1" si="487"/>
        <v>0</v>
      </c>
      <c r="GS135">
        <f t="shared" ca="1" si="488"/>
        <v>5363</v>
      </c>
      <c r="GT135">
        <f t="shared" ca="1" si="489"/>
        <v>0</v>
      </c>
      <c r="GU135" t="b">
        <f t="shared" ca="1" si="490"/>
        <v>0</v>
      </c>
      <c r="GV135">
        <f t="shared" ca="1" si="491"/>
        <v>0</v>
      </c>
      <c r="GW135">
        <f t="shared" ca="1" si="492"/>
        <v>5363</v>
      </c>
      <c r="GX135">
        <f t="shared" ca="1" si="493"/>
        <v>0</v>
      </c>
      <c r="GY135">
        <f t="shared" ca="1" si="494"/>
        <v>0</v>
      </c>
      <c r="GZ135">
        <f t="shared" ca="1" si="495"/>
        <v>0</v>
      </c>
    </row>
    <row r="136" spans="1:208" x14ac:dyDescent="0.3">
      <c r="A136">
        <f>_xlfn.AGGREGATE(3,5,$B$2:B136)</f>
        <v>135</v>
      </c>
      <c r="B136" t="s">
        <v>380</v>
      </c>
      <c r="C136" t="s">
        <v>381</v>
      </c>
      <c r="D136" t="s">
        <v>786</v>
      </c>
      <c r="E136" t="s">
        <v>830</v>
      </c>
      <c r="F136" t="s">
        <v>956</v>
      </c>
      <c r="G136" t="s">
        <v>880</v>
      </c>
      <c r="H136">
        <f t="shared" si="497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412"/>
        <v>4046.0000000000005</v>
      </c>
      <c r="L136">
        <f t="shared" si="413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 t="shared" si="389"/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496"/>
        <v>150</v>
      </c>
      <c r="S136">
        <f t="shared" si="405"/>
        <v>34764</v>
      </c>
      <c r="T136">
        <f>_xlfn.XLOOKUP(B136,'[2]april-2025'!$A:$A,'[2]april-2025'!$C:$C,0,0)</f>
        <v>28900</v>
      </c>
      <c r="U136">
        <f t="shared" si="414"/>
        <v>5202</v>
      </c>
      <c r="V136">
        <f t="shared" si="415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406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416"/>
        <v>150</v>
      </c>
      <c r="AC136">
        <f t="shared" si="417"/>
        <v>35920</v>
      </c>
      <c r="AD136">
        <f>_xlfn.XLOOKUP(B136,'[3]may-2025'!$A:$A,'[3]may-2025'!$C:$C,0,0)</f>
        <v>28900</v>
      </c>
      <c r="AE136">
        <f t="shared" si="418"/>
        <v>5202</v>
      </c>
      <c r="AF136">
        <f t="shared" si="419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407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420"/>
        <v>150</v>
      </c>
      <c r="AM136">
        <f t="shared" si="421"/>
        <v>35920</v>
      </c>
      <c r="AN136">
        <f>_xlfn.XLOOKUP(B136,'[4]june-2025'!$A:$A,'[4]june-2025'!$C:$C,0,0)</f>
        <v>28900</v>
      </c>
      <c r="AO136">
        <f t="shared" si="422"/>
        <v>5202</v>
      </c>
      <c r="AP136">
        <f t="shared" si="423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408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424"/>
        <v>150</v>
      </c>
      <c r="AW136">
        <f t="shared" si="425"/>
        <v>35920</v>
      </c>
      <c r="AX136">
        <f>_xlfn.XLOOKUP(B136,'[5]july-2025'!$A:$A,'[5]july-2025'!$C:$C,0,0)</f>
        <v>29800</v>
      </c>
      <c r="AY136">
        <f t="shared" si="426"/>
        <v>5364</v>
      </c>
      <c r="AZ136">
        <v>0</v>
      </c>
      <c r="BA136">
        <f t="shared" si="427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390"/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428"/>
        <v>150</v>
      </c>
      <c r="BH136">
        <f t="shared" si="429"/>
        <v>37090</v>
      </c>
      <c r="BI136">
        <f>_xlfn.XLOOKUP(B136,'[6]august-2025'!$A:$A,'[6]august-2025'!$C:$C,0,0)</f>
        <v>29800</v>
      </c>
      <c r="BJ136">
        <f t="shared" si="430"/>
        <v>5364</v>
      </c>
      <c r="BK136">
        <f t="shared" si="431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432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 t="shared" si="391"/>
        <v>150</v>
      </c>
      <c r="BR136">
        <f t="shared" si="392"/>
        <v>37090</v>
      </c>
      <c r="BS136">
        <f>_xlfn.XLOOKUP(B136,'[7]september-2025'!$A:$A,'[7]september-2025'!$C:$C,0,0)</f>
        <v>29800</v>
      </c>
      <c r="BT136">
        <f t="shared" si="433"/>
        <v>5364</v>
      </c>
      <c r="BU136">
        <f t="shared" si="434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393"/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435"/>
        <v>150</v>
      </c>
      <c r="CB136">
        <f t="shared" si="436"/>
        <v>37090</v>
      </c>
      <c r="CC136">
        <f>_xlfn.XLOOKUP(B136,'[8]october-2025'!$A:$A,'[8]october-2025'!$C:$C,0,0)</f>
        <v>29800</v>
      </c>
      <c r="CD136">
        <f t="shared" si="437"/>
        <v>5364</v>
      </c>
      <c r="CE136">
        <f t="shared" si="438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394"/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439"/>
        <v>150</v>
      </c>
      <c r="CL136">
        <f t="shared" si="440"/>
        <v>37090</v>
      </c>
      <c r="CM136">
        <f>_xlfn.XLOOKUP(B136,'[9]november-2025'!$A:$A,'[9]november-2025'!$C:$C,0,0)</f>
        <v>29800</v>
      </c>
      <c r="CN136">
        <f t="shared" si="441"/>
        <v>5364</v>
      </c>
      <c r="CO136">
        <f t="shared" si="442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395"/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443"/>
        <v>150</v>
      </c>
      <c r="CV136">
        <f t="shared" si="444"/>
        <v>37090</v>
      </c>
      <c r="CW136">
        <f>_xlfn.XLOOKUP(B136,'[10]december-2025'!$A:$A,'[10]december-2025'!$C:$C,0,0)</f>
        <v>29800</v>
      </c>
      <c r="CX136">
        <f t="shared" si="445"/>
        <v>5364</v>
      </c>
      <c r="CY136">
        <f t="shared" si="446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396"/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447"/>
        <v>150</v>
      </c>
      <c r="DF136">
        <f t="shared" si="448"/>
        <v>37090</v>
      </c>
      <c r="DG136">
        <f>_xlfn.XLOOKUP(B136,'[11]january-2026'!$A:$A,'[11]january-2026'!$C:$C,0,0)</f>
        <v>29800</v>
      </c>
      <c r="DH136">
        <f t="shared" si="449"/>
        <v>5364</v>
      </c>
      <c r="DI136">
        <f t="shared" si="450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397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51"/>
        <v>150</v>
      </c>
      <c r="DP136">
        <f t="shared" si="452"/>
        <v>37090</v>
      </c>
      <c r="DQ136">
        <f>_xlfn.XLOOKUP(B136,'[12]february-2026'!$A:$A,'[12]february-2026'!$C:$C,0,0)</f>
        <v>29800</v>
      </c>
      <c r="DR136">
        <f t="shared" si="453"/>
        <v>5364</v>
      </c>
      <c r="DS136">
        <f t="shared" si="454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398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55"/>
        <v>150</v>
      </c>
      <c r="DZ136">
        <f t="shared" si="456"/>
        <v>37090</v>
      </c>
      <c r="EA136">
        <f>_xlfn.XLOOKUP(B136,'[1]march-2025'!$A:$A,'[1]march-2025'!$J:$J,0,0)</f>
        <v>0</v>
      </c>
      <c r="EB136">
        <f>_xlfn.XLOOKUP(B136,'[2]april-2025'!$A:$A,'[2]april-2025'!$J:$J,0,0)</f>
        <v>0</v>
      </c>
      <c r="EC136">
        <f>_xlfn.XLOOKUP(B136,'[3]may-2025'!$A:$A,'[3]may-2025'!$J:$J,0,0)</f>
        <v>61490</v>
      </c>
      <c r="ED136">
        <f>_xlfn.XLOOKUP(B136,'[4]june-2025'!$A:$A,'[4]june-2025'!$J:$J,0,0)</f>
        <v>0</v>
      </c>
      <c r="EE136">
        <f>_xlfn.XLOOKUP(B136,'[5]july-2025'!$A:$A,'[5]july-2025'!$J:$J,0,0)</f>
        <v>0</v>
      </c>
      <c r="EF136">
        <f>_xlfn.XLOOKUP(B136,'[6]august-2025'!$A:$A,'[6]august-2025'!$J:$J,0,0)</f>
        <v>0</v>
      </c>
      <c r="EG136">
        <f>_xlfn.XLOOKUP(B136,'[7]september-2025'!$A:$A,'[7]september-2025'!$J:$J,0,0)</f>
        <v>0</v>
      </c>
      <c r="EH136">
        <f>_xlfn.XLOOKUP(B136,'[8]october-2025'!$A:$A,'[8]october-2025'!$J:$J,0,0)</f>
        <v>0</v>
      </c>
      <c r="EI136">
        <f>_xlfn.XLOOKUP(C136,'[9]november-2025'!$A:$A,'[9]november-2025'!$J:$J,0,0)</f>
        <v>0</v>
      </c>
      <c r="EJ136">
        <f>_xlfn.XLOOKUP(B136,'[10]december-2025'!$A:$A,'[10]december-2025'!$J:$J,0,0)</f>
        <v>0</v>
      </c>
      <c r="EK136">
        <f>_xlfn.XLOOKUP(B136,'[11]january-2026'!$A:$A,'[11]january-2026'!$J:$J,0,0)</f>
        <v>0</v>
      </c>
      <c r="EL136">
        <f>_xlfn.XLOOKUP(B136,'[12]february-2026'!$A:$A,'[12]february-2026'!$J:$J,0,0)</f>
        <v>0</v>
      </c>
      <c r="EM136">
        <f t="shared" si="409"/>
        <v>61490</v>
      </c>
      <c r="EN136">
        <f t="shared" si="399"/>
        <v>471844</v>
      </c>
      <c r="EO136">
        <f t="shared" si="400"/>
        <v>1800</v>
      </c>
      <c r="EP136">
        <f t="shared" si="457"/>
        <v>50000</v>
      </c>
      <c r="EQ136">
        <v>0</v>
      </c>
      <c r="ER136">
        <f t="shared" si="410"/>
        <v>481534</v>
      </c>
      <c r="ES136">
        <f t="shared" si="401"/>
        <v>24000</v>
      </c>
      <c r="ET136">
        <f t="shared" si="402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458"/>
        <v>24000</v>
      </c>
      <c r="FF136">
        <f t="shared" si="459"/>
        <v>24000</v>
      </c>
      <c r="FG136">
        <f t="shared" si="460"/>
        <v>457534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403"/>
        <v>0</v>
      </c>
      <c r="FP136">
        <f t="shared" si="461"/>
        <v>457534</v>
      </c>
      <c r="FQ136">
        <f t="shared" si="462"/>
        <v>10377</v>
      </c>
      <c r="FR136">
        <f t="shared" si="463"/>
        <v>0</v>
      </c>
      <c r="FS136">
        <f t="shared" si="464"/>
        <v>10377</v>
      </c>
      <c r="FT136">
        <f t="shared" si="465"/>
        <v>0</v>
      </c>
      <c r="FU136">
        <f t="shared" si="466"/>
        <v>0</v>
      </c>
      <c r="FV136">
        <f t="shared" si="467"/>
        <v>0</v>
      </c>
      <c r="FW136">
        <v>0</v>
      </c>
      <c r="FX136">
        <f t="shared" si="468"/>
        <v>0</v>
      </c>
      <c r="FY136" t="b">
        <f t="shared" si="469"/>
        <v>0</v>
      </c>
      <c r="FZ136">
        <f t="shared" ca="1" si="470"/>
        <v>2204</v>
      </c>
      <c r="GA136">
        <f t="shared" ca="1" si="471"/>
        <v>474048</v>
      </c>
      <c r="GB136">
        <f t="shared" si="472"/>
        <v>75000</v>
      </c>
      <c r="GC136">
        <f t="shared" ca="1" si="473"/>
        <v>399048</v>
      </c>
      <c r="GD136">
        <f t="shared" ca="1" si="474"/>
        <v>0</v>
      </c>
      <c r="GE136">
        <f t="shared" ca="1" si="475"/>
        <v>0</v>
      </c>
      <c r="GF136">
        <f t="shared" ca="1" si="476"/>
        <v>0</v>
      </c>
      <c r="GG136">
        <f t="shared" ca="1" si="477"/>
        <v>0</v>
      </c>
      <c r="GH136">
        <f t="shared" ca="1" si="478"/>
        <v>0</v>
      </c>
      <c r="GI136">
        <f t="shared" ca="1" si="479"/>
        <v>0</v>
      </c>
      <c r="GJ136">
        <f t="shared" ca="1" si="404"/>
        <v>0</v>
      </c>
      <c r="GK136">
        <f t="shared" ca="1" si="480"/>
        <v>0</v>
      </c>
      <c r="GL136">
        <f t="shared" ca="1" si="481"/>
        <v>0</v>
      </c>
      <c r="GM136">
        <f t="shared" ca="1" si="482"/>
        <v>0</v>
      </c>
      <c r="GN136">
        <f t="shared" ca="1" si="483"/>
        <v>0</v>
      </c>
      <c r="GO136">
        <f t="shared" ca="1" si="484"/>
        <v>0</v>
      </c>
      <c r="GP136">
        <f t="shared" ca="1" si="485"/>
        <v>0</v>
      </c>
      <c r="GQ136">
        <f t="shared" ca="1" si="486"/>
        <v>0</v>
      </c>
      <c r="GR136">
        <f t="shared" ca="1" si="487"/>
        <v>0</v>
      </c>
      <c r="GS136">
        <f t="shared" ca="1" si="488"/>
        <v>0</v>
      </c>
      <c r="GT136">
        <f t="shared" ca="1" si="489"/>
        <v>0</v>
      </c>
      <c r="GU136" t="b">
        <f t="shared" ca="1" si="490"/>
        <v>0</v>
      </c>
      <c r="GV136">
        <f t="shared" ca="1" si="491"/>
        <v>0</v>
      </c>
      <c r="GW136">
        <f t="shared" ca="1" si="492"/>
        <v>0</v>
      </c>
      <c r="GX136">
        <f t="shared" ca="1" si="493"/>
        <v>0</v>
      </c>
      <c r="GY136">
        <f t="shared" ca="1" si="494"/>
        <v>0</v>
      </c>
      <c r="GZ136">
        <f t="shared" ca="1" si="495"/>
        <v>0</v>
      </c>
    </row>
    <row r="137" spans="1:208" x14ac:dyDescent="0.3">
      <c r="A137">
        <f>_xlfn.AGGREGATE(3,5,$B$2:B137)</f>
        <v>136</v>
      </c>
      <c r="B137" t="s">
        <v>864</v>
      </c>
      <c r="C137" t="s">
        <v>865</v>
      </c>
      <c r="D137" t="s">
        <v>786</v>
      </c>
      <c r="E137" t="s">
        <v>830</v>
      </c>
      <c r="F137" t="s">
        <v>958</v>
      </c>
      <c r="G137" t="s">
        <v>926</v>
      </c>
      <c r="H137">
        <f t="shared" si="497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412"/>
        <v>0</v>
      </c>
      <c r="L137">
        <f t="shared" si="413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 t="shared" si="389"/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496"/>
        <v>0</v>
      </c>
      <c r="S137">
        <f t="shared" si="405"/>
        <v>0</v>
      </c>
      <c r="T137">
        <f>_xlfn.XLOOKUP(B137,'[2]april-2025'!$A:$A,'[2]april-2025'!$C:$C,0,0)</f>
        <v>0</v>
      </c>
      <c r="U137">
        <f t="shared" si="414"/>
        <v>0</v>
      </c>
      <c r="V137">
        <f t="shared" si="415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406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416"/>
        <v>0</v>
      </c>
      <c r="AC137">
        <f t="shared" si="417"/>
        <v>0</v>
      </c>
      <c r="AD137">
        <f>_xlfn.XLOOKUP(B137,'[3]may-2025'!$A:$A,'[3]may-2025'!$C:$C,0,0)</f>
        <v>24700</v>
      </c>
      <c r="AE137">
        <f t="shared" si="418"/>
        <v>4446</v>
      </c>
      <c r="AF137">
        <f t="shared" si="419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407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420"/>
        <v>150</v>
      </c>
      <c r="AM137">
        <f t="shared" si="421"/>
        <v>32460</v>
      </c>
      <c r="AN137">
        <f>_xlfn.XLOOKUP(B137,'[4]june-2025'!$A:$A,'[4]june-2025'!$C:$C,0,0)</f>
        <v>24700</v>
      </c>
      <c r="AO137">
        <f t="shared" si="422"/>
        <v>4446</v>
      </c>
      <c r="AP137">
        <f t="shared" si="423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408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424"/>
        <v>150</v>
      </c>
      <c r="AW137">
        <f t="shared" si="425"/>
        <v>32460</v>
      </c>
      <c r="AX137">
        <f>_xlfn.XLOOKUP(B137,'[5]july-2025'!$A:$A,'[5]july-2025'!$C:$C,0,0)</f>
        <v>24700</v>
      </c>
      <c r="AY137">
        <f t="shared" si="426"/>
        <v>4446</v>
      </c>
      <c r="AZ137">
        <v>0</v>
      </c>
      <c r="BA137">
        <f t="shared" si="427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390"/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428"/>
        <v>150</v>
      </c>
      <c r="BH137">
        <f t="shared" si="429"/>
        <v>32460</v>
      </c>
      <c r="BI137">
        <f>_xlfn.XLOOKUP(B137,'[6]august-2025'!$A:$A,'[6]august-2025'!$C:$C,0,0)</f>
        <v>24700</v>
      </c>
      <c r="BJ137">
        <f t="shared" si="430"/>
        <v>4446</v>
      </c>
      <c r="BK137">
        <f t="shared" si="431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432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 t="shared" si="391"/>
        <v>150</v>
      </c>
      <c r="BR137">
        <f t="shared" si="392"/>
        <v>32460</v>
      </c>
      <c r="BS137">
        <f>_xlfn.XLOOKUP(B137,'[7]september-2025'!$A:$A,'[7]september-2025'!$C:$C,0,0)</f>
        <v>24700</v>
      </c>
      <c r="BT137">
        <f t="shared" si="433"/>
        <v>4446</v>
      </c>
      <c r="BU137">
        <f t="shared" si="434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393"/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435"/>
        <v>150</v>
      </c>
      <c r="CB137">
        <f t="shared" si="436"/>
        <v>32460</v>
      </c>
      <c r="CC137">
        <f>_xlfn.XLOOKUP(B137,'[8]october-2025'!$A:$A,'[8]october-2025'!$C:$C,0,0)</f>
        <v>24700</v>
      </c>
      <c r="CD137">
        <f t="shared" si="437"/>
        <v>4446</v>
      </c>
      <c r="CE137">
        <f t="shared" si="438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394"/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439"/>
        <v>150</v>
      </c>
      <c r="CL137">
        <f t="shared" si="440"/>
        <v>32460</v>
      </c>
      <c r="CM137">
        <f>_xlfn.XLOOKUP(B137,'[9]november-2025'!$A:$A,'[9]november-2025'!$C:$C,0,0)</f>
        <v>24700</v>
      </c>
      <c r="CN137">
        <f t="shared" si="441"/>
        <v>4446</v>
      </c>
      <c r="CO137">
        <f t="shared" si="442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395"/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443"/>
        <v>150</v>
      </c>
      <c r="CV137">
        <f t="shared" si="444"/>
        <v>32460</v>
      </c>
      <c r="CW137">
        <f>_xlfn.XLOOKUP(B137,'[10]december-2025'!$A:$A,'[10]december-2025'!$C:$C,0,0)</f>
        <v>24700</v>
      </c>
      <c r="CX137">
        <f t="shared" si="445"/>
        <v>4446</v>
      </c>
      <c r="CY137">
        <f t="shared" si="446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396"/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447"/>
        <v>150</v>
      </c>
      <c r="DF137">
        <f t="shared" si="448"/>
        <v>32460</v>
      </c>
      <c r="DG137">
        <f>_xlfn.XLOOKUP(B137,'[11]january-2026'!$A:$A,'[11]january-2026'!$C:$C,0,0)</f>
        <v>24700</v>
      </c>
      <c r="DH137">
        <f t="shared" si="449"/>
        <v>4446</v>
      </c>
      <c r="DI137">
        <f t="shared" si="450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397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51"/>
        <v>150</v>
      </c>
      <c r="DP137">
        <f t="shared" si="452"/>
        <v>30460</v>
      </c>
      <c r="DQ137">
        <f>_xlfn.XLOOKUP(B137,'[12]february-2026'!$A:$A,'[12]february-2026'!$C:$C,0,0)</f>
        <v>24700</v>
      </c>
      <c r="DR137">
        <f t="shared" si="453"/>
        <v>4446</v>
      </c>
      <c r="DS137">
        <f t="shared" si="454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398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55"/>
        <v>150</v>
      </c>
      <c r="DZ137">
        <f t="shared" si="456"/>
        <v>30460</v>
      </c>
      <c r="EA137">
        <f>_xlfn.XLOOKUP(B137,'[1]march-2025'!$A:$A,'[1]march-2025'!$J:$J,0,0)</f>
        <v>0</v>
      </c>
      <c r="EB137">
        <f>_xlfn.XLOOKUP(B137,'[2]april-2025'!$A:$A,'[2]april-2025'!$J:$J,0,0)</f>
        <v>0</v>
      </c>
      <c r="EC137">
        <f>_xlfn.XLOOKUP(B137,'[3]may-2025'!$A:$A,'[3]may-2025'!$J:$J,0,0)</f>
        <v>0</v>
      </c>
      <c r="ED137">
        <f>_xlfn.XLOOKUP(B137,'[4]june-2025'!$A:$A,'[4]june-2025'!$J:$J,0,0)</f>
        <v>0</v>
      </c>
      <c r="EE137">
        <f>_xlfn.XLOOKUP(B137,'[5]july-2025'!$A:$A,'[5]july-2025'!$J:$J,0,0)</f>
        <v>0</v>
      </c>
      <c r="EF137">
        <f>_xlfn.XLOOKUP(B137,'[6]august-2025'!$A:$A,'[6]august-2025'!$J:$J,0,0)</f>
        <v>0</v>
      </c>
      <c r="EG137">
        <f>_xlfn.XLOOKUP(B137,'[7]september-2025'!$A:$A,'[7]september-2025'!$J:$J,0,0)</f>
        <v>0</v>
      </c>
      <c r="EH137">
        <f>_xlfn.XLOOKUP(B137,'[8]october-2025'!$A:$A,'[8]october-2025'!$J:$J,0,0)</f>
        <v>0</v>
      </c>
      <c r="EI137">
        <f>_xlfn.XLOOKUP(C137,'[9]november-2025'!$A:$A,'[9]november-2025'!$J:$J,0,0)</f>
        <v>0</v>
      </c>
      <c r="EJ137">
        <f>_xlfn.XLOOKUP(B137,'[10]december-2025'!$A:$A,'[10]december-2025'!$J:$J,0,0)</f>
        <v>0</v>
      </c>
      <c r="EK137">
        <f>_xlfn.XLOOKUP(B137,'[11]january-2026'!$A:$A,'[11]january-2026'!$J:$J,0,0)</f>
        <v>0</v>
      </c>
      <c r="EL137">
        <f>_xlfn.XLOOKUP(B137,'[12]february-2026'!$A:$A,'[12]february-2026'!$J:$J,0,0)</f>
        <v>0</v>
      </c>
      <c r="EM137">
        <f t="shared" si="409"/>
        <v>0</v>
      </c>
      <c r="EN137">
        <f t="shared" si="399"/>
        <v>326100</v>
      </c>
      <c r="EO137">
        <f t="shared" si="400"/>
        <v>1500</v>
      </c>
      <c r="EP137">
        <f t="shared" si="457"/>
        <v>50000</v>
      </c>
      <c r="EQ137">
        <v>0</v>
      </c>
      <c r="ER137">
        <f t="shared" si="410"/>
        <v>274600</v>
      </c>
      <c r="ES137">
        <f t="shared" si="401"/>
        <v>4000</v>
      </c>
      <c r="ET137">
        <f t="shared" si="402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458"/>
        <v>4000</v>
      </c>
      <c r="FF137">
        <f t="shared" si="459"/>
        <v>4000</v>
      </c>
      <c r="FG137">
        <f t="shared" si="460"/>
        <v>270600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403"/>
        <v>0</v>
      </c>
      <c r="FP137">
        <f t="shared" si="461"/>
        <v>270600</v>
      </c>
      <c r="FQ137">
        <f t="shared" si="462"/>
        <v>1030</v>
      </c>
      <c r="FR137">
        <f t="shared" si="463"/>
        <v>0</v>
      </c>
      <c r="FS137">
        <f t="shared" si="464"/>
        <v>1030</v>
      </c>
      <c r="FT137">
        <f t="shared" si="465"/>
        <v>0</v>
      </c>
      <c r="FU137">
        <f t="shared" si="466"/>
        <v>0</v>
      </c>
      <c r="FV137">
        <f t="shared" si="467"/>
        <v>0</v>
      </c>
      <c r="FW137">
        <v>0</v>
      </c>
      <c r="FX137">
        <f t="shared" si="468"/>
        <v>0</v>
      </c>
      <c r="FY137" t="b">
        <f t="shared" si="469"/>
        <v>0</v>
      </c>
      <c r="FZ137">
        <f t="shared" ca="1" si="470"/>
        <v>2269</v>
      </c>
      <c r="GA137">
        <f t="shared" ca="1" si="471"/>
        <v>328369</v>
      </c>
      <c r="GB137">
        <f t="shared" si="472"/>
        <v>75000</v>
      </c>
      <c r="GC137">
        <f t="shared" ca="1" si="473"/>
        <v>253369</v>
      </c>
      <c r="GD137">
        <f t="shared" ca="1" si="474"/>
        <v>0</v>
      </c>
      <c r="GE137">
        <f t="shared" ca="1" si="475"/>
        <v>0</v>
      </c>
      <c r="GF137">
        <f t="shared" ca="1" si="476"/>
        <v>0</v>
      </c>
      <c r="GG137">
        <f t="shared" ca="1" si="477"/>
        <v>0</v>
      </c>
      <c r="GH137">
        <f t="shared" ca="1" si="478"/>
        <v>0</v>
      </c>
      <c r="GI137">
        <f t="shared" ca="1" si="479"/>
        <v>0</v>
      </c>
      <c r="GJ137">
        <f t="shared" ca="1" si="404"/>
        <v>0</v>
      </c>
      <c r="GK137">
        <f t="shared" ca="1" si="480"/>
        <v>0</v>
      </c>
      <c r="GL137">
        <f t="shared" ca="1" si="481"/>
        <v>0</v>
      </c>
      <c r="GM137">
        <f t="shared" ca="1" si="482"/>
        <v>0</v>
      </c>
      <c r="GN137">
        <f t="shared" ca="1" si="483"/>
        <v>0</v>
      </c>
      <c r="GO137">
        <f t="shared" ca="1" si="484"/>
        <v>0</v>
      </c>
      <c r="GP137">
        <f t="shared" ca="1" si="485"/>
        <v>0</v>
      </c>
      <c r="GQ137">
        <f t="shared" ca="1" si="486"/>
        <v>0</v>
      </c>
      <c r="GR137">
        <f t="shared" ca="1" si="487"/>
        <v>0</v>
      </c>
      <c r="GS137">
        <f t="shared" ca="1" si="488"/>
        <v>0</v>
      </c>
      <c r="GT137">
        <f t="shared" ca="1" si="489"/>
        <v>0</v>
      </c>
      <c r="GU137" t="b">
        <f t="shared" ca="1" si="490"/>
        <v>0</v>
      </c>
      <c r="GV137">
        <f t="shared" ca="1" si="491"/>
        <v>0</v>
      </c>
      <c r="GW137">
        <f t="shared" ca="1" si="492"/>
        <v>0</v>
      </c>
      <c r="GX137">
        <f t="shared" ca="1" si="493"/>
        <v>0</v>
      </c>
      <c r="GY137">
        <f t="shared" ca="1" si="494"/>
        <v>0</v>
      </c>
      <c r="GZ137">
        <f t="shared" ca="1" si="495"/>
        <v>0</v>
      </c>
    </row>
    <row r="138" spans="1:208" x14ac:dyDescent="0.3">
      <c r="A138">
        <f>_xlfn.AGGREGATE(3,5,$B$2:B138)</f>
        <v>137</v>
      </c>
      <c r="B138" t="s">
        <v>382</v>
      </c>
      <c r="C138" t="s">
        <v>383</v>
      </c>
      <c r="D138" t="s">
        <v>787</v>
      </c>
      <c r="E138" t="s">
        <v>830</v>
      </c>
      <c r="F138" t="s">
        <v>957</v>
      </c>
      <c r="G138" t="s">
        <v>879</v>
      </c>
      <c r="H138">
        <f t="shared" si="497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412"/>
        <v>6622.0000000000009</v>
      </c>
      <c r="L138">
        <f t="shared" si="413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 t="shared" si="389"/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496"/>
        <v>0</v>
      </c>
      <c r="S138">
        <f t="shared" si="405"/>
        <v>55438</v>
      </c>
      <c r="T138">
        <f>_xlfn.XLOOKUP(B138,'[2]april-2025'!$A:$A,'[2]april-2025'!$C:$C,0,0)</f>
        <v>47300</v>
      </c>
      <c r="U138">
        <f t="shared" si="414"/>
        <v>8514</v>
      </c>
      <c r="V138">
        <f t="shared" si="415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406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416"/>
        <v>0</v>
      </c>
      <c r="AC138">
        <f t="shared" si="417"/>
        <v>57330</v>
      </c>
      <c r="AD138">
        <f>_xlfn.XLOOKUP(B138,'[3]may-2025'!$A:$A,'[3]may-2025'!$C:$C,0,0)</f>
        <v>47300</v>
      </c>
      <c r="AE138">
        <f t="shared" si="418"/>
        <v>8514</v>
      </c>
      <c r="AF138">
        <f t="shared" si="419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407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420"/>
        <v>0</v>
      </c>
      <c r="AM138">
        <f t="shared" si="421"/>
        <v>57330</v>
      </c>
      <c r="AN138">
        <f>_xlfn.XLOOKUP(B138,'[4]june-2025'!$A:$A,'[4]june-2025'!$C:$C,0,0)</f>
        <v>47300</v>
      </c>
      <c r="AO138">
        <f t="shared" si="422"/>
        <v>8514</v>
      </c>
      <c r="AP138">
        <f t="shared" si="423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408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424"/>
        <v>0</v>
      </c>
      <c r="AW138">
        <f t="shared" si="425"/>
        <v>57330</v>
      </c>
      <c r="AX138">
        <f>_xlfn.XLOOKUP(B138,'[5]july-2025'!$A:$A,'[5]july-2025'!$C:$C,0,0)</f>
        <v>48700</v>
      </c>
      <c r="AY138">
        <f t="shared" si="426"/>
        <v>8766</v>
      </c>
      <c r="AZ138">
        <v>0</v>
      </c>
      <c r="BA138">
        <f t="shared" si="427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 t="shared" si="390"/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428"/>
        <v>0</v>
      </c>
      <c r="BH138">
        <f t="shared" si="429"/>
        <v>59150</v>
      </c>
      <c r="BI138">
        <f>_xlfn.XLOOKUP(B138,'[6]august-2025'!$A:$A,'[6]august-2025'!$C:$C,0,0)</f>
        <v>48700</v>
      </c>
      <c r="BJ138">
        <f t="shared" si="430"/>
        <v>8766</v>
      </c>
      <c r="BK138">
        <f t="shared" si="431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432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 t="shared" si="391"/>
        <v>0</v>
      </c>
      <c r="BR138">
        <f t="shared" si="392"/>
        <v>59150</v>
      </c>
      <c r="BS138">
        <f>_xlfn.XLOOKUP(B138,'[7]september-2025'!$A:$A,'[7]september-2025'!$C:$C,0,0)</f>
        <v>48700</v>
      </c>
      <c r="BT138">
        <f t="shared" si="433"/>
        <v>8766</v>
      </c>
      <c r="BU138">
        <f t="shared" si="434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 t="shared" si="393"/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435"/>
        <v>0</v>
      </c>
      <c r="CB138">
        <f t="shared" si="436"/>
        <v>59150</v>
      </c>
      <c r="CC138">
        <f>_xlfn.XLOOKUP(B138,'[8]october-2025'!$A:$A,'[8]october-2025'!$C:$C,0,0)</f>
        <v>48700</v>
      </c>
      <c r="CD138">
        <f t="shared" si="437"/>
        <v>8766</v>
      </c>
      <c r="CE138">
        <f t="shared" si="438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 t="shared" si="394"/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439"/>
        <v>0</v>
      </c>
      <c r="CL138">
        <f t="shared" si="440"/>
        <v>59150</v>
      </c>
      <c r="CM138">
        <f>_xlfn.XLOOKUP(B138,'[9]november-2025'!$A:$A,'[9]november-2025'!$C:$C,0,0)</f>
        <v>48700</v>
      </c>
      <c r="CN138">
        <f t="shared" si="441"/>
        <v>8766</v>
      </c>
      <c r="CO138">
        <f t="shared" si="442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 t="shared" si="395"/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443"/>
        <v>0</v>
      </c>
      <c r="CV138">
        <f t="shared" si="444"/>
        <v>59150</v>
      </c>
      <c r="CW138">
        <f>_xlfn.XLOOKUP(B138,'[10]december-2025'!$A:$A,'[10]december-2025'!$C:$C,0,0)</f>
        <v>48700</v>
      </c>
      <c r="CX138">
        <f t="shared" si="445"/>
        <v>8766</v>
      </c>
      <c r="CY138">
        <f t="shared" si="446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 t="shared" si="396"/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447"/>
        <v>0</v>
      </c>
      <c r="DF138">
        <f t="shared" si="448"/>
        <v>59150</v>
      </c>
      <c r="DG138">
        <f>_xlfn.XLOOKUP(B138,'[11]january-2026'!$A:$A,'[11]january-2026'!$C:$C,0,0)</f>
        <v>48700</v>
      </c>
      <c r="DH138">
        <f t="shared" si="449"/>
        <v>8766</v>
      </c>
      <c r="DI138">
        <f t="shared" si="450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397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51"/>
        <v>0</v>
      </c>
      <c r="DP138">
        <f t="shared" si="452"/>
        <v>59150</v>
      </c>
      <c r="DQ138">
        <f>_xlfn.XLOOKUP(B138,'[12]february-2026'!$A:$A,'[12]february-2026'!$C:$C,0,0)</f>
        <v>48700</v>
      </c>
      <c r="DR138">
        <f t="shared" si="453"/>
        <v>8766</v>
      </c>
      <c r="DS138">
        <f t="shared" si="454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398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55"/>
        <v>0</v>
      </c>
      <c r="DZ138">
        <f t="shared" si="456"/>
        <v>59150</v>
      </c>
      <c r="EA138">
        <f>_xlfn.XLOOKUP(B138,'[1]march-2025'!$A:$A,'[1]march-2025'!$J:$J,0,0)</f>
        <v>0</v>
      </c>
      <c r="EB138">
        <f>_xlfn.XLOOKUP(B138,'[2]april-2025'!$A:$A,'[2]april-2025'!$J:$J,0,0)</f>
        <v>0</v>
      </c>
      <c r="EC138">
        <f>_xlfn.XLOOKUP(B138,'[3]may-2025'!$A:$A,'[3]may-2025'!$J:$J,0,0)</f>
        <v>0</v>
      </c>
      <c r="ED138">
        <f>_xlfn.XLOOKUP(B138,'[4]june-2025'!$A:$A,'[4]june-2025'!$J:$J,0,0)</f>
        <v>0</v>
      </c>
      <c r="EE138">
        <f>_xlfn.XLOOKUP(B138,'[5]july-2025'!$A:$A,'[5]july-2025'!$J:$J,0,0)</f>
        <v>0</v>
      </c>
      <c r="EF138">
        <f>_xlfn.XLOOKUP(B138,'[6]august-2025'!$A:$A,'[6]august-2025'!$J:$J,0,0)</f>
        <v>0</v>
      </c>
      <c r="EG138">
        <f>_xlfn.XLOOKUP(B138,'[7]september-2025'!$A:$A,'[7]september-2025'!$J:$J,0,0)</f>
        <v>0</v>
      </c>
      <c r="EH138">
        <f>_xlfn.XLOOKUP(B138,'[8]october-2025'!$A:$A,'[8]october-2025'!$J:$J,0,0)</f>
        <v>0</v>
      </c>
      <c r="EI138">
        <f>_xlfn.XLOOKUP(C138,'[9]november-2025'!$A:$A,'[9]november-2025'!$J:$J,0,0)</f>
        <v>0</v>
      </c>
      <c r="EJ138">
        <f>_xlfn.XLOOKUP(B138,'[10]december-2025'!$A:$A,'[10]december-2025'!$J:$J,0,0)</f>
        <v>0</v>
      </c>
      <c r="EK138">
        <f>_xlfn.XLOOKUP(B138,'[11]january-2026'!$A:$A,'[11]january-2026'!$J:$J,0,0)</f>
        <v>0</v>
      </c>
      <c r="EL138">
        <f>_xlfn.XLOOKUP(B138,'[12]february-2026'!$A:$A,'[12]february-2026'!$J:$J,0,0)</f>
        <v>0</v>
      </c>
      <c r="EM138">
        <f t="shared" si="409"/>
        <v>0</v>
      </c>
      <c r="EN138">
        <f t="shared" si="399"/>
        <v>768148</v>
      </c>
      <c r="EO138">
        <f t="shared" si="400"/>
        <v>0</v>
      </c>
      <c r="EP138">
        <f t="shared" si="457"/>
        <v>50000</v>
      </c>
      <c r="EQ138">
        <v>0</v>
      </c>
      <c r="ER138">
        <f t="shared" si="410"/>
        <v>718148</v>
      </c>
      <c r="ES138">
        <f t="shared" si="401"/>
        <v>60000</v>
      </c>
      <c r="ET138">
        <f t="shared" si="402"/>
        <v>720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458"/>
        <v>60720</v>
      </c>
      <c r="FF138">
        <f t="shared" si="459"/>
        <v>60720</v>
      </c>
      <c r="FG138">
        <f t="shared" si="460"/>
        <v>657428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403"/>
        <v>50000</v>
      </c>
      <c r="FP138">
        <f t="shared" si="461"/>
        <v>607428</v>
      </c>
      <c r="FQ138">
        <f t="shared" si="462"/>
        <v>12500</v>
      </c>
      <c r="FR138">
        <f t="shared" si="463"/>
        <v>21486</v>
      </c>
      <c r="FS138">
        <f t="shared" si="464"/>
        <v>33986</v>
      </c>
      <c r="FT138">
        <f t="shared" si="465"/>
        <v>33986</v>
      </c>
      <c r="FU138">
        <f t="shared" si="466"/>
        <v>1359.44</v>
      </c>
      <c r="FV138">
        <f t="shared" si="467"/>
        <v>35345</v>
      </c>
      <c r="FW138">
        <v>0</v>
      </c>
      <c r="FX138">
        <f t="shared" si="468"/>
        <v>35345</v>
      </c>
      <c r="FY138" t="b">
        <f t="shared" si="469"/>
        <v>1</v>
      </c>
      <c r="FZ138">
        <f t="shared" ca="1" si="470"/>
        <v>805</v>
      </c>
      <c r="GA138">
        <f t="shared" ca="1" si="471"/>
        <v>768953</v>
      </c>
      <c r="GB138">
        <f t="shared" si="472"/>
        <v>75000</v>
      </c>
      <c r="GC138">
        <f t="shared" ca="1" si="473"/>
        <v>693953</v>
      </c>
      <c r="GD138">
        <f t="shared" ca="1" si="474"/>
        <v>0</v>
      </c>
      <c r="GE138">
        <f t="shared" ca="1" si="475"/>
        <v>0</v>
      </c>
      <c r="GF138">
        <f t="shared" ca="1" si="476"/>
        <v>0</v>
      </c>
      <c r="GG138">
        <f t="shared" ca="1" si="477"/>
        <v>0</v>
      </c>
      <c r="GH138">
        <f t="shared" ca="1" si="478"/>
        <v>0</v>
      </c>
      <c r="GI138">
        <f t="shared" ca="1" si="479"/>
        <v>0</v>
      </c>
      <c r="GJ138">
        <f t="shared" ca="1" si="404"/>
        <v>0</v>
      </c>
      <c r="GK138">
        <f t="shared" ca="1" si="480"/>
        <v>0</v>
      </c>
      <c r="GL138">
        <f t="shared" ca="1" si="481"/>
        <v>0</v>
      </c>
      <c r="GM138">
        <f t="shared" ca="1" si="482"/>
        <v>0</v>
      </c>
      <c r="GN138">
        <f t="shared" ca="1" si="483"/>
        <v>293953</v>
      </c>
      <c r="GO138">
        <f t="shared" ca="1" si="484"/>
        <v>14697.650000000001</v>
      </c>
      <c r="GP138">
        <f t="shared" ca="1" si="485"/>
        <v>14698</v>
      </c>
      <c r="GQ138">
        <f t="shared" ca="1" si="486"/>
        <v>0</v>
      </c>
      <c r="GR138">
        <f t="shared" ca="1" si="487"/>
        <v>0</v>
      </c>
      <c r="GS138">
        <f t="shared" ca="1" si="488"/>
        <v>14698</v>
      </c>
      <c r="GT138">
        <f t="shared" ca="1" si="489"/>
        <v>0</v>
      </c>
      <c r="GU138" t="b">
        <f t="shared" ca="1" si="490"/>
        <v>0</v>
      </c>
      <c r="GV138">
        <f t="shared" ca="1" si="491"/>
        <v>0</v>
      </c>
      <c r="GW138">
        <f t="shared" ca="1" si="492"/>
        <v>14698</v>
      </c>
      <c r="GX138">
        <f t="shared" ca="1" si="493"/>
        <v>0</v>
      </c>
      <c r="GY138">
        <f t="shared" ca="1" si="494"/>
        <v>0</v>
      </c>
      <c r="GZ138">
        <f t="shared" ca="1" si="495"/>
        <v>0</v>
      </c>
    </row>
    <row r="139" spans="1:208" x14ac:dyDescent="0.3">
      <c r="A139">
        <f>_xlfn.AGGREGATE(3,5,$B$2:B139)</f>
        <v>138</v>
      </c>
      <c r="B139" t="s">
        <v>384</v>
      </c>
      <c r="C139" t="s">
        <v>385</v>
      </c>
      <c r="D139" t="s">
        <v>787</v>
      </c>
      <c r="E139" t="s">
        <v>830</v>
      </c>
      <c r="F139" t="s">
        <v>956</v>
      </c>
      <c r="G139" t="s">
        <v>877</v>
      </c>
      <c r="H139">
        <f t="shared" si="497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412"/>
        <v>4830.0000000000009</v>
      </c>
      <c r="L139">
        <f t="shared" si="413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389"/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496"/>
        <v>200</v>
      </c>
      <c r="S139">
        <f t="shared" si="405"/>
        <v>40770</v>
      </c>
      <c r="T139">
        <f>_xlfn.XLOOKUP(B139,'[2]april-2025'!$A:$A,'[2]april-2025'!$C:$C,0,0)</f>
        <v>34500</v>
      </c>
      <c r="U139">
        <f t="shared" si="414"/>
        <v>6210</v>
      </c>
      <c r="V139">
        <f t="shared" si="415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406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416"/>
        <v>200</v>
      </c>
      <c r="AC139">
        <f t="shared" si="417"/>
        <v>42150</v>
      </c>
      <c r="AD139">
        <f>_xlfn.XLOOKUP(B139,'[3]may-2025'!$A:$A,'[3]may-2025'!$C:$C,0,0)</f>
        <v>34500</v>
      </c>
      <c r="AE139">
        <f t="shared" si="418"/>
        <v>6210</v>
      </c>
      <c r="AF139">
        <f t="shared" si="419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407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420"/>
        <v>200</v>
      </c>
      <c r="AM139">
        <f t="shared" si="421"/>
        <v>42150</v>
      </c>
      <c r="AN139">
        <f>_xlfn.XLOOKUP(B139,'[4]june-2025'!$A:$A,'[4]june-2025'!$C:$C,0,0)</f>
        <v>34500</v>
      </c>
      <c r="AO139">
        <f t="shared" si="422"/>
        <v>6210</v>
      </c>
      <c r="AP139">
        <f t="shared" si="423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408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424"/>
        <v>200</v>
      </c>
      <c r="AW139">
        <f t="shared" si="425"/>
        <v>42150</v>
      </c>
      <c r="AX139">
        <f>_xlfn.XLOOKUP(B139,'[5]july-2025'!$A:$A,'[5]july-2025'!$C:$C,0,0)</f>
        <v>35500</v>
      </c>
      <c r="AY139">
        <f t="shared" si="426"/>
        <v>6390</v>
      </c>
      <c r="AZ139">
        <v>0</v>
      </c>
      <c r="BA139">
        <f t="shared" si="427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390"/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428"/>
        <v>200</v>
      </c>
      <c r="BH139">
        <f t="shared" si="429"/>
        <v>43450</v>
      </c>
      <c r="BI139">
        <f>_xlfn.XLOOKUP(B139,'[6]august-2025'!$A:$A,'[6]august-2025'!$C:$C,0,0)</f>
        <v>35500</v>
      </c>
      <c r="BJ139">
        <f t="shared" si="430"/>
        <v>6390</v>
      </c>
      <c r="BK139">
        <f t="shared" si="431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432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391"/>
        <v>200</v>
      </c>
      <c r="BR139">
        <f t="shared" si="392"/>
        <v>43450</v>
      </c>
      <c r="BS139">
        <f>_xlfn.XLOOKUP(B139,'[7]september-2025'!$A:$A,'[7]september-2025'!$C:$C,0,0)</f>
        <v>35500</v>
      </c>
      <c r="BT139">
        <f t="shared" si="433"/>
        <v>6390</v>
      </c>
      <c r="BU139">
        <f t="shared" si="434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393"/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435"/>
        <v>200</v>
      </c>
      <c r="CB139">
        <f t="shared" si="436"/>
        <v>43450</v>
      </c>
      <c r="CC139">
        <f>_xlfn.XLOOKUP(B139,'[8]october-2025'!$A:$A,'[8]october-2025'!$C:$C,0,0)</f>
        <v>35500</v>
      </c>
      <c r="CD139">
        <f t="shared" si="437"/>
        <v>6390</v>
      </c>
      <c r="CE139">
        <f t="shared" si="438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394"/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439"/>
        <v>200</v>
      </c>
      <c r="CL139">
        <f t="shared" si="440"/>
        <v>43450</v>
      </c>
      <c r="CM139">
        <f>_xlfn.XLOOKUP(B139,'[9]november-2025'!$A:$A,'[9]november-2025'!$C:$C,0,0)</f>
        <v>35500</v>
      </c>
      <c r="CN139">
        <f t="shared" si="441"/>
        <v>6390</v>
      </c>
      <c r="CO139">
        <f t="shared" si="442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395"/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443"/>
        <v>200</v>
      </c>
      <c r="CV139">
        <f t="shared" si="444"/>
        <v>43450</v>
      </c>
      <c r="CW139">
        <f>_xlfn.XLOOKUP(B139,'[10]december-2025'!$A:$A,'[10]december-2025'!$C:$C,0,0)</f>
        <v>35500</v>
      </c>
      <c r="CX139">
        <f t="shared" si="445"/>
        <v>6390</v>
      </c>
      <c r="CY139">
        <f t="shared" si="446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396"/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447"/>
        <v>200</v>
      </c>
      <c r="DF139">
        <f t="shared" si="448"/>
        <v>43450</v>
      </c>
      <c r="DG139">
        <f>_xlfn.XLOOKUP(B139,'[11]january-2026'!$A:$A,'[11]january-2026'!$C:$C,0,0)</f>
        <v>35500</v>
      </c>
      <c r="DH139">
        <f t="shared" si="449"/>
        <v>6390</v>
      </c>
      <c r="DI139">
        <f t="shared" si="450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397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51"/>
        <v>200</v>
      </c>
      <c r="DP139">
        <f t="shared" si="452"/>
        <v>43450</v>
      </c>
      <c r="DQ139">
        <f>_xlfn.XLOOKUP(B139,'[12]february-2026'!$A:$A,'[12]february-2026'!$C:$C,0,0)</f>
        <v>35500</v>
      </c>
      <c r="DR139">
        <f t="shared" si="453"/>
        <v>6390</v>
      </c>
      <c r="DS139">
        <f t="shared" si="454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398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55"/>
        <v>200</v>
      </c>
      <c r="DZ139">
        <f t="shared" si="456"/>
        <v>43450</v>
      </c>
      <c r="EA139">
        <f>_xlfn.XLOOKUP(B139,'[1]march-2025'!$A:$A,'[1]march-2025'!$J:$J,0,0)</f>
        <v>0</v>
      </c>
      <c r="EB139">
        <f>_xlfn.XLOOKUP(B139,'[2]april-2025'!$A:$A,'[2]april-2025'!$J:$J,0,0)</f>
        <v>0</v>
      </c>
      <c r="EC139">
        <f>_xlfn.XLOOKUP(B139,'[3]may-2025'!$A:$A,'[3]may-2025'!$J:$J,0,0)</f>
        <v>0</v>
      </c>
      <c r="ED139">
        <f>_xlfn.XLOOKUP(B139,'[4]june-2025'!$A:$A,'[4]june-2025'!$J:$J,0,0)</f>
        <v>0</v>
      </c>
      <c r="EE139">
        <f>_xlfn.XLOOKUP(B139,'[5]july-2025'!$A:$A,'[5]july-2025'!$J:$J,0,0)</f>
        <v>0</v>
      </c>
      <c r="EF139">
        <f>_xlfn.XLOOKUP(B139,'[6]august-2025'!$A:$A,'[6]august-2025'!$J:$J,0,0)</f>
        <v>0</v>
      </c>
      <c r="EG139">
        <f>_xlfn.XLOOKUP(B139,'[7]september-2025'!$A:$A,'[7]september-2025'!$J:$J,0,0)</f>
        <v>0</v>
      </c>
      <c r="EH139">
        <f>_xlfn.XLOOKUP(B139,'[8]october-2025'!$A:$A,'[8]october-2025'!$J:$J,0,0)</f>
        <v>0</v>
      </c>
      <c r="EI139">
        <f>_xlfn.XLOOKUP(C139,'[9]november-2025'!$A:$A,'[9]november-2025'!$J:$J,0,0)</f>
        <v>0</v>
      </c>
      <c r="EJ139">
        <f>_xlfn.XLOOKUP(B139,'[10]december-2025'!$A:$A,'[10]december-2025'!$J:$J,0,0)</f>
        <v>0</v>
      </c>
      <c r="EK139">
        <f>_xlfn.XLOOKUP(B139,'[11]january-2026'!$A:$A,'[11]january-2026'!$J:$J,0,0)</f>
        <v>0</v>
      </c>
      <c r="EL139">
        <f>_xlfn.XLOOKUP(B139,'[12]february-2026'!$A:$A,'[12]february-2026'!$J:$J,0,0)</f>
        <v>0</v>
      </c>
      <c r="EM139">
        <f t="shared" si="409"/>
        <v>0</v>
      </c>
      <c r="EN139">
        <f t="shared" si="399"/>
        <v>560020</v>
      </c>
      <c r="EO139">
        <f t="shared" si="400"/>
        <v>2400</v>
      </c>
      <c r="EP139">
        <f t="shared" si="457"/>
        <v>50000</v>
      </c>
      <c r="EQ139">
        <v>0</v>
      </c>
      <c r="ER139">
        <f t="shared" si="410"/>
        <v>507620</v>
      </c>
      <c r="ES139">
        <f t="shared" si="401"/>
        <v>36000</v>
      </c>
      <c r="ET139">
        <f t="shared" si="402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458"/>
        <v>36000</v>
      </c>
      <c r="FF139">
        <f t="shared" si="459"/>
        <v>36000</v>
      </c>
      <c r="FG139">
        <f t="shared" si="460"/>
        <v>471620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403"/>
        <v>0</v>
      </c>
      <c r="FP139">
        <f t="shared" si="461"/>
        <v>471620</v>
      </c>
      <c r="FQ139">
        <f t="shared" si="462"/>
        <v>11081</v>
      </c>
      <c r="FR139">
        <f t="shared" si="463"/>
        <v>0</v>
      </c>
      <c r="FS139">
        <f t="shared" si="464"/>
        <v>11081</v>
      </c>
      <c r="FT139">
        <f t="shared" si="465"/>
        <v>0</v>
      </c>
      <c r="FU139">
        <f t="shared" si="466"/>
        <v>0</v>
      </c>
      <c r="FV139">
        <f t="shared" si="467"/>
        <v>0</v>
      </c>
      <c r="FW139">
        <v>0</v>
      </c>
      <c r="FX139">
        <f t="shared" si="468"/>
        <v>0</v>
      </c>
      <c r="FY139" t="b">
        <f t="shared" si="469"/>
        <v>1</v>
      </c>
      <c r="FZ139">
        <f t="shared" ca="1" si="470"/>
        <v>630</v>
      </c>
      <c r="GA139">
        <f t="shared" ca="1" si="471"/>
        <v>560650</v>
      </c>
      <c r="GB139">
        <f t="shared" si="472"/>
        <v>75000</v>
      </c>
      <c r="GC139">
        <f t="shared" ca="1" si="473"/>
        <v>485650</v>
      </c>
      <c r="GD139">
        <f t="shared" ca="1" si="474"/>
        <v>0</v>
      </c>
      <c r="GE139">
        <f t="shared" ca="1" si="475"/>
        <v>0</v>
      </c>
      <c r="GF139">
        <f t="shared" ca="1" si="476"/>
        <v>0</v>
      </c>
      <c r="GG139">
        <f t="shared" ca="1" si="477"/>
        <v>0</v>
      </c>
      <c r="GH139">
        <f t="shared" ca="1" si="478"/>
        <v>0</v>
      </c>
      <c r="GI139">
        <f t="shared" ca="1" si="479"/>
        <v>0</v>
      </c>
      <c r="GJ139">
        <f t="shared" ca="1" si="404"/>
        <v>0</v>
      </c>
      <c r="GK139">
        <f t="shared" ca="1" si="480"/>
        <v>0</v>
      </c>
      <c r="GL139">
        <f t="shared" ca="1" si="481"/>
        <v>0</v>
      </c>
      <c r="GM139">
        <f t="shared" ca="1" si="482"/>
        <v>0</v>
      </c>
      <c r="GN139">
        <f t="shared" ca="1" si="483"/>
        <v>85650</v>
      </c>
      <c r="GO139">
        <f t="shared" ca="1" si="484"/>
        <v>4282.5</v>
      </c>
      <c r="GP139">
        <f t="shared" ca="1" si="485"/>
        <v>4283</v>
      </c>
      <c r="GQ139">
        <f t="shared" ca="1" si="486"/>
        <v>0</v>
      </c>
      <c r="GR139">
        <f t="shared" ca="1" si="487"/>
        <v>0</v>
      </c>
      <c r="GS139">
        <f t="shared" ca="1" si="488"/>
        <v>4283</v>
      </c>
      <c r="GT139">
        <f t="shared" ca="1" si="489"/>
        <v>0</v>
      </c>
      <c r="GU139" t="b">
        <f t="shared" ca="1" si="490"/>
        <v>0</v>
      </c>
      <c r="GV139">
        <f t="shared" ca="1" si="491"/>
        <v>0</v>
      </c>
      <c r="GW139">
        <f t="shared" ca="1" si="492"/>
        <v>4283</v>
      </c>
      <c r="GX139">
        <f t="shared" ca="1" si="493"/>
        <v>0</v>
      </c>
      <c r="GY139">
        <f t="shared" ca="1" si="494"/>
        <v>0</v>
      </c>
      <c r="GZ139">
        <f t="shared" ca="1" si="495"/>
        <v>0</v>
      </c>
    </row>
    <row r="140" spans="1:208" x14ac:dyDescent="0.3">
      <c r="A140">
        <f>_xlfn.AGGREGATE(3,5,$B$2:B140)</f>
        <v>139</v>
      </c>
      <c r="B140" t="s">
        <v>386</v>
      </c>
      <c r="C140" t="s">
        <v>387</v>
      </c>
      <c r="D140" t="s">
        <v>787</v>
      </c>
      <c r="E140" t="s">
        <v>830</v>
      </c>
      <c r="F140" t="s">
        <v>956</v>
      </c>
      <c r="G140" t="s">
        <v>927</v>
      </c>
      <c r="H140">
        <f t="shared" si="497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412"/>
        <v>4690</v>
      </c>
      <c r="L140">
        <f t="shared" si="413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389"/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496"/>
        <v>200</v>
      </c>
      <c r="S140">
        <f t="shared" si="405"/>
        <v>39010</v>
      </c>
      <c r="T140">
        <f>_xlfn.XLOOKUP(B140,'[2]april-2025'!$A:$A,'[2]april-2025'!$C:$C,0,0)</f>
        <v>33500</v>
      </c>
      <c r="U140">
        <f t="shared" si="414"/>
        <v>6030</v>
      </c>
      <c r="V140">
        <f t="shared" si="415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406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416"/>
        <v>200</v>
      </c>
      <c r="AC140">
        <f t="shared" si="417"/>
        <v>40350</v>
      </c>
      <c r="AD140">
        <f>_xlfn.XLOOKUP(B140,'[3]may-2025'!$A:$A,'[3]may-2025'!$C:$C,0,0)</f>
        <v>33500</v>
      </c>
      <c r="AE140">
        <f t="shared" si="418"/>
        <v>6030</v>
      </c>
      <c r="AF140">
        <f t="shared" si="419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407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420"/>
        <v>200</v>
      </c>
      <c r="AM140">
        <f t="shared" si="421"/>
        <v>40350</v>
      </c>
      <c r="AN140">
        <f>_xlfn.XLOOKUP(B140,'[4]june-2025'!$A:$A,'[4]june-2025'!$C:$C,0,0)</f>
        <v>33500</v>
      </c>
      <c r="AO140">
        <f t="shared" si="422"/>
        <v>6030</v>
      </c>
      <c r="AP140">
        <f t="shared" si="423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408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424"/>
        <v>200</v>
      </c>
      <c r="AW140">
        <f t="shared" si="425"/>
        <v>40350</v>
      </c>
      <c r="AX140">
        <f>_xlfn.XLOOKUP(B140,'[5]july-2025'!$A:$A,'[5]july-2025'!$C:$C,0,0)</f>
        <v>34500</v>
      </c>
      <c r="AY140">
        <f t="shared" si="426"/>
        <v>6210</v>
      </c>
      <c r="AZ140">
        <v>0</v>
      </c>
      <c r="BA140">
        <f t="shared" si="427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390"/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428"/>
        <v>200</v>
      </c>
      <c r="BH140">
        <f t="shared" si="429"/>
        <v>41650</v>
      </c>
      <c r="BI140">
        <f>_xlfn.XLOOKUP(B140,'[6]august-2025'!$A:$A,'[6]august-2025'!$C:$C,0,0)</f>
        <v>34500</v>
      </c>
      <c r="BJ140">
        <f t="shared" si="430"/>
        <v>6210</v>
      </c>
      <c r="BK140">
        <f t="shared" si="431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432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 t="shared" si="391"/>
        <v>200</v>
      </c>
      <c r="BR140">
        <f t="shared" si="392"/>
        <v>41650</v>
      </c>
      <c r="BS140">
        <f>_xlfn.XLOOKUP(B140,'[7]september-2025'!$A:$A,'[7]september-2025'!$C:$C,0,0)</f>
        <v>34500</v>
      </c>
      <c r="BT140">
        <f t="shared" si="433"/>
        <v>6210</v>
      </c>
      <c r="BU140">
        <f t="shared" si="434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393"/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435"/>
        <v>200</v>
      </c>
      <c r="CB140">
        <f t="shared" si="436"/>
        <v>41650</v>
      </c>
      <c r="CC140">
        <f>_xlfn.XLOOKUP(B140,'[8]october-2025'!$A:$A,'[8]october-2025'!$C:$C,0,0)</f>
        <v>34500</v>
      </c>
      <c r="CD140">
        <f t="shared" si="437"/>
        <v>6210</v>
      </c>
      <c r="CE140">
        <f t="shared" si="438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394"/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439"/>
        <v>200</v>
      </c>
      <c r="CL140">
        <f t="shared" si="440"/>
        <v>41650</v>
      </c>
      <c r="CM140">
        <f>_xlfn.XLOOKUP(B140,'[9]november-2025'!$A:$A,'[9]november-2025'!$C:$C,0,0)</f>
        <v>34500</v>
      </c>
      <c r="CN140">
        <f t="shared" si="441"/>
        <v>6210</v>
      </c>
      <c r="CO140">
        <f t="shared" si="442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395"/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443"/>
        <v>200</v>
      </c>
      <c r="CV140">
        <f t="shared" si="444"/>
        <v>41650</v>
      </c>
      <c r="CW140">
        <f>_xlfn.XLOOKUP(B140,'[10]december-2025'!$A:$A,'[10]december-2025'!$C:$C,0,0)</f>
        <v>34500</v>
      </c>
      <c r="CX140">
        <f t="shared" si="445"/>
        <v>6210</v>
      </c>
      <c r="CY140">
        <f t="shared" si="446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396"/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447"/>
        <v>200</v>
      </c>
      <c r="DF140">
        <f t="shared" si="448"/>
        <v>41650</v>
      </c>
      <c r="DG140">
        <f>_xlfn.XLOOKUP(B140,'[11]january-2026'!$A:$A,'[11]january-2026'!$C:$C,0,0)</f>
        <v>34500</v>
      </c>
      <c r="DH140">
        <f t="shared" si="449"/>
        <v>6210</v>
      </c>
      <c r="DI140">
        <f t="shared" si="450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397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51"/>
        <v>200</v>
      </c>
      <c r="DP140">
        <f t="shared" si="452"/>
        <v>41650</v>
      </c>
      <c r="DQ140">
        <f>_xlfn.XLOOKUP(B140,'[12]february-2026'!$A:$A,'[12]february-2026'!$C:$C,0,0)</f>
        <v>34500</v>
      </c>
      <c r="DR140">
        <f t="shared" si="453"/>
        <v>6210</v>
      </c>
      <c r="DS140">
        <f t="shared" si="454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398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55"/>
        <v>200</v>
      </c>
      <c r="DZ140">
        <f t="shared" si="456"/>
        <v>41650</v>
      </c>
      <c r="EA140">
        <f>_xlfn.XLOOKUP(B140,'[1]march-2025'!$A:$A,'[1]march-2025'!$J:$J,0,0)</f>
        <v>0</v>
      </c>
      <c r="EB140">
        <f>_xlfn.XLOOKUP(B140,'[2]april-2025'!$A:$A,'[2]april-2025'!$J:$J,0,0)</f>
        <v>0</v>
      </c>
      <c r="EC140">
        <f>_xlfn.XLOOKUP(B140,'[3]may-2025'!$A:$A,'[3]may-2025'!$J:$J,0,0)</f>
        <v>0</v>
      </c>
      <c r="ED140">
        <f>_xlfn.XLOOKUP(B140,'[4]june-2025'!$A:$A,'[4]june-2025'!$J:$J,0,0)</f>
        <v>0</v>
      </c>
      <c r="EE140">
        <f>_xlfn.XLOOKUP(B140,'[5]july-2025'!$A:$A,'[5]july-2025'!$J:$J,0,0)</f>
        <v>0</v>
      </c>
      <c r="EF140">
        <f>_xlfn.XLOOKUP(B140,'[6]august-2025'!$A:$A,'[6]august-2025'!$J:$J,0,0)</f>
        <v>0</v>
      </c>
      <c r="EG140">
        <f>_xlfn.XLOOKUP(B140,'[7]september-2025'!$A:$A,'[7]september-2025'!$J:$J,0,0)</f>
        <v>0</v>
      </c>
      <c r="EH140">
        <f>_xlfn.XLOOKUP(B140,'[8]october-2025'!$A:$A,'[8]october-2025'!$J:$J,0,0)</f>
        <v>0</v>
      </c>
      <c r="EI140">
        <f>_xlfn.XLOOKUP(C140,'[9]november-2025'!$A:$A,'[9]november-2025'!$J:$J,0,0)</f>
        <v>0</v>
      </c>
      <c r="EJ140">
        <f>_xlfn.XLOOKUP(B140,'[10]december-2025'!$A:$A,'[10]december-2025'!$J:$J,0,0)</f>
        <v>0</v>
      </c>
      <c r="EK140">
        <f>_xlfn.XLOOKUP(B140,'[11]january-2026'!$A:$A,'[11]january-2026'!$J:$J,0,0)</f>
        <v>0</v>
      </c>
      <c r="EL140">
        <f>_xlfn.XLOOKUP(B140,'[12]february-2026'!$A:$A,'[12]february-2026'!$J:$J,0,0)</f>
        <v>0</v>
      </c>
      <c r="EM140">
        <f t="shared" si="409"/>
        <v>0</v>
      </c>
      <c r="EN140">
        <f t="shared" si="399"/>
        <v>538460</v>
      </c>
      <c r="EO140">
        <f t="shared" si="400"/>
        <v>2400</v>
      </c>
      <c r="EP140">
        <f t="shared" si="457"/>
        <v>50000</v>
      </c>
      <c r="EQ140">
        <v>0</v>
      </c>
      <c r="ER140">
        <f t="shared" si="410"/>
        <v>486060</v>
      </c>
      <c r="ES140">
        <f t="shared" si="401"/>
        <v>36000</v>
      </c>
      <c r="ET140">
        <f t="shared" si="402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458"/>
        <v>36000</v>
      </c>
      <c r="FF140">
        <f t="shared" si="459"/>
        <v>36000</v>
      </c>
      <c r="FG140">
        <f t="shared" si="460"/>
        <v>450060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403"/>
        <v>0</v>
      </c>
      <c r="FP140">
        <f t="shared" si="461"/>
        <v>450060</v>
      </c>
      <c r="FQ140">
        <f t="shared" si="462"/>
        <v>10003</v>
      </c>
      <c r="FR140">
        <f t="shared" si="463"/>
        <v>0</v>
      </c>
      <c r="FS140">
        <f t="shared" si="464"/>
        <v>10003</v>
      </c>
      <c r="FT140">
        <f t="shared" si="465"/>
        <v>0</v>
      </c>
      <c r="FU140">
        <f t="shared" si="466"/>
        <v>0</v>
      </c>
      <c r="FV140">
        <f t="shared" si="467"/>
        <v>0</v>
      </c>
      <c r="FW140">
        <v>0</v>
      </c>
      <c r="FX140">
        <f t="shared" si="468"/>
        <v>0</v>
      </c>
      <c r="FY140" t="b">
        <f t="shared" si="469"/>
        <v>1</v>
      </c>
      <c r="FZ140">
        <f t="shared" ca="1" si="470"/>
        <v>807</v>
      </c>
      <c r="GA140">
        <f t="shared" ca="1" si="471"/>
        <v>539267</v>
      </c>
      <c r="GB140">
        <f t="shared" si="472"/>
        <v>75000</v>
      </c>
      <c r="GC140">
        <f t="shared" ca="1" si="473"/>
        <v>464267</v>
      </c>
      <c r="GD140">
        <f t="shared" ca="1" si="474"/>
        <v>0</v>
      </c>
      <c r="GE140">
        <f t="shared" ca="1" si="475"/>
        <v>0</v>
      </c>
      <c r="GF140">
        <f t="shared" ca="1" si="476"/>
        <v>0</v>
      </c>
      <c r="GG140">
        <f t="shared" ca="1" si="477"/>
        <v>0</v>
      </c>
      <c r="GH140">
        <f t="shared" ca="1" si="478"/>
        <v>0</v>
      </c>
      <c r="GI140">
        <f t="shared" ca="1" si="479"/>
        <v>0</v>
      </c>
      <c r="GJ140">
        <f t="shared" ca="1" si="404"/>
        <v>0</v>
      </c>
      <c r="GK140">
        <f t="shared" ca="1" si="480"/>
        <v>0</v>
      </c>
      <c r="GL140">
        <f t="shared" ca="1" si="481"/>
        <v>0</v>
      </c>
      <c r="GM140">
        <f t="shared" ca="1" si="482"/>
        <v>0</v>
      </c>
      <c r="GN140">
        <f t="shared" ca="1" si="483"/>
        <v>64267</v>
      </c>
      <c r="GO140">
        <f t="shared" ca="1" si="484"/>
        <v>3213.3500000000004</v>
      </c>
      <c r="GP140">
        <f t="shared" ca="1" si="485"/>
        <v>3213</v>
      </c>
      <c r="GQ140">
        <f t="shared" ca="1" si="486"/>
        <v>0</v>
      </c>
      <c r="GR140">
        <f t="shared" ca="1" si="487"/>
        <v>0</v>
      </c>
      <c r="GS140">
        <f t="shared" ca="1" si="488"/>
        <v>3213</v>
      </c>
      <c r="GT140">
        <f t="shared" ca="1" si="489"/>
        <v>0</v>
      </c>
      <c r="GU140" t="b">
        <f t="shared" ca="1" si="490"/>
        <v>0</v>
      </c>
      <c r="GV140">
        <f t="shared" ca="1" si="491"/>
        <v>0</v>
      </c>
      <c r="GW140">
        <f t="shared" ca="1" si="492"/>
        <v>3213</v>
      </c>
      <c r="GX140">
        <f t="shared" ca="1" si="493"/>
        <v>0</v>
      </c>
      <c r="GY140">
        <f t="shared" ca="1" si="494"/>
        <v>0</v>
      </c>
      <c r="GZ140">
        <f t="shared" ca="1" si="495"/>
        <v>0</v>
      </c>
    </row>
    <row r="141" spans="1:208" x14ac:dyDescent="0.3">
      <c r="A141">
        <f>_xlfn.AGGREGATE(3,5,$B$2:B141)</f>
        <v>140</v>
      </c>
      <c r="B141" t="s">
        <v>388</v>
      </c>
      <c r="C141" t="s">
        <v>389</v>
      </c>
      <c r="D141" t="s">
        <v>787</v>
      </c>
      <c r="E141" t="s">
        <v>830</v>
      </c>
      <c r="F141" t="s">
        <v>956</v>
      </c>
      <c r="G141" t="s">
        <v>880</v>
      </c>
      <c r="H141">
        <f t="shared" si="497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412"/>
        <v>4046.0000000000005</v>
      </c>
      <c r="L141">
        <f t="shared" si="413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 t="shared" si="389"/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496"/>
        <v>150</v>
      </c>
      <c r="S141">
        <f t="shared" si="405"/>
        <v>32764</v>
      </c>
      <c r="T141">
        <f>_xlfn.XLOOKUP(B141,'[2]april-2025'!$A:$A,'[2]april-2025'!$C:$C,0,0)</f>
        <v>28900</v>
      </c>
      <c r="U141">
        <f t="shared" si="414"/>
        <v>5202</v>
      </c>
      <c r="V141">
        <f t="shared" si="415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406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416"/>
        <v>150</v>
      </c>
      <c r="AC141">
        <f t="shared" si="417"/>
        <v>33920</v>
      </c>
      <c r="AD141">
        <f>_xlfn.XLOOKUP(B141,'[3]may-2025'!$A:$A,'[3]may-2025'!$C:$C,0,0)</f>
        <v>28900</v>
      </c>
      <c r="AE141">
        <f t="shared" si="418"/>
        <v>5202</v>
      </c>
      <c r="AF141">
        <f t="shared" si="419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407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420"/>
        <v>150</v>
      </c>
      <c r="AM141">
        <f t="shared" si="421"/>
        <v>33920</v>
      </c>
      <c r="AN141">
        <f>_xlfn.XLOOKUP(B141,'[4]june-2025'!$A:$A,'[4]june-2025'!$C:$C,0,0)</f>
        <v>28900</v>
      </c>
      <c r="AO141">
        <f t="shared" si="422"/>
        <v>5202</v>
      </c>
      <c r="AP141">
        <f t="shared" si="423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408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424"/>
        <v>150</v>
      </c>
      <c r="AW141">
        <f t="shared" si="425"/>
        <v>33920</v>
      </c>
      <c r="AX141">
        <f>_xlfn.XLOOKUP(B141,'[5]july-2025'!$A:$A,'[5]july-2025'!$C:$C,0,0)</f>
        <v>29800</v>
      </c>
      <c r="AY141">
        <f t="shared" si="426"/>
        <v>5364</v>
      </c>
      <c r="AZ141">
        <v>0</v>
      </c>
      <c r="BA141">
        <f t="shared" si="427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 t="shared" si="390"/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428"/>
        <v>150</v>
      </c>
      <c r="BH141">
        <f t="shared" si="429"/>
        <v>35090</v>
      </c>
      <c r="BI141">
        <f>_xlfn.XLOOKUP(B141,'[6]august-2025'!$A:$A,'[6]august-2025'!$C:$C,0,0)</f>
        <v>29800</v>
      </c>
      <c r="BJ141">
        <f t="shared" si="430"/>
        <v>5364</v>
      </c>
      <c r="BK141">
        <f t="shared" si="431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432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 t="shared" si="391"/>
        <v>150</v>
      </c>
      <c r="BR141">
        <f t="shared" si="392"/>
        <v>35090</v>
      </c>
      <c r="BS141">
        <f>_xlfn.XLOOKUP(B141,'[7]september-2025'!$A:$A,'[7]september-2025'!$C:$C,0,0)</f>
        <v>29800</v>
      </c>
      <c r="BT141">
        <f t="shared" si="433"/>
        <v>5364</v>
      </c>
      <c r="BU141">
        <f t="shared" si="434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 t="shared" si="393"/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435"/>
        <v>150</v>
      </c>
      <c r="CB141">
        <f t="shared" si="436"/>
        <v>35090</v>
      </c>
      <c r="CC141">
        <f>_xlfn.XLOOKUP(B141,'[8]october-2025'!$A:$A,'[8]october-2025'!$C:$C,0,0)</f>
        <v>29800</v>
      </c>
      <c r="CD141">
        <f t="shared" si="437"/>
        <v>5364</v>
      </c>
      <c r="CE141">
        <f t="shared" si="438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 t="shared" si="394"/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439"/>
        <v>150</v>
      </c>
      <c r="CL141">
        <f t="shared" si="440"/>
        <v>35090</v>
      </c>
      <c r="CM141">
        <f>_xlfn.XLOOKUP(B141,'[9]november-2025'!$A:$A,'[9]november-2025'!$C:$C,0,0)</f>
        <v>29800</v>
      </c>
      <c r="CN141">
        <f t="shared" si="441"/>
        <v>5364</v>
      </c>
      <c r="CO141">
        <f t="shared" si="442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 t="shared" si="395"/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443"/>
        <v>150</v>
      </c>
      <c r="CV141">
        <f t="shared" si="444"/>
        <v>35090</v>
      </c>
      <c r="CW141">
        <f>_xlfn.XLOOKUP(B141,'[10]december-2025'!$A:$A,'[10]december-2025'!$C:$C,0,0)</f>
        <v>29800</v>
      </c>
      <c r="CX141">
        <f t="shared" si="445"/>
        <v>5364</v>
      </c>
      <c r="CY141">
        <f t="shared" si="446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 t="shared" si="396"/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447"/>
        <v>150</v>
      </c>
      <c r="DF141">
        <f t="shared" si="448"/>
        <v>35090</v>
      </c>
      <c r="DG141">
        <f>_xlfn.XLOOKUP(B141,'[11]january-2026'!$A:$A,'[11]january-2026'!$C:$C,0,0)</f>
        <v>29800</v>
      </c>
      <c r="DH141">
        <f t="shared" si="449"/>
        <v>5364</v>
      </c>
      <c r="DI141">
        <f t="shared" si="450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397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51"/>
        <v>150</v>
      </c>
      <c r="DP141">
        <f t="shared" si="452"/>
        <v>35090</v>
      </c>
      <c r="DQ141">
        <f>_xlfn.XLOOKUP(B141,'[12]february-2026'!$A:$A,'[12]february-2026'!$C:$C,0,0)</f>
        <v>29800</v>
      </c>
      <c r="DR141">
        <f t="shared" si="453"/>
        <v>5364</v>
      </c>
      <c r="DS141">
        <f t="shared" si="454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398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55"/>
        <v>150</v>
      </c>
      <c r="DZ141">
        <f t="shared" si="456"/>
        <v>35090</v>
      </c>
      <c r="EA141">
        <f>_xlfn.XLOOKUP(B141,'[1]march-2025'!$A:$A,'[1]march-2025'!$J:$J,0,0)</f>
        <v>0</v>
      </c>
      <c r="EB141">
        <f>_xlfn.XLOOKUP(B141,'[2]april-2025'!$A:$A,'[2]april-2025'!$J:$J,0,0)</f>
        <v>0</v>
      </c>
      <c r="EC141">
        <f>_xlfn.XLOOKUP(B141,'[3]may-2025'!$A:$A,'[3]may-2025'!$J:$J,0,0)</f>
        <v>61490</v>
      </c>
      <c r="ED141">
        <f>_xlfn.XLOOKUP(B141,'[4]june-2025'!$A:$A,'[4]june-2025'!$J:$J,0,0)</f>
        <v>0</v>
      </c>
      <c r="EE141">
        <f>_xlfn.XLOOKUP(B141,'[5]july-2025'!$A:$A,'[5]july-2025'!$J:$J,0,0)</f>
        <v>0</v>
      </c>
      <c r="EF141">
        <f>_xlfn.XLOOKUP(B141,'[6]august-2025'!$A:$A,'[6]august-2025'!$J:$J,0,0)</f>
        <v>0</v>
      </c>
      <c r="EG141">
        <f>_xlfn.XLOOKUP(B141,'[7]september-2025'!$A:$A,'[7]september-2025'!$J:$J,0,0)</f>
        <v>0</v>
      </c>
      <c r="EH141">
        <f>_xlfn.XLOOKUP(B141,'[8]october-2025'!$A:$A,'[8]october-2025'!$J:$J,0,0)</f>
        <v>0</v>
      </c>
      <c r="EI141">
        <f>_xlfn.XLOOKUP(C141,'[9]november-2025'!$A:$A,'[9]november-2025'!$J:$J,0,0)</f>
        <v>0</v>
      </c>
      <c r="EJ141">
        <f>_xlfn.XLOOKUP(B141,'[10]december-2025'!$A:$A,'[10]december-2025'!$J:$J,0,0)</f>
        <v>0</v>
      </c>
      <c r="EK141">
        <f>_xlfn.XLOOKUP(B141,'[11]january-2026'!$A:$A,'[11]january-2026'!$J:$J,0,0)</f>
        <v>0</v>
      </c>
      <c r="EL141">
        <f>_xlfn.XLOOKUP(B141,'[12]february-2026'!$A:$A,'[12]february-2026'!$J:$J,0,0)</f>
        <v>0</v>
      </c>
      <c r="EM141">
        <f t="shared" si="409"/>
        <v>61490</v>
      </c>
      <c r="EN141">
        <f t="shared" si="399"/>
        <v>471844</v>
      </c>
      <c r="EO141">
        <f t="shared" si="400"/>
        <v>1800</v>
      </c>
      <c r="EP141">
        <f t="shared" si="457"/>
        <v>50000</v>
      </c>
      <c r="EQ141">
        <v>0</v>
      </c>
      <c r="ER141">
        <f t="shared" si="410"/>
        <v>481534</v>
      </c>
      <c r="ES141">
        <f t="shared" si="401"/>
        <v>48000</v>
      </c>
      <c r="ET141">
        <f t="shared" si="402"/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458"/>
        <v>48000</v>
      </c>
      <c r="FF141">
        <f t="shared" si="459"/>
        <v>48000</v>
      </c>
      <c r="FG141">
        <f t="shared" si="460"/>
        <v>433534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403"/>
        <v>0</v>
      </c>
      <c r="FP141">
        <f t="shared" si="461"/>
        <v>433534</v>
      </c>
      <c r="FQ141">
        <f t="shared" si="462"/>
        <v>9177</v>
      </c>
      <c r="FR141">
        <f t="shared" si="463"/>
        <v>0</v>
      </c>
      <c r="FS141">
        <f t="shared" si="464"/>
        <v>9177</v>
      </c>
      <c r="FT141">
        <f t="shared" si="465"/>
        <v>0</v>
      </c>
      <c r="FU141">
        <f t="shared" si="466"/>
        <v>0</v>
      </c>
      <c r="FV141">
        <f t="shared" si="467"/>
        <v>0</v>
      </c>
      <c r="FW141">
        <v>0</v>
      </c>
      <c r="FX141">
        <f t="shared" si="468"/>
        <v>0</v>
      </c>
      <c r="FY141" t="b">
        <f t="shared" si="469"/>
        <v>0</v>
      </c>
      <c r="FZ141">
        <f t="shared" ca="1" si="470"/>
        <v>1794</v>
      </c>
      <c r="GA141">
        <f t="shared" ca="1" si="471"/>
        <v>473638</v>
      </c>
      <c r="GB141">
        <f t="shared" si="472"/>
        <v>75000</v>
      </c>
      <c r="GC141">
        <f t="shared" ca="1" si="473"/>
        <v>398638</v>
      </c>
      <c r="GD141">
        <f t="shared" ca="1" si="474"/>
        <v>0</v>
      </c>
      <c r="GE141">
        <f t="shared" ca="1" si="475"/>
        <v>0</v>
      </c>
      <c r="GF141">
        <f t="shared" ca="1" si="476"/>
        <v>0</v>
      </c>
      <c r="GG141">
        <f t="shared" ca="1" si="477"/>
        <v>0</v>
      </c>
      <c r="GH141">
        <f t="shared" ca="1" si="478"/>
        <v>0</v>
      </c>
      <c r="GI141">
        <f t="shared" ca="1" si="479"/>
        <v>0</v>
      </c>
      <c r="GJ141">
        <f t="shared" ca="1" si="404"/>
        <v>0</v>
      </c>
      <c r="GK141">
        <f t="shared" ca="1" si="480"/>
        <v>0</v>
      </c>
      <c r="GL141">
        <f t="shared" ca="1" si="481"/>
        <v>0</v>
      </c>
      <c r="GM141">
        <f t="shared" ca="1" si="482"/>
        <v>0</v>
      </c>
      <c r="GN141">
        <f t="shared" ca="1" si="483"/>
        <v>0</v>
      </c>
      <c r="GO141">
        <f t="shared" ca="1" si="484"/>
        <v>0</v>
      </c>
      <c r="GP141">
        <f t="shared" ca="1" si="485"/>
        <v>0</v>
      </c>
      <c r="GQ141">
        <f t="shared" ca="1" si="486"/>
        <v>0</v>
      </c>
      <c r="GR141">
        <f t="shared" ca="1" si="487"/>
        <v>0</v>
      </c>
      <c r="GS141">
        <f t="shared" ca="1" si="488"/>
        <v>0</v>
      </c>
      <c r="GT141">
        <f t="shared" ca="1" si="489"/>
        <v>0</v>
      </c>
      <c r="GU141" t="b">
        <f t="shared" ca="1" si="490"/>
        <v>0</v>
      </c>
      <c r="GV141">
        <f t="shared" ca="1" si="491"/>
        <v>0</v>
      </c>
      <c r="GW141">
        <f t="shared" ca="1" si="492"/>
        <v>0</v>
      </c>
      <c r="GX141">
        <f t="shared" ca="1" si="493"/>
        <v>0</v>
      </c>
      <c r="GY141">
        <f t="shared" ca="1" si="494"/>
        <v>0</v>
      </c>
      <c r="GZ141">
        <f t="shared" ca="1" si="495"/>
        <v>0</v>
      </c>
    </row>
    <row r="142" spans="1:208" x14ac:dyDescent="0.3">
      <c r="A142">
        <f>_xlfn.AGGREGATE(3,5,$B$2:B142)</f>
        <v>141</v>
      </c>
      <c r="B142" t="s">
        <v>390</v>
      </c>
      <c r="C142" t="s">
        <v>391</v>
      </c>
      <c r="D142" t="s">
        <v>787</v>
      </c>
      <c r="E142" t="s">
        <v>830</v>
      </c>
      <c r="F142" t="s">
        <v>956</v>
      </c>
      <c r="G142" t="s">
        <v>882</v>
      </c>
      <c r="H142">
        <f t="shared" si="497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412"/>
        <v>4046.0000000000005</v>
      </c>
      <c r="L142">
        <f t="shared" si="413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 t="shared" si="389"/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496"/>
        <v>150</v>
      </c>
      <c r="S142">
        <f t="shared" si="405"/>
        <v>36264</v>
      </c>
      <c r="T142">
        <f>_xlfn.XLOOKUP(B142,'[2]april-2025'!$A:$A,'[2]april-2025'!$C:$C,0,0)</f>
        <v>28900</v>
      </c>
      <c r="U142">
        <f t="shared" si="414"/>
        <v>5202</v>
      </c>
      <c r="V142">
        <f t="shared" si="415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406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416"/>
        <v>150</v>
      </c>
      <c r="AC142">
        <f t="shared" si="417"/>
        <v>37420</v>
      </c>
      <c r="AD142">
        <f>_xlfn.XLOOKUP(B142,'[3]may-2025'!$A:$A,'[3]may-2025'!$C:$C,0,0)</f>
        <v>28900</v>
      </c>
      <c r="AE142">
        <f t="shared" si="418"/>
        <v>5202</v>
      </c>
      <c r="AF142">
        <f t="shared" si="419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407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420"/>
        <v>150</v>
      </c>
      <c r="AM142">
        <f t="shared" si="421"/>
        <v>37420</v>
      </c>
      <c r="AN142">
        <f>_xlfn.XLOOKUP(B142,'[4]june-2025'!$A:$A,'[4]june-2025'!$C:$C,0,0)</f>
        <v>28900</v>
      </c>
      <c r="AO142">
        <f t="shared" si="422"/>
        <v>5202</v>
      </c>
      <c r="AP142">
        <f t="shared" si="423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408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424"/>
        <v>150</v>
      </c>
      <c r="AW142">
        <f t="shared" si="425"/>
        <v>37420</v>
      </c>
      <c r="AX142">
        <f>_xlfn.XLOOKUP(B142,'[5]july-2025'!$A:$A,'[5]july-2025'!$C:$C,0,0)</f>
        <v>29800</v>
      </c>
      <c r="AY142">
        <f t="shared" si="426"/>
        <v>5364</v>
      </c>
      <c r="AZ142">
        <v>0</v>
      </c>
      <c r="BA142">
        <f t="shared" si="427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 t="shared" si="390"/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428"/>
        <v>150</v>
      </c>
      <c r="BH142">
        <f t="shared" si="429"/>
        <v>38590</v>
      </c>
      <c r="BI142">
        <f>_xlfn.XLOOKUP(B142,'[6]august-2025'!$A:$A,'[6]august-2025'!$C:$C,0,0)</f>
        <v>29800</v>
      </c>
      <c r="BJ142">
        <f t="shared" si="430"/>
        <v>5364</v>
      </c>
      <c r="BK142">
        <f t="shared" si="431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432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 t="shared" si="391"/>
        <v>150</v>
      </c>
      <c r="BR142">
        <f t="shared" si="392"/>
        <v>38590</v>
      </c>
      <c r="BS142">
        <f>_xlfn.XLOOKUP(B142,'[7]september-2025'!$A:$A,'[7]september-2025'!$C:$C,0,0)</f>
        <v>29800</v>
      </c>
      <c r="BT142">
        <f t="shared" si="433"/>
        <v>5364</v>
      </c>
      <c r="BU142">
        <f t="shared" si="434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 t="shared" si="393"/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435"/>
        <v>150</v>
      </c>
      <c r="CB142">
        <f t="shared" si="436"/>
        <v>36590</v>
      </c>
      <c r="CC142">
        <f>_xlfn.XLOOKUP(B142,'[8]october-2025'!$A:$A,'[8]october-2025'!$C:$C,0,0)</f>
        <v>29800</v>
      </c>
      <c r="CD142">
        <f t="shared" si="437"/>
        <v>5364</v>
      </c>
      <c r="CE142">
        <f t="shared" si="438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 t="shared" si="394"/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439"/>
        <v>150</v>
      </c>
      <c r="CL142">
        <f t="shared" si="440"/>
        <v>36590</v>
      </c>
      <c r="CM142">
        <f>_xlfn.XLOOKUP(B142,'[9]november-2025'!$A:$A,'[9]november-2025'!$C:$C,0,0)</f>
        <v>29800</v>
      </c>
      <c r="CN142">
        <f t="shared" si="441"/>
        <v>5364</v>
      </c>
      <c r="CO142">
        <f t="shared" si="442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 t="shared" si="395"/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443"/>
        <v>150</v>
      </c>
      <c r="CV142">
        <f t="shared" si="444"/>
        <v>36590</v>
      </c>
      <c r="CW142">
        <f>_xlfn.XLOOKUP(B142,'[10]december-2025'!$A:$A,'[10]december-2025'!$C:$C,0,0)</f>
        <v>29800</v>
      </c>
      <c r="CX142">
        <f t="shared" si="445"/>
        <v>5364</v>
      </c>
      <c r="CY142">
        <f t="shared" si="446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 t="shared" si="396"/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447"/>
        <v>150</v>
      </c>
      <c r="DF142">
        <f t="shared" si="448"/>
        <v>36590</v>
      </c>
      <c r="DG142">
        <f>_xlfn.XLOOKUP(B142,'[11]january-2026'!$A:$A,'[11]january-2026'!$C:$C,0,0)</f>
        <v>29800</v>
      </c>
      <c r="DH142">
        <f t="shared" si="449"/>
        <v>5364</v>
      </c>
      <c r="DI142">
        <f t="shared" si="450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397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51"/>
        <v>150</v>
      </c>
      <c r="DP142">
        <f t="shared" si="452"/>
        <v>36590</v>
      </c>
      <c r="DQ142">
        <f>_xlfn.XLOOKUP(B142,'[12]february-2026'!$A:$A,'[12]february-2026'!$C:$C,0,0)</f>
        <v>29800</v>
      </c>
      <c r="DR142">
        <f t="shared" si="453"/>
        <v>5364</v>
      </c>
      <c r="DS142">
        <f t="shared" si="454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398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55"/>
        <v>150</v>
      </c>
      <c r="DZ142">
        <f t="shared" si="456"/>
        <v>36590</v>
      </c>
      <c r="EA142">
        <f>_xlfn.XLOOKUP(B142,'[1]march-2025'!$A:$A,'[1]march-2025'!$J:$J,0,0)</f>
        <v>0</v>
      </c>
      <c r="EB142">
        <f>_xlfn.XLOOKUP(B142,'[2]april-2025'!$A:$A,'[2]april-2025'!$J:$J,0,0)</f>
        <v>0</v>
      </c>
      <c r="EC142">
        <f>_xlfn.XLOOKUP(B142,'[3]may-2025'!$A:$A,'[3]may-2025'!$J:$J,0,0)</f>
        <v>71100</v>
      </c>
      <c r="ED142">
        <f>_xlfn.XLOOKUP(B142,'[4]june-2025'!$A:$A,'[4]june-2025'!$J:$J,0,0)</f>
        <v>0</v>
      </c>
      <c r="EE142">
        <f>_xlfn.XLOOKUP(B142,'[5]july-2025'!$A:$A,'[5]july-2025'!$J:$J,0,0)</f>
        <v>0</v>
      </c>
      <c r="EF142">
        <f>_xlfn.XLOOKUP(B142,'[6]august-2025'!$A:$A,'[6]august-2025'!$J:$J,0,0)</f>
        <v>0</v>
      </c>
      <c r="EG142">
        <f>_xlfn.XLOOKUP(B142,'[7]september-2025'!$A:$A,'[7]september-2025'!$J:$J,0,0)</f>
        <v>0</v>
      </c>
      <c r="EH142">
        <f>_xlfn.XLOOKUP(B142,'[8]october-2025'!$A:$A,'[8]october-2025'!$J:$J,0,0)</f>
        <v>0</v>
      </c>
      <c r="EI142">
        <f>_xlfn.XLOOKUP(C142,'[9]november-2025'!$A:$A,'[9]november-2025'!$J:$J,0,0)</f>
        <v>0</v>
      </c>
      <c r="EJ142">
        <f>_xlfn.XLOOKUP(B142,'[10]december-2025'!$A:$A,'[10]december-2025'!$J:$J,0,0)</f>
        <v>0</v>
      </c>
      <c r="EK142">
        <f>_xlfn.XLOOKUP(B142,'[11]january-2026'!$A:$A,'[11]january-2026'!$J:$J,0,0)</f>
        <v>0</v>
      </c>
      <c r="EL142">
        <f>_xlfn.XLOOKUP(B142,'[12]february-2026'!$A:$A,'[12]february-2026'!$J:$J,0,0)</f>
        <v>0</v>
      </c>
      <c r="EM142">
        <f t="shared" si="409"/>
        <v>71100</v>
      </c>
      <c r="EN142">
        <f t="shared" si="399"/>
        <v>465844</v>
      </c>
      <c r="EO142">
        <f t="shared" si="400"/>
        <v>1800</v>
      </c>
      <c r="EP142">
        <f t="shared" si="457"/>
        <v>50000</v>
      </c>
      <c r="EQ142">
        <v>0</v>
      </c>
      <c r="ER142">
        <f t="shared" si="410"/>
        <v>485144</v>
      </c>
      <c r="ES142">
        <f t="shared" si="401"/>
        <v>12000</v>
      </c>
      <c r="ET142">
        <f t="shared" si="402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458"/>
        <v>12000</v>
      </c>
      <c r="FF142">
        <f t="shared" si="459"/>
        <v>12000</v>
      </c>
      <c r="FG142">
        <f t="shared" si="460"/>
        <v>473144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403"/>
        <v>0</v>
      </c>
      <c r="FP142">
        <f t="shared" si="461"/>
        <v>473144</v>
      </c>
      <c r="FQ142">
        <f t="shared" si="462"/>
        <v>11157</v>
      </c>
      <c r="FR142">
        <f t="shared" si="463"/>
        <v>0</v>
      </c>
      <c r="FS142">
        <f t="shared" si="464"/>
        <v>11157</v>
      </c>
      <c r="FT142">
        <f t="shared" si="465"/>
        <v>0</v>
      </c>
      <c r="FU142">
        <f t="shared" si="466"/>
        <v>0</v>
      </c>
      <c r="FV142">
        <f t="shared" si="467"/>
        <v>0</v>
      </c>
      <c r="FW142">
        <v>0</v>
      </c>
      <c r="FX142">
        <f t="shared" si="468"/>
        <v>0</v>
      </c>
      <c r="FY142" t="b">
        <f t="shared" si="469"/>
        <v>0</v>
      </c>
      <c r="FZ142">
        <f t="shared" ca="1" si="470"/>
        <v>1528</v>
      </c>
      <c r="GA142">
        <f t="shared" ca="1" si="471"/>
        <v>467372</v>
      </c>
      <c r="GB142">
        <f t="shared" si="472"/>
        <v>75000</v>
      </c>
      <c r="GC142">
        <f t="shared" ca="1" si="473"/>
        <v>392372</v>
      </c>
      <c r="GD142">
        <f t="shared" ca="1" si="474"/>
        <v>0</v>
      </c>
      <c r="GE142">
        <f t="shared" ca="1" si="475"/>
        <v>0</v>
      </c>
      <c r="GF142">
        <f t="shared" ca="1" si="476"/>
        <v>0</v>
      </c>
      <c r="GG142">
        <f t="shared" ca="1" si="477"/>
        <v>0</v>
      </c>
      <c r="GH142">
        <f t="shared" ca="1" si="478"/>
        <v>0</v>
      </c>
      <c r="GI142">
        <f t="shared" ca="1" si="479"/>
        <v>0</v>
      </c>
      <c r="GJ142">
        <f t="shared" ca="1" si="404"/>
        <v>0</v>
      </c>
      <c r="GK142">
        <f t="shared" ca="1" si="480"/>
        <v>0</v>
      </c>
      <c r="GL142">
        <f t="shared" ca="1" si="481"/>
        <v>0</v>
      </c>
      <c r="GM142">
        <f t="shared" ca="1" si="482"/>
        <v>0</v>
      </c>
      <c r="GN142">
        <f t="shared" ca="1" si="483"/>
        <v>0</v>
      </c>
      <c r="GO142">
        <f t="shared" ca="1" si="484"/>
        <v>0</v>
      </c>
      <c r="GP142">
        <f t="shared" ca="1" si="485"/>
        <v>0</v>
      </c>
      <c r="GQ142">
        <f t="shared" ca="1" si="486"/>
        <v>0</v>
      </c>
      <c r="GR142">
        <f t="shared" ca="1" si="487"/>
        <v>0</v>
      </c>
      <c r="GS142">
        <f t="shared" ca="1" si="488"/>
        <v>0</v>
      </c>
      <c r="GT142">
        <f t="shared" ca="1" si="489"/>
        <v>0</v>
      </c>
      <c r="GU142" t="b">
        <f t="shared" ca="1" si="490"/>
        <v>0</v>
      </c>
      <c r="GV142">
        <f t="shared" ca="1" si="491"/>
        <v>0</v>
      </c>
      <c r="GW142">
        <f t="shared" ca="1" si="492"/>
        <v>0</v>
      </c>
      <c r="GX142">
        <f t="shared" ca="1" si="493"/>
        <v>0</v>
      </c>
      <c r="GY142">
        <f t="shared" ca="1" si="494"/>
        <v>0</v>
      </c>
      <c r="GZ142">
        <f t="shared" ca="1" si="495"/>
        <v>0</v>
      </c>
    </row>
    <row r="143" spans="1:208" x14ac:dyDescent="0.3">
      <c r="A143">
        <f>_xlfn.AGGREGATE(3,5,$B$2:B143)</f>
        <v>142</v>
      </c>
      <c r="B143" t="s">
        <v>392</v>
      </c>
      <c r="C143" t="s">
        <v>393</v>
      </c>
      <c r="D143" t="s">
        <v>788</v>
      </c>
      <c r="E143" t="s">
        <v>830</v>
      </c>
      <c r="F143" t="s">
        <v>956</v>
      </c>
      <c r="G143" t="s">
        <v>928</v>
      </c>
      <c r="H143">
        <f t="shared" si="497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412"/>
        <v>4830.0000000000009</v>
      </c>
      <c r="L143">
        <f t="shared" si="413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 t="shared" si="389"/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496"/>
        <v>200</v>
      </c>
      <c r="S143">
        <f t="shared" si="405"/>
        <v>37170</v>
      </c>
      <c r="T143">
        <f>_xlfn.XLOOKUP(B143,'[2]april-2025'!$A:$A,'[2]april-2025'!$C:$C,0,0)</f>
        <v>34500</v>
      </c>
      <c r="U143">
        <f t="shared" si="414"/>
        <v>6210</v>
      </c>
      <c r="V143">
        <f t="shared" si="415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406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416"/>
        <v>200</v>
      </c>
      <c r="AC143">
        <f t="shared" si="417"/>
        <v>38550</v>
      </c>
      <c r="AD143">
        <f>_xlfn.XLOOKUP(B143,'[3]may-2025'!$A:$A,'[3]may-2025'!$C:$C,0,0)</f>
        <v>34500</v>
      </c>
      <c r="AE143">
        <f t="shared" si="418"/>
        <v>6210</v>
      </c>
      <c r="AF143">
        <f t="shared" si="419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407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420"/>
        <v>200</v>
      </c>
      <c r="AM143">
        <f t="shared" si="421"/>
        <v>38550</v>
      </c>
      <c r="AN143">
        <f>_xlfn.XLOOKUP(B143,'[4]june-2025'!$A:$A,'[4]june-2025'!$C:$C,0,0)</f>
        <v>34500</v>
      </c>
      <c r="AO143">
        <f t="shared" si="422"/>
        <v>6210</v>
      </c>
      <c r="AP143">
        <f t="shared" si="423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408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424"/>
        <v>200</v>
      </c>
      <c r="AW143">
        <f t="shared" si="425"/>
        <v>38550</v>
      </c>
      <c r="AX143">
        <f>_xlfn.XLOOKUP(B143,'[5]july-2025'!$A:$A,'[5]july-2025'!$C:$C,0,0)</f>
        <v>35500</v>
      </c>
      <c r="AY143">
        <f t="shared" si="426"/>
        <v>6390</v>
      </c>
      <c r="AZ143">
        <v>0</v>
      </c>
      <c r="BA143">
        <f t="shared" si="427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 t="shared" si="390"/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428"/>
        <v>200</v>
      </c>
      <c r="BH143">
        <f t="shared" si="429"/>
        <v>39850</v>
      </c>
      <c r="BI143">
        <f>_xlfn.XLOOKUP(B143,'[6]august-2025'!$A:$A,'[6]august-2025'!$C:$C,0,0)</f>
        <v>35500</v>
      </c>
      <c r="BJ143">
        <f t="shared" si="430"/>
        <v>6390</v>
      </c>
      <c r="BK143">
        <f t="shared" si="431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432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 t="shared" si="391"/>
        <v>200</v>
      </c>
      <c r="BR143">
        <f t="shared" si="392"/>
        <v>39850</v>
      </c>
      <c r="BS143">
        <f>_xlfn.XLOOKUP(B143,'[7]september-2025'!$A:$A,'[7]september-2025'!$C:$C,0,0)</f>
        <v>35500</v>
      </c>
      <c r="BT143">
        <f t="shared" si="433"/>
        <v>6390</v>
      </c>
      <c r="BU143">
        <f t="shared" si="434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 t="shared" si="393"/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435"/>
        <v>200</v>
      </c>
      <c r="CB143">
        <f t="shared" si="436"/>
        <v>39850</v>
      </c>
      <c r="CC143">
        <f>_xlfn.XLOOKUP(B143,'[8]october-2025'!$A:$A,'[8]october-2025'!$C:$C,0,0)</f>
        <v>35500</v>
      </c>
      <c r="CD143">
        <f t="shared" si="437"/>
        <v>6390</v>
      </c>
      <c r="CE143">
        <f t="shared" si="438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 t="shared" si="394"/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439"/>
        <v>200</v>
      </c>
      <c r="CL143">
        <f t="shared" si="440"/>
        <v>39850</v>
      </c>
      <c r="CM143">
        <f>_xlfn.XLOOKUP(B143,'[9]november-2025'!$A:$A,'[9]november-2025'!$C:$C,0,0)</f>
        <v>35500</v>
      </c>
      <c r="CN143">
        <f t="shared" si="441"/>
        <v>6390</v>
      </c>
      <c r="CO143">
        <f t="shared" si="442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 t="shared" si="395"/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443"/>
        <v>200</v>
      </c>
      <c r="CV143">
        <f t="shared" si="444"/>
        <v>39850</v>
      </c>
      <c r="CW143">
        <f>_xlfn.XLOOKUP(B143,'[10]december-2025'!$A:$A,'[10]december-2025'!$C:$C,0,0)</f>
        <v>35500</v>
      </c>
      <c r="CX143">
        <f t="shared" si="445"/>
        <v>6390</v>
      </c>
      <c r="CY143">
        <f t="shared" si="446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 t="shared" si="396"/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447"/>
        <v>200</v>
      </c>
      <c r="DF143">
        <f t="shared" si="448"/>
        <v>39850</v>
      </c>
      <c r="DG143">
        <f>_xlfn.XLOOKUP(B143,'[11]january-2026'!$A:$A,'[11]january-2026'!$C:$C,0,0)</f>
        <v>35500</v>
      </c>
      <c r="DH143">
        <f t="shared" si="449"/>
        <v>6390</v>
      </c>
      <c r="DI143">
        <f t="shared" si="450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397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51"/>
        <v>200</v>
      </c>
      <c r="DP143">
        <f t="shared" si="452"/>
        <v>39850</v>
      </c>
      <c r="DQ143">
        <f>_xlfn.XLOOKUP(B143,'[12]february-2026'!$A:$A,'[12]february-2026'!$C:$C,0,0)</f>
        <v>35500</v>
      </c>
      <c r="DR143">
        <f t="shared" si="453"/>
        <v>6390</v>
      </c>
      <c r="DS143">
        <f t="shared" si="454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398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55"/>
        <v>200</v>
      </c>
      <c r="DZ143">
        <f t="shared" si="456"/>
        <v>39850</v>
      </c>
      <c r="EA143">
        <f>_xlfn.XLOOKUP(B143,'[1]march-2025'!$A:$A,'[1]march-2025'!$J:$J,0,0)</f>
        <v>0</v>
      </c>
      <c r="EB143">
        <f>_xlfn.XLOOKUP(B143,'[2]april-2025'!$A:$A,'[2]april-2025'!$J:$J,0,0)</f>
        <v>0</v>
      </c>
      <c r="EC143">
        <f>_xlfn.XLOOKUP(B143,'[3]may-2025'!$A:$A,'[3]may-2025'!$J:$J,0,0)</f>
        <v>0</v>
      </c>
      <c r="ED143">
        <f>_xlfn.XLOOKUP(B143,'[4]june-2025'!$A:$A,'[4]june-2025'!$J:$J,0,0)</f>
        <v>0</v>
      </c>
      <c r="EE143">
        <f>_xlfn.XLOOKUP(B143,'[5]july-2025'!$A:$A,'[5]july-2025'!$J:$J,0,0)</f>
        <v>0</v>
      </c>
      <c r="EF143">
        <f>_xlfn.XLOOKUP(B143,'[6]august-2025'!$A:$A,'[6]august-2025'!$J:$J,0,0)</f>
        <v>0</v>
      </c>
      <c r="EG143">
        <f>_xlfn.XLOOKUP(B143,'[7]september-2025'!$A:$A,'[7]september-2025'!$J:$J,0,0)</f>
        <v>0</v>
      </c>
      <c r="EH143">
        <f>_xlfn.XLOOKUP(B143,'[8]october-2025'!$A:$A,'[8]october-2025'!$J:$J,0,0)</f>
        <v>0</v>
      </c>
      <c r="EI143">
        <f>_xlfn.XLOOKUP(C143,'[9]november-2025'!$A:$A,'[9]november-2025'!$J:$J,0,0)</f>
        <v>0</v>
      </c>
      <c r="EJ143">
        <f>_xlfn.XLOOKUP(B143,'[10]december-2025'!$A:$A,'[10]december-2025'!$J:$J,0,0)</f>
        <v>0</v>
      </c>
      <c r="EK143">
        <f>_xlfn.XLOOKUP(B143,'[11]january-2026'!$A:$A,'[11]january-2026'!$J:$J,0,0)</f>
        <v>0</v>
      </c>
      <c r="EL143">
        <f>_xlfn.XLOOKUP(B143,'[12]february-2026'!$A:$A,'[12]february-2026'!$J:$J,0,0)</f>
        <v>0</v>
      </c>
      <c r="EM143">
        <f t="shared" si="409"/>
        <v>0</v>
      </c>
      <c r="EN143">
        <f t="shared" si="399"/>
        <v>564820</v>
      </c>
      <c r="EO143">
        <f t="shared" si="400"/>
        <v>2400</v>
      </c>
      <c r="EP143">
        <f t="shared" si="457"/>
        <v>50000</v>
      </c>
      <c r="EQ143">
        <v>0</v>
      </c>
      <c r="ER143">
        <f t="shared" si="410"/>
        <v>512420</v>
      </c>
      <c r="ES143">
        <f t="shared" si="401"/>
        <v>84000</v>
      </c>
      <c r="ET143">
        <f t="shared" si="402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458"/>
        <v>84000</v>
      </c>
      <c r="FF143">
        <f t="shared" si="459"/>
        <v>84000</v>
      </c>
      <c r="FG143">
        <f t="shared" si="460"/>
        <v>428420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403"/>
        <v>0</v>
      </c>
      <c r="FP143">
        <f t="shared" si="461"/>
        <v>428420</v>
      </c>
      <c r="FQ143">
        <f t="shared" si="462"/>
        <v>8921</v>
      </c>
      <c r="FR143">
        <f t="shared" si="463"/>
        <v>0</v>
      </c>
      <c r="FS143">
        <f t="shared" si="464"/>
        <v>8921</v>
      </c>
      <c r="FT143">
        <f t="shared" si="465"/>
        <v>0</v>
      </c>
      <c r="FU143">
        <f t="shared" si="466"/>
        <v>0</v>
      </c>
      <c r="FV143">
        <f t="shared" si="467"/>
        <v>0</v>
      </c>
      <c r="FW143">
        <v>0</v>
      </c>
      <c r="FX143">
        <f t="shared" si="468"/>
        <v>0</v>
      </c>
      <c r="FY143" t="b">
        <f t="shared" si="469"/>
        <v>1</v>
      </c>
      <c r="FZ143">
        <f t="shared" ca="1" si="470"/>
        <v>864</v>
      </c>
      <c r="GA143">
        <f t="shared" ca="1" si="471"/>
        <v>565684</v>
      </c>
      <c r="GB143">
        <f t="shared" si="472"/>
        <v>75000</v>
      </c>
      <c r="GC143">
        <f t="shared" ca="1" si="473"/>
        <v>490684</v>
      </c>
      <c r="GD143">
        <f t="shared" ca="1" si="474"/>
        <v>0</v>
      </c>
      <c r="GE143">
        <f t="shared" ca="1" si="475"/>
        <v>0</v>
      </c>
      <c r="GF143">
        <f t="shared" ca="1" si="476"/>
        <v>0</v>
      </c>
      <c r="GG143">
        <f t="shared" ca="1" si="477"/>
        <v>0</v>
      </c>
      <c r="GH143">
        <f t="shared" ca="1" si="478"/>
        <v>0</v>
      </c>
      <c r="GI143">
        <f t="shared" ca="1" si="479"/>
        <v>0</v>
      </c>
      <c r="GJ143">
        <f t="shared" ca="1" si="404"/>
        <v>0</v>
      </c>
      <c r="GK143">
        <f t="shared" ca="1" si="480"/>
        <v>0</v>
      </c>
      <c r="GL143">
        <f t="shared" ca="1" si="481"/>
        <v>0</v>
      </c>
      <c r="GM143">
        <f t="shared" ca="1" si="482"/>
        <v>0</v>
      </c>
      <c r="GN143">
        <f t="shared" ca="1" si="483"/>
        <v>90684</v>
      </c>
      <c r="GO143">
        <f t="shared" ca="1" si="484"/>
        <v>4534.2</v>
      </c>
      <c r="GP143">
        <f t="shared" ca="1" si="485"/>
        <v>4534</v>
      </c>
      <c r="GQ143">
        <f t="shared" ca="1" si="486"/>
        <v>0</v>
      </c>
      <c r="GR143">
        <f t="shared" ca="1" si="487"/>
        <v>0</v>
      </c>
      <c r="GS143">
        <f t="shared" ca="1" si="488"/>
        <v>4534</v>
      </c>
      <c r="GT143">
        <f t="shared" ca="1" si="489"/>
        <v>0</v>
      </c>
      <c r="GU143" t="b">
        <f t="shared" ca="1" si="490"/>
        <v>0</v>
      </c>
      <c r="GV143">
        <f t="shared" ca="1" si="491"/>
        <v>0</v>
      </c>
      <c r="GW143">
        <f t="shared" ca="1" si="492"/>
        <v>4534</v>
      </c>
      <c r="GX143">
        <f t="shared" ca="1" si="493"/>
        <v>0</v>
      </c>
      <c r="GY143">
        <f t="shared" ca="1" si="494"/>
        <v>0</v>
      </c>
      <c r="GZ143">
        <f t="shared" ca="1" si="495"/>
        <v>0</v>
      </c>
    </row>
    <row r="144" spans="1:208" x14ac:dyDescent="0.3">
      <c r="A144">
        <f>_xlfn.AGGREGATE(3,5,$B$2:B144)</f>
        <v>143</v>
      </c>
      <c r="B144" t="s">
        <v>394</v>
      </c>
      <c r="C144" t="s">
        <v>395</v>
      </c>
      <c r="D144" t="s">
        <v>788</v>
      </c>
      <c r="E144" t="s">
        <v>830</v>
      </c>
      <c r="F144" t="s">
        <v>956</v>
      </c>
      <c r="G144" t="s">
        <v>874</v>
      </c>
      <c r="H144">
        <f t="shared" si="497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412"/>
        <v>4298</v>
      </c>
      <c r="L144">
        <f t="shared" si="413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 t="shared" si="389"/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496"/>
        <v>150</v>
      </c>
      <c r="S144">
        <f t="shared" si="405"/>
        <v>35032</v>
      </c>
      <c r="T144">
        <f>_xlfn.XLOOKUP(B144,'[2]april-2025'!$A:$A,'[2]april-2025'!$C:$C,0,0)</f>
        <v>30700</v>
      </c>
      <c r="U144">
        <f t="shared" si="414"/>
        <v>5526</v>
      </c>
      <c r="V144">
        <f t="shared" si="415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406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416"/>
        <v>200</v>
      </c>
      <c r="AC144">
        <f t="shared" si="417"/>
        <v>36210</v>
      </c>
      <c r="AD144">
        <f>_xlfn.XLOOKUP(B144,'[3]may-2025'!$A:$A,'[3]may-2025'!$C:$C,0,0)</f>
        <v>30700</v>
      </c>
      <c r="AE144">
        <f t="shared" si="418"/>
        <v>5526</v>
      </c>
      <c r="AF144">
        <f t="shared" si="419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407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420"/>
        <v>200</v>
      </c>
      <c r="AM144">
        <f t="shared" si="421"/>
        <v>36210</v>
      </c>
      <c r="AN144">
        <f>_xlfn.XLOOKUP(B144,'[4]june-2025'!$A:$A,'[4]june-2025'!$C:$C,0,0)</f>
        <v>30700</v>
      </c>
      <c r="AO144">
        <f t="shared" si="422"/>
        <v>5526</v>
      </c>
      <c r="AP144">
        <f t="shared" si="423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408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424"/>
        <v>200</v>
      </c>
      <c r="AW144">
        <f t="shared" si="425"/>
        <v>36210</v>
      </c>
      <c r="AX144">
        <f>_xlfn.XLOOKUP(B144,'[5]july-2025'!$A:$A,'[5]july-2025'!$C:$C,0,0)</f>
        <v>31600</v>
      </c>
      <c r="AY144">
        <f t="shared" si="426"/>
        <v>5688</v>
      </c>
      <c r="AZ144">
        <v>0</v>
      </c>
      <c r="BA144">
        <f t="shared" si="427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 t="shared" si="390"/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428"/>
        <v>200</v>
      </c>
      <c r="BH144">
        <f t="shared" si="429"/>
        <v>37380</v>
      </c>
      <c r="BI144">
        <f>_xlfn.XLOOKUP(B144,'[6]august-2025'!$A:$A,'[6]august-2025'!$C:$C,0,0)</f>
        <v>31600</v>
      </c>
      <c r="BJ144">
        <f t="shared" si="430"/>
        <v>5688</v>
      </c>
      <c r="BK144">
        <f t="shared" si="431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432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 t="shared" si="391"/>
        <v>200</v>
      </c>
      <c r="BR144">
        <f t="shared" si="392"/>
        <v>37380</v>
      </c>
      <c r="BS144">
        <f>_xlfn.XLOOKUP(B144,'[7]september-2025'!$A:$A,'[7]september-2025'!$C:$C,0,0)</f>
        <v>31600</v>
      </c>
      <c r="BT144">
        <f t="shared" si="433"/>
        <v>5688</v>
      </c>
      <c r="BU144">
        <f t="shared" si="434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 t="shared" si="393"/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435"/>
        <v>200</v>
      </c>
      <c r="CB144">
        <f t="shared" si="436"/>
        <v>37380</v>
      </c>
      <c r="CC144">
        <f>_xlfn.XLOOKUP(B144,'[8]october-2025'!$A:$A,'[8]october-2025'!$C:$C,0,0)</f>
        <v>31600</v>
      </c>
      <c r="CD144">
        <f t="shared" si="437"/>
        <v>5688</v>
      </c>
      <c r="CE144">
        <f t="shared" si="438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 t="shared" si="394"/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439"/>
        <v>200</v>
      </c>
      <c r="CL144">
        <f t="shared" si="440"/>
        <v>37380</v>
      </c>
      <c r="CM144">
        <f>_xlfn.XLOOKUP(B144,'[9]november-2025'!$A:$A,'[9]november-2025'!$C:$C,0,0)</f>
        <v>31600</v>
      </c>
      <c r="CN144">
        <f t="shared" si="441"/>
        <v>5688</v>
      </c>
      <c r="CO144">
        <f t="shared" si="442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 t="shared" si="395"/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443"/>
        <v>200</v>
      </c>
      <c r="CV144">
        <f t="shared" si="444"/>
        <v>37380</v>
      </c>
      <c r="CW144">
        <f>_xlfn.XLOOKUP(B144,'[10]december-2025'!$A:$A,'[10]december-2025'!$C:$C,0,0)</f>
        <v>31600</v>
      </c>
      <c r="CX144">
        <f t="shared" si="445"/>
        <v>5688</v>
      </c>
      <c r="CY144">
        <f t="shared" si="446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 t="shared" si="396"/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447"/>
        <v>200</v>
      </c>
      <c r="DF144">
        <f t="shared" si="448"/>
        <v>37380</v>
      </c>
      <c r="DG144">
        <f>_xlfn.XLOOKUP(B144,'[11]january-2026'!$A:$A,'[11]january-2026'!$C:$C,0,0)</f>
        <v>31600</v>
      </c>
      <c r="DH144">
        <f t="shared" si="449"/>
        <v>5688</v>
      </c>
      <c r="DI144">
        <f t="shared" si="450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397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51"/>
        <v>200</v>
      </c>
      <c r="DP144">
        <f t="shared" si="452"/>
        <v>37380</v>
      </c>
      <c r="DQ144">
        <f>_xlfn.XLOOKUP(B144,'[12]february-2026'!$A:$A,'[12]february-2026'!$C:$C,0,0)</f>
        <v>31600</v>
      </c>
      <c r="DR144">
        <f t="shared" si="453"/>
        <v>5688</v>
      </c>
      <c r="DS144">
        <f t="shared" si="454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398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55"/>
        <v>200</v>
      </c>
      <c r="DZ144">
        <f t="shared" si="456"/>
        <v>37380</v>
      </c>
      <c r="EA144">
        <f>_xlfn.XLOOKUP(B144,'[1]march-2025'!$A:$A,'[1]march-2025'!$J:$J,0,0)</f>
        <v>0</v>
      </c>
      <c r="EB144">
        <f>_xlfn.XLOOKUP(B144,'[2]april-2025'!$A:$A,'[2]april-2025'!$J:$J,0,0)</f>
        <v>0</v>
      </c>
      <c r="EC144">
        <f>_xlfn.XLOOKUP(B144,'[3]may-2025'!$A:$A,'[3]may-2025'!$J:$J,0,0)</f>
        <v>0</v>
      </c>
      <c r="ED144">
        <f>_xlfn.XLOOKUP(B144,'[4]june-2025'!$A:$A,'[4]june-2025'!$J:$J,0,0)</f>
        <v>0</v>
      </c>
      <c r="EE144">
        <f>_xlfn.XLOOKUP(B144,'[5]july-2025'!$A:$A,'[5]july-2025'!$J:$J,0,0)</f>
        <v>0</v>
      </c>
      <c r="EF144">
        <f>_xlfn.XLOOKUP(B144,'[6]august-2025'!$A:$A,'[6]august-2025'!$J:$J,0,0)</f>
        <v>0</v>
      </c>
      <c r="EG144">
        <f>_xlfn.XLOOKUP(B144,'[7]september-2025'!$A:$A,'[7]september-2025'!$J:$J,0,0)</f>
        <v>0</v>
      </c>
      <c r="EH144">
        <f>_xlfn.XLOOKUP(B144,'[8]october-2025'!$A:$A,'[8]october-2025'!$J:$J,0,0)</f>
        <v>0</v>
      </c>
      <c r="EI144">
        <f>_xlfn.XLOOKUP(C144,'[9]november-2025'!$A:$A,'[9]november-2025'!$J:$J,0,0)</f>
        <v>0</v>
      </c>
      <c r="EJ144">
        <f>_xlfn.XLOOKUP(B144,'[10]december-2025'!$A:$A,'[10]december-2025'!$J:$J,0,0)</f>
        <v>0</v>
      </c>
      <c r="EK144">
        <f>_xlfn.XLOOKUP(B144,'[11]january-2026'!$A:$A,'[11]january-2026'!$J:$J,0,0)</f>
        <v>0</v>
      </c>
      <c r="EL144">
        <f>_xlfn.XLOOKUP(B144,'[12]february-2026'!$A:$A,'[12]february-2026'!$J:$J,0,0)</f>
        <v>0</v>
      </c>
      <c r="EM144">
        <f t="shared" si="409"/>
        <v>0</v>
      </c>
      <c r="EN144">
        <f t="shared" si="399"/>
        <v>499852</v>
      </c>
      <c r="EO144">
        <f t="shared" si="400"/>
        <v>2350</v>
      </c>
      <c r="EP144">
        <f t="shared" si="457"/>
        <v>50000</v>
      </c>
      <c r="EQ144">
        <v>0</v>
      </c>
      <c r="ER144">
        <f t="shared" si="410"/>
        <v>447502</v>
      </c>
      <c r="ES144">
        <f t="shared" si="401"/>
        <v>48000</v>
      </c>
      <c r="ET144">
        <f t="shared" si="402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458"/>
        <v>48000</v>
      </c>
      <c r="FF144">
        <f t="shared" si="459"/>
        <v>48000</v>
      </c>
      <c r="FG144">
        <f t="shared" si="460"/>
        <v>399502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403"/>
        <v>0</v>
      </c>
      <c r="FP144">
        <f t="shared" si="461"/>
        <v>399502</v>
      </c>
      <c r="FQ144">
        <f t="shared" si="462"/>
        <v>7475</v>
      </c>
      <c r="FR144">
        <f t="shared" si="463"/>
        <v>0</v>
      </c>
      <c r="FS144">
        <f t="shared" si="464"/>
        <v>7475</v>
      </c>
      <c r="FT144">
        <f t="shared" si="465"/>
        <v>0</v>
      </c>
      <c r="FU144">
        <f t="shared" si="466"/>
        <v>0</v>
      </c>
      <c r="FV144">
        <f t="shared" si="467"/>
        <v>0</v>
      </c>
      <c r="FW144">
        <v>0</v>
      </c>
      <c r="FX144">
        <f t="shared" si="468"/>
        <v>0</v>
      </c>
      <c r="FY144" t="b">
        <f t="shared" si="469"/>
        <v>0</v>
      </c>
      <c r="FZ144">
        <f t="shared" ca="1" si="470"/>
        <v>2632</v>
      </c>
      <c r="GA144">
        <f t="shared" ca="1" si="471"/>
        <v>502484</v>
      </c>
      <c r="GB144">
        <f t="shared" si="472"/>
        <v>75000</v>
      </c>
      <c r="GC144">
        <f t="shared" ca="1" si="473"/>
        <v>427484</v>
      </c>
      <c r="GD144">
        <f t="shared" ca="1" si="474"/>
        <v>0</v>
      </c>
      <c r="GE144">
        <f t="shared" ca="1" si="475"/>
        <v>0</v>
      </c>
      <c r="GF144">
        <f t="shared" ca="1" si="476"/>
        <v>0</v>
      </c>
      <c r="GG144">
        <f t="shared" ca="1" si="477"/>
        <v>0</v>
      </c>
      <c r="GH144">
        <f t="shared" ca="1" si="478"/>
        <v>0</v>
      </c>
      <c r="GI144">
        <f t="shared" ca="1" si="479"/>
        <v>0</v>
      </c>
      <c r="GJ144">
        <f t="shared" ca="1" si="404"/>
        <v>0</v>
      </c>
      <c r="GK144">
        <f t="shared" ca="1" si="480"/>
        <v>0</v>
      </c>
      <c r="GL144">
        <f t="shared" ca="1" si="481"/>
        <v>0</v>
      </c>
      <c r="GM144">
        <f t="shared" ca="1" si="482"/>
        <v>0</v>
      </c>
      <c r="GN144">
        <f t="shared" ca="1" si="483"/>
        <v>27484</v>
      </c>
      <c r="GO144">
        <f t="shared" ca="1" si="484"/>
        <v>1374.2</v>
      </c>
      <c r="GP144">
        <f t="shared" ca="1" si="485"/>
        <v>1374</v>
      </c>
      <c r="GQ144">
        <f t="shared" ca="1" si="486"/>
        <v>0</v>
      </c>
      <c r="GR144">
        <f t="shared" ca="1" si="487"/>
        <v>0</v>
      </c>
      <c r="GS144">
        <f t="shared" ca="1" si="488"/>
        <v>1374</v>
      </c>
      <c r="GT144">
        <f t="shared" ca="1" si="489"/>
        <v>0</v>
      </c>
      <c r="GU144" t="b">
        <f t="shared" ca="1" si="490"/>
        <v>0</v>
      </c>
      <c r="GV144">
        <f t="shared" ca="1" si="491"/>
        <v>0</v>
      </c>
      <c r="GW144">
        <f t="shared" ca="1" si="492"/>
        <v>1374</v>
      </c>
      <c r="GX144">
        <f t="shared" ca="1" si="493"/>
        <v>0</v>
      </c>
      <c r="GY144">
        <f t="shared" ca="1" si="494"/>
        <v>0</v>
      </c>
      <c r="GZ144">
        <f t="shared" ca="1" si="495"/>
        <v>0</v>
      </c>
    </row>
    <row r="145" spans="1:208" x14ac:dyDescent="0.3">
      <c r="A145">
        <f>_xlfn.AGGREGATE(3,5,$B$2:B145)</f>
        <v>144</v>
      </c>
      <c r="B145" t="s">
        <v>396</v>
      </c>
      <c r="C145" t="s">
        <v>989</v>
      </c>
      <c r="D145" t="s">
        <v>788</v>
      </c>
      <c r="E145" t="s">
        <v>830</v>
      </c>
      <c r="F145" t="s">
        <v>956</v>
      </c>
      <c r="G145" t="s">
        <v>929</v>
      </c>
      <c r="H145">
        <f t="shared" si="497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412"/>
        <v>4046.0000000000005</v>
      </c>
      <c r="L145">
        <f t="shared" si="413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389"/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496"/>
        <v>150</v>
      </c>
      <c r="S145">
        <f t="shared" si="405"/>
        <v>34264</v>
      </c>
      <c r="T145">
        <f>_xlfn.XLOOKUP(B145,'[2]april-2025'!$A:$A,'[2]april-2025'!$C:$C,0,0)</f>
        <v>28900</v>
      </c>
      <c r="U145">
        <f t="shared" si="414"/>
        <v>5202</v>
      </c>
      <c r="V145">
        <f t="shared" si="415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406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416"/>
        <v>150</v>
      </c>
      <c r="AC145">
        <f t="shared" si="417"/>
        <v>35420</v>
      </c>
      <c r="AD145">
        <f>_xlfn.XLOOKUP(B145,'[3]may-2025'!$A:$A,'[3]may-2025'!$C:$C,0,0)</f>
        <v>28900</v>
      </c>
      <c r="AE145">
        <f t="shared" si="418"/>
        <v>5202</v>
      </c>
      <c r="AF145">
        <f t="shared" si="419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407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420"/>
        <v>150</v>
      </c>
      <c r="AM145">
        <f t="shared" si="421"/>
        <v>35420</v>
      </c>
      <c r="AN145">
        <f>_xlfn.XLOOKUP(B145,'[4]june-2025'!$A:$A,'[4]june-2025'!$C:$C,0,0)</f>
        <v>28900</v>
      </c>
      <c r="AO145">
        <f t="shared" si="422"/>
        <v>5202</v>
      </c>
      <c r="AP145">
        <f t="shared" si="423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408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424"/>
        <v>150</v>
      </c>
      <c r="AW145">
        <f t="shared" si="425"/>
        <v>35420</v>
      </c>
      <c r="AX145">
        <f>_xlfn.XLOOKUP(B145,'[5]july-2025'!$A:$A,'[5]july-2025'!$C:$C,0,0)</f>
        <v>29800</v>
      </c>
      <c r="AY145">
        <f t="shared" si="426"/>
        <v>5364</v>
      </c>
      <c r="AZ145">
        <v>0</v>
      </c>
      <c r="BA145">
        <f t="shared" si="427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390"/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428"/>
        <v>150</v>
      </c>
      <c r="BH145">
        <f t="shared" si="429"/>
        <v>36590</v>
      </c>
      <c r="BI145">
        <f>_xlfn.XLOOKUP(B145,'[6]august-2025'!$A:$A,'[6]august-2025'!$C:$C,0,0)</f>
        <v>29800</v>
      </c>
      <c r="BJ145">
        <f t="shared" si="430"/>
        <v>5364</v>
      </c>
      <c r="BK145">
        <f t="shared" si="431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432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 t="shared" si="391"/>
        <v>150</v>
      </c>
      <c r="BR145">
        <f t="shared" si="392"/>
        <v>36590</v>
      </c>
      <c r="BS145">
        <f>_xlfn.XLOOKUP(B145,'[7]september-2025'!$A:$A,'[7]september-2025'!$C:$C,0,0)</f>
        <v>29800</v>
      </c>
      <c r="BT145">
        <f t="shared" si="433"/>
        <v>5364</v>
      </c>
      <c r="BU145">
        <f t="shared" si="434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393"/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435"/>
        <v>150</v>
      </c>
      <c r="CB145">
        <f t="shared" si="436"/>
        <v>36590</v>
      </c>
      <c r="CC145">
        <f>_xlfn.XLOOKUP(B145,'[8]october-2025'!$A:$A,'[8]october-2025'!$C:$C,0,0)</f>
        <v>29800</v>
      </c>
      <c r="CD145">
        <f t="shared" si="437"/>
        <v>5364</v>
      </c>
      <c r="CE145">
        <f t="shared" si="438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394"/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439"/>
        <v>150</v>
      </c>
      <c r="CL145">
        <f t="shared" si="440"/>
        <v>36590</v>
      </c>
      <c r="CM145">
        <f>_xlfn.XLOOKUP(B145,'[9]november-2025'!$A:$A,'[9]november-2025'!$C:$C,0,0)</f>
        <v>29800</v>
      </c>
      <c r="CN145">
        <f t="shared" si="441"/>
        <v>5364</v>
      </c>
      <c r="CO145">
        <f t="shared" si="442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395"/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443"/>
        <v>150</v>
      </c>
      <c r="CV145">
        <f t="shared" si="444"/>
        <v>36590</v>
      </c>
      <c r="CW145">
        <f>_xlfn.XLOOKUP(B145,'[10]december-2025'!$A:$A,'[10]december-2025'!$C:$C,0,0)</f>
        <v>29800</v>
      </c>
      <c r="CX145">
        <f t="shared" si="445"/>
        <v>5364</v>
      </c>
      <c r="CY145">
        <f t="shared" si="446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396"/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447"/>
        <v>150</v>
      </c>
      <c r="DF145">
        <f t="shared" si="448"/>
        <v>36590</v>
      </c>
      <c r="DG145">
        <f>_xlfn.XLOOKUP(B145,'[11]january-2026'!$A:$A,'[11]january-2026'!$C:$C,0,0)</f>
        <v>29800</v>
      </c>
      <c r="DH145">
        <f t="shared" si="449"/>
        <v>5364</v>
      </c>
      <c r="DI145">
        <f t="shared" si="450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397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51"/>
        <v>150</v>
      </c>
      <c r="DP145">
        <f t="shared" si="452"/>
        <v>36590</v>
      </c>
      <c r="DQ145">
        <f>_xlfn.XLOOKUP(B145,'[12]february-2026'!$A:$A,'[12]february-2026'!$C:$C,0,0)</f>
        <v>29800</v>
      </c>
      <c r="DR145">
        <f t="shared" si="453"/>
        <v>5364</v>
      </c>
      <c r="DS145">
        <f t="shared" si="454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398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55"/>
        <v>150</v>
      </c>
      <c r="DZ145">
        <f t="shared" si="456"/>
        <v>36590</v>
      </c>
      <c r="EA145">
        <f>_xlfn.XLOOKUP(B145,'[1]march-2025'!$A:$A,'[1]march-2025'!$J:$J,0,0)</f>
        <v>0</v>
      </c>
      <c r="EB145">
        <f>_xlfn.XLOOKUP(B145,'[2]april-2025'!$A:$A,'[2]april-2025'!$J:$J,0,0)</f>
        <v>0</v>
      </c>
      <c r="EC145">
        <f>_xlfn.XLOOKUP(B145,'[3]may-2025'!$A:$A,'[3]may-2025'!$J:$J,0,0)</f>
        <v>28284</v>
      </c>
      <c r="ED145">
        <f>_xlfn.XLOOKUP(B145,'[4]june-2025'!$A:$A,'[4]june-2025'!$J:$J,0,0)</f>
        <v>0</v>
      </c>
      <c r="EE145">
        <f>_xlfn.XLOOKUP(B145,'[5]july-2025'!$A:$A,'[5]july-2025'!$J:$J,0,0)</f>
        <v>0</v>
      </c>
      <c r="EF145">
        <f>_xlfn.XLOOKUP(B145,'[6]august-2025'!$A:$A,'[6]august-2025'!$J:$J,0,0)</f>
        <v>0</v>
      </c>
      <c r="EG145">
        <f>_xlfn.XLOOKUP(B145,'[7]september-2025'!$A:$A,'[7]september-2025'!$J:$J,0,0)</f>
        <v>0</v>
      </c>
      <c r="EH145">
        <f>_xlfn.XLOOKUP(B145,'[8]october-2025'!$A:$A,'[8]october-2025'!$J:$J,0,0)</f>
        <v>0</v>
      </c>
      <c r="EI145">
        <f>_xlfn.XLOOKUP(C145,'[9]november-2025'!$A:$A,'[9]november-2025'!$J:$J,0,0)</f>
        <v>0</v>
      </c>
      <c r="EJ145">
        <f>_xlfn.XLOOKUP(B145,'[10]december-2025'!$A:$A,'[10]december-2025'!$J:$J,0,0)</f>
        <v>0</v>
      </c>
      <c r="EK145">
        <f>_xlfn.XLOOKUP(B145,'[11]january-2026'!$A:$A,'[11]january-2026'!$J:$J,0,0)</f>
        <v>0</v>
      </c>
      <c r="EL145">
        <f>_xlfn.XLOOKUP(B145,'[12]february-2026'!$A:$A,'[12]february-2026'!$J:$J,0,0)</f>
        <v>0</v>
      </c>
      <c r="EM145">
        <f t="shared" si="409"/>
        <v>28284</v>
      </c>
      <c r="EN145">
        <f t="shared" si="399"/>
        <v>465844</v>
      </c>
      <c r="EO145">
        <f t="shared" si="400"/>
        <v>1800</v>
      </c>
      <c r="EP145">
        <f t="shared" si="457"/>
        <v>50000</v>
      </c>
      <c r="EQ145">
        <v>0</v>
      </c>
      <c r="ER145">
        <f t="shared" si="410"/>
        <v>442328</v>
      </c>
      <c r="ES145">
        <f t="shared" si="401"/>
        <v>24000</v>
      </c>
      <c r="ET145">
        <f t="shared" si="402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458"/>
        <v>24000</v>
      </c>
      <c r="FF145">
        <f t="shared" si="459"/>
        <v>24000</v>
      </c>
      <c r="FG145">
        <f t="shared" si="460"/>
        <v>418328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403"/>
        <v>0</v>
      </c>
      <c r="FP145">
        <f t="shared" si="461"/>
        <v>418328</v>
      </c>
      <c r="FQ145">
        <f t="shared" si="462"/>
        <v>8416</v>
      </c>
      <c r="FR145">
        <f t="shared" si="463"/>
        <v>0</v>
      </c>
      <c r="FS145">
        <f t="shared" si="464"/>
        <v>8416</v>
      </c>
      <c r="FT145">
        <f t="shared" si="465"/>
        <v>0</v>
      </c>
      <c r="FU145">
        <f t="shared" si="466"/>
        <v>0</v>
      </c>
      <c r="FV145">
        <f t="shared" si="467"/>
        <v>0</v>
      </c>
      <c r="FW145">
        <v>0</v>
      </c>
      <c r="FX145">
        <f t="shared" si="468"/>
        <v>0</v>
      </c>
      <c r="FY145" t="b">
        <f t="shared" si="469"/>
        <v>0</v>
      </c>
      <c r="FZ145">
        <f t="shared" ca="1" si="470"/>
        <v>2463</v>
      </c>
      <c r="GA145">
        <f t="shared" ca="1" si="471"/>
        <v>468307</v>
      </c>
      <c r="GB145">
        <f t="shared" si="472"/>
        <v>75000</v>
      </c>
      <c r="GC145">
        <f t="shared" ca="1" si="473"/>
        <v>393307</v>
      </c>
      <c r="GD145">
        <f t="shared" ca="1" si="474"/>
        <v>0</v>
      </c>
      <c r="GE145">
        <f t="shared" ca="1" si="475"/>
        <v>0</v>
      </c>
      <c r="GF145">
        <f t="shared" ca="1" si="476"/>
        <v>0</v>
      </c>
      <c r="GG145">
        <f t="shared" ca="1" si="477"/>
        <v>0</v>
      </c>
      <c r="GH145">
        <f t="shared" ca="1" si="478"/>
        <v>0</v>
      </c>
      <c r="GI145">
        <f t="shared" ca="1" si="479"/>
        <v>0</v>
      </c>
      <c r="GJ145">
        <f t="shared" ca="1" si="404"/>
        <v>0</v>
      </c>
      <c r="GK145">
        <f t="shared" ca="1" si="480"/>
        <v>0</v>
      </c>
      <c r="GL145">
        <f t="shared" ca="1" si="481"/>
        <v>0</v>
      </c>
      <c r="GM145">
        <f t="shared" ca="1" si="482"/>
        <v>0</v>
      </c>
      <c r="GN145">
        <f t="shared" ca="1" si="483"/>
        <v>0</v>
      </c>
      <c r="GO145">
        <f t="shared" ca="1" si="484"/>
        <v>0</v>
      </c>
      <c r="GP145">
        <f t="shared" ca="1" si="485"/>
        <v>0</v>
      </c>
      <c r="GQ145">
        <f t="shared" ca="1" si="486"/>
        <v>0</v>
      </c>
      <c r="GR145">
        <f t="shared" ca="1" si="487"/>
        <v>0</v>
      </c>
      <c r="GS145">
        <f t="shared" ca="1" si="488"/>
        <v>0</v>
      </c>
      <c r="GT145">
        <f t="shared" ca="1" si="489"/>
        <v>0</v>
      </c>
      <c r="GU145" t="b">
        <f t="shared" ca="1" si="490"/>
        <v>0</v>
      </c>
      <c r="GV145">
        <f t="shared" ca="1" si="491"/>
        <v>0</v>
      </c>
      <c r="GW145">
        <f t="shared" ca="1" si="492"/>
        <v>0</v>
      </c>
      <c r="GX145">
        <f t="shared" ca="1" si="493"/>
        <v>0</v>
      </c>
      <c r="GY145">
        <f t="shared" ca="1" si="494"/>
        <v>0</v>
      </c>
      <c r="GZ145">
        <f t="shared" ca="1" si="495"/>
        <v>0</v>
      </c>
    </row>
    <row r="146" spans="1:208" x14ac:dyDescent="0.3">
      <c r="A146">
        <f>_xlfn.AGGREGATE(3,5,$B$2:B146)</f>
        <v>145</v>
      </c>
      <c r="B146" t="s">
        <v>397</v>
      </c>
      <c r="C146" t="s">
        <v>398</v>
      </c>
      <c r="D146" t="s">
        <v>789</v>
      </c>
      <c r="E146" t="s">
        <v>830</v>
      </c>
      <c r="F146" t="s">
        <v>956</v>
      </c>
      <c r="G146" t="s">
        <v>898</v>
      </c>
      <c r="H146">
        <f t="shared" si="497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412"/>
        <v>6818.0000000000009</v>
      </c>
      <c r="L146">
        <f t="shared" si="413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 t="shared" si="389"/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496"/>
        <v>200</v>
      </c>
      <c r="S146">
        <f t="shared" si="405"/>
        <v>55062</v>
      </c>
      <c r="T146">
        <f>_xlfn.XLOOKUP(B146,'[2]april-2025'!$A:$A,'[2]april-2025'!$C:$C,0,0)</f>
        <v>48700</v>
      </c>
      <c r="U146">
        <f t="shared" si="414"/>
        <v>8766</v>
      </c>
      <c r="V146">
        <f t="shared" si="415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406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416"/>
        <v>200</v>
      </c>
      <c r="AC146">
        <f t="shared" si="417"/>
        <v>57010</v>
      </c>
      <c r="AD146">
        <f>_xlfn.XLOOKUP(B146,'[3]may-2025'!$A:$A,'[3]may-2025'!$C:$C,0,0)</f>
        <v>48700</v>
      </c>
      <c r="AE146">
        <f t="shared" si="418"/>
        <v>8766</v>
      </c>
      <c r="AF146">
        <f t="shared" si="419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407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420"/>
        <v>200</v>
      </c>
      <c r="AM146">
        <f t="shared" si="421"/>
        <v>57010</v>
      </c>
      <c r="AN146">
        <f>_xlfn.XLOOKUP(B146,'[4]june-2025'!$A:$A,'[4]june-2025'!$C:$C,0,0)</f>
        <v>48700</v>
      </c>
      <c r="AO146">
        <f t="shared" si="422"/>
        <v>8766</v>
      </c>
      <c r="AP146">
        <f t="shared" si="423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408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424"/>
        <v>200</v>
      </c>
      <c r="AW146">
        <f t="shared" si="425"/>
        <v>57010</v>
      </c>
      <c r="AX146">
        <f>_xlfn.XLOOKUP(B146,'[5]july-2025'!$A:$A,'[5]july-2025'!$C:$C,0,0)</f>
        <v>51700</v>
      </c>
      <c r="AY146">
        <f t="shared" si="426"/>
        <v>9306</v>
      </c>
      <c r="AZ146">
        <v>0</v>
      </c>
      <c r="BA146">
        <f t="shared" si="427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 t="shared" si="390"/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428"/>
        <v>200</v>
      </c>
      <c r="BH146">
        <f t="shared" si="429"/>
        <v>60910</v>
      </c>
      <c r="BI146">
        <f>_xlfn.XLOOKUP(B146,'[6]august-2025'!$A:$A,'[6]august-2025'!$C:$C,0,0)</f>
        <v>51700</v>
      </c>
      <c r="BJ146">
        <f t="shared" si="430"/>
        <v>9306</v>
      </c>
      <c r="BK146">
        <f t="shared" si="431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432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 t="shared" si="391"/>
        <v>200</v>
      </c>
      <c r="BR146">
        <f t="shared" si="392"/>
        <v>60910</v>
      </c>
      <c r="BS146">
        <f>_xlfn.XLOOKUP(B146,'[7]september-2025'!$A:$A,'[7]september-2025'!$C:$C,0,0)</f>
        <v>51700</v>
      </c>
      <c r="BT146">
        <f t="shared" si="433"/>
        <v>9306</v>
      </c>
      <c r="BU146">
        <f t="shared" si="434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 t="shared" si="393"/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435"/>
        <v>200</v>
      </c>
      <c r="CB146">
        <f t="shared" si="436"/>
        <v>60910</v>
      </c>
      <c r="CC146">
        <f>_xlfn.XLOOKUP(B146,'[8]october-2025'!$A:$A,'[8]october-2025'!$C:$C,0,0)</f>
        <v>51700</v>
      </c>
      <c r="CD146">
        <f t="shared" si="437"/>
        <v>9306</v>
      </c>
      <c r="CE146">
        <f t="shared" si="438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 t="shared" si="394"/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439"/>
        <v>200</v>
      </c>
      <c r="CL146">
        <f t="shared" si="440"/>
        <v>60910</v>
      </c>
      <c r="CM146">
        <f>_xlfn.XLOOKUP(B146,'[9]november-2025'!$A:$A,'[9]november-2025'!$C:$C,0,0)</f>
        <v>51700</v>
      </c>
      <c r="CN146">
        <f t="shared" si="441"/>
        <v>9306</v>
      </c>
      <c r="CO146">
        <f t="shared" si="442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 t="shared" si="395"/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443"/>
        <v>200</v>
      </c>
      <c r="CV146">
        <f t="shared" si="444"/>
        <v>60910</v>
      </c>
      <c r="CW146">
        <f>_xlfn.XLOOKUP(B146,'[10]december-2025'!$A:$A,'[10]december-2025'!$C:$C,0,0)</f>
        <v>51700</v>
      </c>
      <c r="CX146">
        <f t="shared" si="445"/>
        <v>9306</v>
      </c>
      <c r="CY146">
        <f t="shared" si="446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 t="shared" si="396"/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447"/>
        <v>200</v>
      </c>
      <c r="DF146">
        <f t="shared" si="448"/>
        <v>60910</v>
      </c>
      <c r="DG146">
        <f>_xlfn.XLOOKUP(B146,'[11]january-2026'!$A:$A,'[11]january-2026'!$C:$C,0,0)</f>
        <v>51700</v>
      </c>
      <c r="DH146">
        <f t="shared" si="449"/>
        <v>9306</v>
      </c>
      <c r="DI146">
        <f t="shared" si="450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397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51"/>
        <v>200</v>
      </c>
      <c r="DP146">
        <f t="shared" si="452"/>
        <v>60910</v>
      </c>
      <c r="DQ146">
        <f>_xlfn.XLOOKUP(B146,'[12]february-2026'!$A:$A,'[12]february-2026'!$C:$C,0,0)</f>
        <v>51700</v>
      </c>
      <c r="DR146">
        <f t="shared" si="453"/>
        <v>9306</v>
      </c>
      <c r="DS146">
        <f t="shared" si="454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398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55"/>
        <v>200</v>
      </c>
      <c r="DZ146">
        <f t="shared" si="456"/>
        <v>60910</v>
      </c>
      <c r="EA146">
        <f>_xlfn.XLOOKUP(B146,'[1]march-2025'!$A:$A,'[1]march-2025'!$J:$J,0,0)</f>
        <v>0</v>
      </c>
      <c r="EB146">
        <f>_xlfn.XLOOKUP(B146,'[2]april-2025'!$A:$A,'[2]april-2025'!$J:$J,0,0)</f>
        <v>0</v>
      </c>
      <c r="EC146">
        <f>_xlfn.XLOOKUP(B146,'[3]may-2025'!$A:$A,'[3]may-2025'!$J:$J,0,0)</f>
        <v>0</v>
      </c>
      <c r="ED146">
        <f>_xlfn.XLOOKUP(B146,'[4]june-2025'!$A:$A,'[4]june-2025'!$J:$J,0,0)</f>
        <v>0</v>
      </c>
      <c r="EE146">
        <f>_xlfn.XLOOKUP(B146,'[5]july-2025'!$A:$A,'[5]july-2025'!$J:$J,0,0)</f>
        <v>0</v>
      </c>
      <c r="EF146">
        <f>_xlfn.XLOOKUP(B146,'[6]august-2025'!$A:$A,'[6]august-2025'!$J:$J,0,0)</f>
        <v>0</v>
      </c>
      <c r="EG146">
        <f>_xlfn.XLOOKUP(B146,'[7]september-2025'!$A:$A,'[7]september-2025'!$J:$J,0,0)</f>
        <v>0</v>
      </c>
      <c r="EH146">
        <f>_xlfn.XLOOKUP(B146,'[8]october-2025'!$A:$A,'[8]october-2025'!$J:$J,0,0)</f>
        <v>0</v>
      </c>
      <c r="EI146">
        <f>_xlfn.XLOOKUP(C146,'[9]november-2025'!$A:$A,'[9]november-2025'!$J:$J,0,0)</f>
        <v>0</v>
      </c>
      <c r="EJ146">
        <f>_xlfn.XLOOKUP(B146,'[10]december-2025'!$A:$A,'[10]december-2025'!$J:$J,0,0)</f>
        <v>0</v>
      </c>
      <c r="EK146">
        <f>_xlfn.XLOOKUP(B146,'[11]january-2026'!$A:$A,'[11]january-2026'!$J:$J,0,0)</f>
        <v>0</v>
      </c>
      <c r="EL146">
        <f>_xlfn.XLOOKUP(B146,'[12]february-2026'!$A:$A,'[12]february-2026'!$J:$J,0,0)</f>
        <v>0</v>
      </c>
      <c r="EM146">
        <f t="shared" si="409"/>
        <v>0</v>
      </c>
      <c r="EN146">
        <f t="shared" si="399"/>
        <v>806572</v>
      </c>
      <c r="EO146">
        <f t="shared" si="400"/>
        <v>2400</v>
      </c>
      <c r="EP146">
        <f t="shared" si="457"/>
        <v>50000</v>
      </c>
      <c r="EQ146">
        <v>0</v>
      </c>
      <c r="ER146">
        <f t="shared" si="410"/>
        <v>754172</v>
      </c>
      <c r="ES146">
        <f t="shared" si="401"/>
        <v>84000</v>
      </c>
      <c r="ET146">
        <f t="shared" si="402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458"/>
        <v>84000</v>
      </c>
      <c r="FF146">
        <f t="shared" si="459"/>
        <v>84000</v>
      </c>
      <c r="FG146">
        <f t="shared" si="460"/>
        <v>670172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403"/>
        <v>0</v>
      </c>
      <c r="FP146">
        <f t="shared" si="461"/>
        <v>670172</v>
      </c>
      <c r="FQ146">
        <f t="shared" si="462"/>
        <v>12500</v>
      </c>
      <c r="FR146">
        <f t="shared" si="463"/>
        <v>34034</v>
      </c>
      <c r="FS146">
        <f t="shared" si="464"/>
        <v>46534</v>
      </c>
      <c r="FT146">
        <f t="shared" si="465"/>
        <v>46534</v>
      </c>
      <c r="FU146">
        <f t="shared" si="466"/>
        <v>1861.3600000000001</v>
      </c>
      <c r="FV146">
        <f t="shared" si="467"/>
        <v>48395</v>
      </c>
      <c r="FW146">
        <v>0</v>
      </c>
      <c r="FX146">
        <f t="shared" si="468"/>
        <v>48395</v>
      </c>
      <c r="FY146" t="b">
        <f t="shared" si="469"/>
        <v>1</v>
      </c>
      <c r="FZ146">
        <f t="shared" ca="1" si="470"/>
        <v>722</v>
      </c>
      <c r="GA146">
        <f t="shared" ca="1" si="471"/>
        <v>807294</v>
      </c>
      <c r="GB146">
        <f t="shared" si="472"/>
        <v>75000</v>
      </c>
      <c r="GC146">
        <f t="shared" ca="1" si="473"/>
        <v>732294</v>
      </c>
      <c r="GD146">
        <f t="shared" ca="1" si="474"/>
        <v>0</v>
      </c>
      <c r="GE146">
        <f t="shared" ca="1" si="475"/>
        <v>0</v>
      </c>
      <c r="GF146">
        <f t="shared" ca="1" si="476"/>
        <v>0</v>
      </c>
      <c r="GG146">
        <f t="shared" ca="1" si="477"/>
        <v>0</v>
      </c>
      <c r="GH146">
        <f t="shared" ca="1" si="478"/>
        <v>0</v>
      </c>
      <c r="GI146">
        <f t="shared" ca="1" si="479"/>
        <v>0</v>
      </c>
      <c r="GJ146">
        <f t="shared" ca="1" si="404"/>
        <v>0</v>
      </c>
      <c r="GK146">
        <f t="shared" ca="1" si="480"/>
        <v>0</v>
      </c>
      <c r="GL146">
        <f t="shared" ca="1" si="481"/>
        <v>0</v>
      </c>
      <c r="GM146">
        <f t="shared" ca="1" si="482"/>
        <v>0</v>
      </c>
      <c r="GN146">
        <f t="shared" ca="1" si="483"/>
        <v>332294</v>
      </c>
      <c r="GO146">
        <f t="shared" ca="1" si="484"/>
        <v>16614.7</v>
      </c>
      <c r="GP146">
        <f t="shared" ca="1" si="485"/>
        <v>16615</v>
      </c>
      <c r="GQ146">
        <f t="shared" ca="1" si="486"/>
        <v>0</v>
      </c>
      <c r="GR146">
        <f t="shared" ca="1" si="487"/>
        <v>0</v>
      </c>
      <c r="GS146">
        <f t="shared" ca="1" si="488"/>
        <v>16615</v>
      </c>
      <c r="GT146">
        <f t="shared" ca="1" si="489"/>
        <v>0</v>
      </c>
      <c r="GU146" t="b">
        <f t="shared" ca="1" si="490"/>
        <v>0</v>
      </c>
      <c r="GV146">
        <f t="shared" ca="1" si="491"/>
        <v>0</v>
      </c>
      <c r="GW146">
        <f t="shared" ca="1" si="492"/>
        <v>16615</v>
      </c>
      <c r="GX146">
        <f t="shared" ca="1" si="493"/>
        <v>0</v>
      </c>
      <c r="GY146">
        <f t="shared" ca="1" si="494"/>
        <v>0</v>
      </c>
      <c r="GZ146">
        <f t="shared" ca="1" si="495"/>
        <v>0</v>
      </c>
    </row>
    <row r="147" spans="1:208" x14ac:dyDescent="0.3">
      <c r="A147">
        <f>_xlfn.AGGREGATE(3,5,$B$2:B147)</f>
        <v>146</v>
      </c>
      <c r="B147" t="s">
        <v>399</v>
      </c>
      <c r="C147" t="s">
        <v>400</v>
      </c>
      <c r="D147" t="s">
        <v>789</v>
      </c>
      <c r="E147" t="s">
        <v>830</v>
      </c>
      <c r="F147" t="s">
        <v>957</v>
      </c>
      <c r="G147" t="s">
        <v>887</v>
      </c>
      <c r="H147">
        <f t="shared" si="497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412"/>
        <v>5278.0000000000009</v>
      </c>
      <c r="L147">
        <f t="shared" si="413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 t="shared" si="389"/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496"/>
        <v>0</v>
      </c>
      <c r="S147">
        <f t="shared" si="405"/>
        <v>45002</v>
      </c>
      <c r="T147">
        <f>_xlfn.XLOOKUP(B147,'[2]april-2025'!$A:$A,'[2]april-2025'!$C:$C,0,0)</f>
        <v>37700</v>
      </c>
      <c r="U147">
        <f t="shared" si="414"/>
        <v>6786</v>
      </c>
      <c r="V147">
        <f t="shared" si="415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406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416"/>
        <v>0</v>
      </c>
      <c r="AC147">
        <f t="shared" si="417"/>
        <v>46510</v>
      </c>
      <c r="AD147">
        <f>_xlfn.XLOOKUP(B147,'[3]may-2025'!$A:$A,'[3]may-2025'!$C:$C,0,0)</f>
        <v>37700</v>
      </c>
      <c r="AE147">
        <f t="shared" si="418"/>
        <v>6786</v>
      </c>
      <c r="AF147">
        <f t="shared" si="419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407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420"/>
        <v>0</v>
      </c>
      <c r="AM147">
        <f t="shared" si="421"/>
        <v>46510</v>
      </c>
      <c r="AN147">
        <f>_xlfn.XLOOKUP(B147,'[4]june-2025'!$A:$A,'[4]june-2025'!$C:$C,0,0)</f>
        <v>37700</v>
      </c>
      <c r="AO147">
        <f t="shared" si="422"/>
        <v>6786</v>
      </c>
      <c r="AP147">
        <f t="shared" si="423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408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424"/>
        <v>0</v>
      </c>
      <c r="AW147">
        <f t="shared" si="425"/>
        <v>46510</v>
      </c>
      <c r="AX147">
        <f>_xlfn.XLOOKUP(B147,'[5]july-2025'!$A:$A,'[5]july-2025'!$C:$C,0,0)</f>
        <v>38800</v>
      </c>
      <c r="AY147">
        <f t="shared" si="426"/>
        <v>6984</v>
      </c>
      <c r="AZ147">
        <v>0</v>
      </c>
      <c r="BA147">
        <f t="shared" si="427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 t="shared" si="390"/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428"/>
        <v>0</v>
      </c>
      <c r="BH147">
        <f t="shared" si="429"/>
        <v>47940</v>
      </c>
      <c r="BI147">
        <f>_xlfn.XLOOKUP(B147,'[6]august-2025'!$A:$A,'[6]august-2025'!$C:$C,0,0)</f>
        <v>38800</v>
      </c>
      <c r="BJ147">
        <f t="shared" si="430"/>
        <v>6984</v>
      </c>
      <c r="BK147">
        <f t="shared" si="431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432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391"/>
        <v>0</v>
      </c>
      <c r="BR147">
        <f t="shared" si="392"/>
        <v>47940</v>
      </c>
      <c r="BS147">
        <f>_xlfn.XLOOKUP(B147,'[7]september-2025'!$A:$A,'[7]september-2025'!$C:$C,0,0)</f>
        <v>38800</v>
      </c>
      <c r="BT147">
        <f t="shared" si="433"/>
        <v>6984</v>
      </c>
      <c r="BU147">
        <f t="shared" si="434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 t="shared" si="393"/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435"/>
        <v>0</v>
      </c>
      <c r="CB147">
        <f t="shared" si="436"/>
        <v>47940</v>
      </c>
      <c r="CC147">
        <f>_xlfn.XLOOKUP(B147,'[8]october-2025'!$A:$A,'[8]october-2025'!$C:$C,0,0)</f>
        <v>38800</v>
      </c>
      <c r="CD147">
        <f t="shared" si="437"/>
        <v>6984</v>
      </c>
      <c r="CE147">
        <f t="shared" si="438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 t="shared" si="394"/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439"/>
        <v>0</v>
      </c>
      <c r="CL147">
        <f t="shared" si="440"/>
        <v>47940</v>
      </c>
      <c r="CM147">
        <f>_xlfn.XLOOKUP(B147,'[9]november-2025'!$A:$A,'[9]november-2025'!$C:$C,0,0)</f>
        <v>38800</v>
      </c>
      <c r="CN147">
        <f t="shared" si="441"/>
        <v>6984</v>
      </c>
      <c r="CO147">
        <f t="shared" si="442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 t="shared" si="395"/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443"/>
        <v>0</v>
      </c>
      <c r="CV147">
        <f t="shared" si="444"/>
        <v>47940</v>
      </c>
      <c r="CW147">
        <f>_xlfn.XLOOKUP(B147,'[10]december-2025'!$A:$A,'[10]december-2025'!$C:$C,0,0)</f>
        <v>38800</v>
      </c>
      <c r="CX147">
        <f t="shared" si="445"/>
        <v>6984</v>
      </c>
      <c r="CY147">
        <f t="shared" si="446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 t="shared" si="396"/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447"/>
        <v>0</v>
      </c>
      <c r="DF147">
        <f t="shared" si="448"/>
        <v>47940</v>
      </c>
      <c r="DG147">
        <f>_xlfn.XLOOKUP(B147,'[11]january-2026'!$A:$A,'[11]january-2026'!$C:$C,0,0)</f>
        <v>38800</v>
      </c>
      <c r="DH147">
        <f t="shared" si="449"/>
        <v>6984</v>
      </c>
      <c r="DI147">
        <f t="shared" si="450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397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51"/>
        <v>0</v>
      </c>
      <c r="DP147">
        <f t="shared" si="452"/>
        <v>47940</v>
      </c>
      <c r="DQ147">
        <f>_xlfn.XLOOKUP(B147,'[12]february-2026'!$A:$A,'[12]february-2026'!$C:$C,0,0)</f>
        <v>38800</v>
      </c>
      <c r="DR147">
        <f t="shared" si="453"/>
        <v>6984</v>
      </c>
      <c r="DS147">
        <f t="shared" si="454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398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55"/>
        <v>0</v>
      </c>
      <c r="DZ147">
        <f t="shared" si="456"/>
        <v>47940</v>
      </c>
      <c r="EA147">
        <f>_xlfn.XLOOKUP(B147,'[1]march-2025'!$A:$A,'[1]march-2025'!$J:$J,0,0)</f>
        <v>0</v>
      </c>
      <c r="EB147">
        <f>_xlfn.XLOOKUP(B147,'[2]april-2025'!$A:$A,'[2]april-2025'!$J:$J,0,0)</f>
        <v>0</v>
      </c>
      <c r="EC147">
        <f>_xlfn.XLOOKUP(B147,'[3]may-2025'!$A:$A,'[3]may-2025'!$J:$J,0,0)</f>
        <v>0</v>
      </c>
      <c r="ED147">
        <f>_xlfn.XLOOKUP(B147,'[4]june-2025'!$A:$A,'[4]june-2025'!$J:$J,0,0)</f>
        <v>0</v>
      </c>
      <c r="EE147">
        <f>_xlfn.XLOOKUP(B147,'[5]july-2025'!$A:$A,'[5]july-2025'!$J:$J,0,0)</f>
        <v>0</v>
      </c>
      <c r="EF147">
        <f>_xlfn.XLOOKUP(B147,'[6]august-2025'!$A:$A,'[6]august-2025'!$J:$J,0,0)</f>
        <v>0</v>
      </c>
      <c r="EG147">
        <f>_xlfn.XLOOKUP(B147,'[7]september-2025'!$A:$A,'[7]september-2025'!$J:$J,0,0)</f>
        <v>0</v>
      </c>
      <c r="EH147">
        <f>_xlfn.XLOOKUP(B147,'[8]october-2025'!$A:$A,'[8]october-2025'!$J:$J,0,0)</f>
        <v>0</v>
      </c>
      <c r="EI147">
        <f>_xlfn.XLOOKUP(C147,'[9]november-2025'!$A:$A,'[9]november-2025'!$J:$J,0,0)</f>
        <v>0</v>
      </c>
      <c r="EJ147">
        <f>_xlfn.XLOOKUP(B147,'[10]december-2025'!$A:$A,'[10]december-2025'!$J:$J,0,0)</f>
        <v>0</v>
      </c>
      <c r="EK147">
        <f>_xlfn.XLOOKUP(B147,'[11]january-2026'!$A:$A,'[11]january-2026'!$J:$J,0,0)</f>
        <v>0</v>
      </c>
      <c r="EL147">
        <f>_xlfn.XLOOKUP(B147,'[12]february-2026'!$A:$A,'[12]february-2026'!$J:$J,0,0)</f>
        <v>0</v>
      </c>
      <c r="EM147">
        <f t="shared" si="409"/>
        <v>0</v>
      </c>
      <c r="EN147">
        <f t="shared" si="399"/>
        <v>604852</v>
      </c>
      <c r="EO147">
        <f t="shared" si="400"/>
        <v>0</v>
      </c>
      <c r="EP147">
        <f t="shared" si="457"/>
        <v>50000</v>
      </c>
      <c r="EQ147">
        <v>0</v>
      </c>
      <c r="ER147">
        <f t="shared" si="410"/>
        <v>554852</v>
      </c>
      <c r="ES147">
        <f t="shared" si="401"/>
        <v>30000</v>
      </c>
      <c r="ET147">
        <f t="shared" si="402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458"/>
        <v>30000</v>
      </c>
      <c r="FF147">
        <f t="shared" si="459"/>
        <v>30000</v>
      </c>
      <c r="FG147">
        <f t="shared" si="460"/>
        <v>524852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403"/>
        <v>50000</v>
      </c>
      <c r="FP147">
        <f t="shared" si="461"/>
        <v>474852</v>
      </c>
      <c r="FQ147">
        <f t="shared" si="462"/>
        <v>11243</v>
      </c>
      <c r="FR147">
        <f t="shared" si="463"/>
        <v>0</v>
      </c>
      <c r="FS147">
        <f t="shared" si="464"/>
        <v>11243</v>
      </c>
      <c r="FT147">
        <f t="shared" si="465"/>
        <v>0</v>
      </c>
      <c r="FU147">
        <f t="shared" si="466"/>
        <v>0</v>
      </c>
      <c r="FV147">
        <f t="shared" si="467"/>
        <v>0</v>
      </c>
      <c r="FW147">
        <v>0</v>
      </c>
      <c r="FX147">
        <f t="shared" si="468"/>
        <v>0</v>
      </c>
      <c r="FY147" t="b">
        <f t="shared" si="469"/>
        <v>1</v>
      </c>
      <c r="FZ147">
        <f t="shared" ca="1" si="470"/>
        <v>534</v>
      </c>
      <c r="GA147">
        <f t="shared" ca="1" si="471"/>
        <v>605386</v>
      </c>
      <c r="GB147">
        <f t="shared" si="472"/>
        <v>75000</v>
      </c>
      <c r="GC147">
        <f t="shared" ca="1" si="473"/>
        <v>530386</v>
      </c>
      <c r="GD147">
        <f t="shared" ca="1" si="474"/>
        <v>0</v>
      </c>
      <c r="GE147">
        <f t="shared" ca="1" si="475"/>
        <v>0</v>
      </c>
      <c r="GF147">
        <f t="shared" ca="1" si="476"/>
        <v>0</v>
      </c>
      <c r="GG147">
        <f t="shared" ca="1" si="477"/>
        <v>0</v>
      </c>
      <c r="GH147">
        <f t="shared" ca="1" si="478"/>
        <v>0</v>
      </c>
      <c r="GI147">
        <f t="shared" ca="1" si="479"/>
        <v>0</v>
      </c>
      <c r="GJ147">
        <f t="shared" ca="1" si="404"/>
        <v>0</v>
      </c>
      <c r="GK147">
        <f t="shared" ca="1" si="480"/>
        <v>0</v>
      </c>
      <c r="GL147">
        <f t="shared" ca="1" si="481"/>
        <v>0</v>
      </c>
      <c r="GM147">
        <f t="shared" ca="1" si="482"/>
        <v>0</v>
      </c>
      <c r="GN147">
        <f t="shared" ca="1" si="483"/>
        <v>130386</v>
      </c>
      <c r="GO147">
        <f t="shared" ca="1" si="484"/>
        <v>6519.3</v>
      </c>
      <c r="GP147">
        <f t="shared" ca="1" si="485"/>
        <v>6519</v>
      </c>
      <c r="GQ147">
        <f t="shared" ca="1" si="486"/>
        <v>0</v>
      </c>
      <c r="GR147">
        <f t="shared" ca="1" si="487"/>
        <v>0</v>
      </c>
      <c r="GS147">
        <f t="shared" ca="1" si="488"/>
        <v>6519</v>
      </c>
      <c r="GT147">
        <f t="shared" ca="1" si="489"/>
        <v>0</v>
      </c>
      <c r="GU147" t="b">
        <f t="shared" ca="1" si="490"/>
        <v>0</v>
      </c>
      <c r="GV147">
        <f t="shared" ca="1" si="491"/>
        <v>0</v>
      </c>
      <c r="GW147">
        <f t="shared" ca="1" si="492"/>
        <v>6519</v>
      </c>
      <c r="GX147">
        <f t="shared" ca="1" si="493"/>
        <v>0</v>
      </c>
      <c r="GY147">
        <f t="shared" ca="1" si="494"/>
        <v>0</v>
      </c>
      <c r="GZ147">
        <f t="shared" ca="1" si="495"/>
        <v>0</v>
      </c>
    </row>
    <row r="148" spans="1:208" x14ac:dyDescent="0.3">
      <c r="A148">
        <f>_xlfn.AGGREGATE(3,5,$B$2:B148)</f>
        <v>147</v>
      </c>
      <c r="B148" t="s">
        <v>401</v>
      </c>
      <c r="C148" t="s">
        <v>402</v>
      </c>
      <c r="D148" t="s">
        <v>789</v>
      </c>
      <c r="E148" t="s">
        <v>830</v>
      </c>
      <c r="F148" t="s">
        <v>956</v>
      </c>
      <c r="G148" t="s">
        <v>887</v>
      </c>
      <c r="H148">
        <f t="shared" si="497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412"/>
        <v>5278.0000000000009</v>
      </c>
      <c r="L148">
        <f t="shared" si="413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389"/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496"/>
        <v>200</v>
      </c>
      <c r="S148">
        <f t="shared" si="405"/>
        <v>45302</v>
      </c>
      <c r="T148">
        <f>_xlfn.XLOOKUP(B148,'[2]april-2025'!$A:$A,'[2]april-2025'!$C:$C,0,0)</f>
        <v>37700</v>
      </c>
      <c r="U148">
        <f t="shared" si="414"/>
        <v>6786</v>
      </c>
      <c r="V148">
        <f t="shared" si="415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406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416"/>
        <v>200</v>
      </c>
      <c r="AC148">
        <f t="shared" si="417"/>
        <v>46810</v>
      </c>
      <c r="AD148">
        <f>_xlfn.XLOOKUP(B148,'[3]may-2025'!$A:$A,'[3]may-2025'!$C:$C,0,0)</f>
        <v>37700</v>
      </c>
      <c r="AE148">
        <f t="shared" si="418"/>
        <v>6786</v>
      </c>
      <c r="AF148">
        <f t="shared" si="419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407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420"/>
        <v>200</v>
      </c>
      <c r="AM148">
        <f t="shared" si="421"/>
        <v>46810</v>
      </c>
      <c r="AN148">
        <f>_xlfn.XLOOKUP(B148,'[4]june-2025'!$A:$A,'[4]june-2025'!$C:$C,0,0)</f>
        <v>37700</v>
      </c>
      <c r="AO148">
        <f t="shared" si="422"/>
        <v>6786</v>
      </c>
      <c r="AP148">
        <f t="shared" si="423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408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424"/>
        <v>200</v>
      </c>
      <c r="AW148">
        <f t="shared" si="425"/>
        <v>46810</v>
      </c>
      <c r="AX148">
        <f>_xlfn.XLOOKUP(B148,'[5]july-2025'!$A:$A,'[5]july-2025'!$C:$C,0,0)</f>
        <v>38800</v>
      </c>
      <c r="AY148">
        <f t="shared" si="426"/>
        <v>6984</v>
      </c>
      <c r="AZ148">
        <v>0</v>
      </c>
      <c r="BA148">
        <f t="shared" si="427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390"/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428"/>
        <v>200</v>
      </c>
      <c r="BH148">
        <f t="shared" si="429"/>
        <v>48240</v>
      </c>
      <c r="BI148">
        <f>_xlfn.XLOOKUP(B148,'[6]august-2025'!$A:$A,'[6]august-2025'!$C:$C,0,0)</f>
        <v>38800</v>
      </c>
      <c r="BJ148">
        <f t="shared" si="430"/>
        <v>6984</v>
      </c>
      <c r="BK148">
        <f t="shared" si="431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432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 t="shared" si="391"/>
        <v>200</v>
      </c>
      <c r="BR148">
        <f t="shared" si="392"/>
        <v>48240</v>
      </c>
      <c r="BS148">
        <f>_xlfn.XLOOKUP(B148,'[7]september-2025'!$A:$A,'[7]september-2025'!$C:$C,0,0)</f>
        <v>38800</v>
      </c>
      <c r="BT148">
        <f t="shared" si="433"/>
        <v>6984</v>
      </c>
      <c r="BU148">
        <f t="shared" si="434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393"/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435"/>
        <v>200</v>
      </c>
      <c r="CB148">
        <f t="shared" si="436"/>
        <v>48240</v>
      </c>
      <c r="CC148">
        <f>_xlfn.XLOOKUP(B148,'[8]october-2025'!$A:$A,'[8]october-2025'!$C:$C,0,0)</f>
        <v>38800</v>
      </c>
      <c r="CD148">
        <f t="shared" si="437"/>
        <v>6984</v>
      </c>
      <c r="CE148">
        <f t="shared" si="438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394"/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439"/>
        <v>200</v>
      </c>
      <c r="CL148">
        <f t="shared" si="440"/>
        <v>48240</v>
      </c>
      <c r="CM148">
        <f>_xlfn.XLOOKUP(B148,'[9]november-2025'!$A:$A,'[9]november-2025'!$C:$C,0,0)</f>
        <v>38800</v>
      </c>
      <c r="CN148">
        <f t="shared" si="441"/>
        <v>6984</v>
      </c>
      <c r="CO148">
        <f t="shared" si="442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395"/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443"/>
        <v>200</v>
      </c>
      <c r="CV148">
        <f t="shared" si="444"/>
        <v>48240</v>
      </c>
      <c r="CW148">
        <f>_xlfn.XLOOKUP(B148,'[10]december-2025'!$A:$A,'[10]december-2025'!$C:$C,0,0)</f>
        <v>38800</v>
      </c>
      <c r="CX148">
        <f t="shared" si="445"/>
        <v>6984</v>
      </c>
      <c r="CY148">
        <f t="shared" si="446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396"/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447"/>
        <v>200</v>
      </c>
      <c r="DF148">
        <f t="shared" si="448"/>
        <v>48240</v>
      </c>
      <c r="DG148">
        <f>_xlfn.XLOOKUP(B148,'[11]january-2026'!$A:$A,'[11]january-2026'!$C:$C,0,0)</f>
        <v>38800</v>
      </c>
      <c r="DH148">
        <f t="shared" si="449"/>
        <v>6984</v>
      </c>
      <c r="DI148">
        <f t="shared" si="450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397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51"/>
        <v>200</v>
      </c>
      <c r="DP148">
        <f t="shared" si="452"/>
        <v>48240</v>
      </c>
      <c r="DQ148">
        <f>_xlfn.XLOOKUP(B148,'[12]february-2026'!$A:$A,'[12]february-2026'!$C:$C,0,0)</f>
        <v>38800</v>
      </c>
      <c r="DR148">
        <f t="shared" si="453"/>
        <v>6984</v>
      </c>
      <c r="DS148">
        <f t="shared" si="454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398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55"/>
        <v>200</v>
      </c>
      <c r="DZ148">
        <f t="shared" si="456"/>
        <v>48240</v>
      </c>
      <c r="EA148">
        <f>_xlfn.XLOOKUP(B148,'[1]march-2025'!$A:$A,'[1]march-2025'!$J:$J,0,0)</f>
        <v>0</v>
      </c>
      <c r="EB148">
        <f>_xlfn.XLOOKUP(B148,'[2]april-2025'!$A:$A,'[2]april-2025'!$J:$J,0,0)</f>
        <v>0</v>
      </c>
      <c r="EC148">
        <f>_xlfn.XLOOKUP(B148,'[3]may-2025'!$A:$A,'[3]may-2025'!$J:$J,0,0)</f>
        <v>0</v>
      </c>
      <c r="ED148">
        <f>_xlfn.XLOOKUP(B148,'[4]june-2025'!$A:$A,'[4]june-2025'!$J:$J,0,0)</f>
        <v>0</v>
      </c>
      <c r="EE148">
        <f>_xlfn.XLOOKUP(B148,'[5]july-2025'!$A:$A,'[5]july-2025'!$J:$J,0,0)</f>
        <v>0</v>
      </c>
      <c r="EF148">
        <f>_xlfn.XLOOKUP(B148,'[6]august-2025'!$A:$A,'[6]august-2025'!$J:$J,0,0)</f>
        <v>0</v>
      </c>
      <c r="EG148">
        <f>_xlfn.XLOOKUP(B148,'[7]september-2025'!$A:$A,'[7]september-2025'!$J:$J,0,0)</f>
        <v>0</v>
      </c>
      <c r="EH148">
        <f>_xlfn.XLOOKUP(B148,'[8]october-2025'!$A:$A,'[8]october-2025'!$J:$J,0,0)</f>
        <v>0</v>
      </c>
      <c r="EI148">
        <f>_xlfn.XLOOKUP(C148,'[9]november-2025'!$A:$A,'[9]november-2025'!$J:$J,0,0)</f>
        <v>0</v>
      </c>
      <c r="EJ148">
        <f>_xlfn.XLOOKUP(B148,'[10]december-2025'!$A:$A,'[10]december-2025'!$J:$J,0,0)</f>
        <v>0</v>
      </c>
      <c r="EK148">
        <f>_xlfn.XLOOKUP(B148,'[11]january-2026'!$A:$A,'[11]january-2026'!$J:$J,0,0)</f>
        <v>0</v>
      </c>
      <c r="EL148">
        <f>_xlfn.XLOOKUP(B148,'[12]february-2026'!$A:$A,'[12]february-2026'!$J:$J,0,0)</f>
        <v>0</v>
      </c>
      <c r="EM148">
        <f t="shared" si="409"/>
        <v>0</v>
      </c>
      <c r="EN148">
        <f t="shared" si="399"/>
        <v>610852</v>
      </c>
      <c r="EO148">
        <f t="shared" si="400"/>
        <v>2400</v>
      </c>
      <c r="EP148">
        <f t="shared" si="457"/>
        <v>50000</v>
      </c>
      <c r="EQ148">
        <v>0</v>
      </c>
      <c r="ER148">
        <f t="shared" si="410"/>
        <v>558452</v>
      </c>
      <c r="ES148">
        <f t="shared" si="401"/>
        <v>30000</v>
      </c>
      <c r="ET148">
        <f t="shared" si="402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458"/>
        <v>30000</v>
      </c>
      <c r="FF148">
        <f t="shared" si="459"/>
        <v>30000</v>
      </c>
      <c r="FG148">
        <f t="shared" si="460"/>
        <v>528452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403"/>
        <v>0</v>
      </c>
      <c r="FP148">
        <f t="shared" si="461"/>
        <v>528452</v>
      </c>
      <c r="FQ148">
        <f t="shared" si="462"/>
        <v>12500</v>
      </c>
      <c r="FR148">
        <f t="shared" si="463"/>
        <v>5690</v>
      </c>
      <c r="FS148">
        <f t="shared" si="464"/>
        <v>18190</v>
      </c>
      <c r="FT148">
        <f t="shared" si="465"/>
        <v>18190</v>
      </c>
      <c r="FU148">
        <f t="shared" si="466"/>
        <v>727.6</v>
      </c>
      <c r="FV148">
        <f t="shared" si="467"/>
        <v>18918</v>
      </c>
      <c r="FW148">
        <v>0</v>
      </c>
      <c r="FX148">
        <f t="shared" si="468"/>
        <v>18918</v>
      </c>
      <c r="FY148" t="b">
        <f t="shared" si="469"/>
        <v>1</v>
      </c>
      <c r="FZ148">
        <f t="shared" ca="1" si="470"/>
        <v>657</v>
      </c>
      <c r="GA148">
        <f t="shared" ca="1" si="471"/>
        <v>611509</v>
      </c>
      <c r="GB148">
        <f t="shared" si="472"/>
        <v>75000</v>
      </c>
      <c r="GC148">
        <f t="shared" ca="1" si="473"/>
        <v>536509</v>
      </c>
      <c r="GD148">
        <f t="shared" ca="1" si="474"/>
        <v>0</v>
      </c>
      <c r="GE148">
        <f t="shared" ca="1" si="475"/>
        <v>0</v>
      </c>
      <c r="GF148">
        <f t="shared" ca="1" si="476"/>
        <v>0</v>
      </c>
      <c r="GG148">
        <f t="shared" ca="1" si="477"/>
        <v>0</v>
      </c>
      <c r="GH148">
        <f t="shared" ca="1" si="478"/>
        <v>0</v>
      </c>
      <c r="GI148">
        <f t="shared" ca="1" si="479"/>
        <v>0</v>
      </c>
      <c r="GJ148">
        <f t="shared" ca="1" si="404"/>
        <v>0</v>
      </c>
      <c r="GK148">
        <f t="shared" ca="1" si="480"/>
        <v>0</v>
      </c>
      <c r="GL148">
        <f t="shared" ca="1" si="481"/>
        <v>0</v>
      </c>
      <c r="GM148">
        <f t="shared" ca="1" si="482"/>
        <v>0</v>
      </c>
      <c r="GN148">
        <f t="shared" ca="1" si="483"/>
        <v>136509</v>
      </c>
      <c r="GO148">
        <f t="shared" ca="1" si="484"/>
        <v>6825.4500000000007</v>
      </c>
      <c r="GP148">
        <f t="shared" ca="1" si="485"/>
        <v>6825</v>
      </c>
      <c r="GQ148">
        <f t="shared" ca="1" si="486"/>
        <v>0</v>
      </c>
      <c r="GR148">
        <f t="shared" ca="1" si="487"/>
        <v>0</v>
      </c>
      <c r="GS148">
        <f t="shared" ca="1" si="488"/>
        <v>6825</v>
      </c>
      <c r="GT148">
        <f t="shared" ca="1" si="489"/>
        <v>0</v>
      </c>
      <c r="GU148" t="b">
        <f t="shared" ca="1" si="490"/>
        <v>0</v>
      </c>
      <c r="GV148">
        <f t="shared" ca="1" si="491"/>
        <v>0</v>
      </c>
      <c r="GW148">
        <f t="shared" ca="1" si="492"/>
        <v>6825</v>
      </c>
      <c r="GX148">
        <f t="shared" ca="1" si="493"/>
        <v>0</v>
      </c>
      <c r="GY148">
        <f t="shared" ca="1" si="494"/>
        <v>0</v>
      </c>
      <c r="GZ148">
        <f t="shared" ca="1" si="495"/>
        <v>0</v>
      </c>
    </row>
    <row r="149" spans="1:208" x14ac:dyDescent="0.3">
      <c r="A149">
        <f>_xlfn.AGGREGATE(3,5,$B$2:B149)</f>
        <v>148</v>
      </c>
      <c r="B149" t="s">
        <v>403</v>
      </c>
      <c r="C149" t="s">
        <v>404</v>
      </c>
      <c r="D149" t="s">
        <v>790</v>
      </c>
      <c r="E149" t="s">
        <v>831</v>
      </c>
      <c r="F149" t="s">
        <v>956</v>
      </c>
      <c r="G149" t="s">
        <v>907</v>
      </c>
      <c r="H149">
        <f t="shared" si="497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412"/>
        <v>6622.0000000000009</v>
      </c>
      <c r="L149">
        <f t="shared" si="413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 t="shared" si="389"/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496"/>
        <v>200</v>
      </c>
      <c r="S149">
        <f t="shared" si="405"/>
        <v>56738</v>
      </c>
      <c r="T149">
        <f>_xlfn.XLOOKUP(B149,'[2]april-2025'!$A:$A,'[2]april-2025'!$C:$C,0,0)</f>
        <v>47300</v>
      </c>
      <c r="U149">
        <f t="shared" si="414"/>
        <v>8514</v>
      </c>
      <c r="V149">
        <f t="shared" si="415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406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416"/>
        <v>200</v>
      </c>
      <c r="AC149">
        <f t="shared" si="417"/>
        <v>58630</v>
      </c>
      <c r="AD149">
        <f>_xlfn.XLOOKUP(B149,'[3]may-2025'!$A:$A,'[3]may-2025'!$C:$C,0,0)</f>
        <v>47300</v>
      </c>
      <c r="AE149">
        <f t="shared" si="418"/>
        <v>8514</v>
      </c>
      <c r="AF149">
        <f t="shared" si="419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407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420"/>
        <v>200</v>
      </c>
      <c r="AM149">
        <f t="shared" si="421"/>
        <v>58630</v>
      </c>
      <c r="AN149">
        <f>_xlfn.XLOOKUP(B149,'[4]june-2025'!$A:$A,'[4]june-2025'!$C:$C,0,0)</f>
        <v>47300</v>
      </c>
      <c r="AO149">
        <f t="shared" si="422"/>
        <v>8514</v>
      </c>
      <c r="AP149">
        <f t="shared" si="423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408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424"/>
        <v>200</v>
      </c>
      <c r="AW149">
        <f t="shared" si="425"/>
        <v>58630</v>
      </c>
      <c r="AX149">
        <f>_xlfn.XLOOKUP(B149,'[5]july-2025'!$A:$A,'[5]july-2025'!$C:$C,0,0)</f>
        <v>48700</v>
      </c>
      <c r="AY149">
        <f t="shared" si="426"/>
        <v>8766</v>
      </c>
      <c r="AZ149">
        <v>0</v>
      </c>
      <c r="BA149">
        <f t="shared" si="427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 t="shared" si="390"/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428"/>
        <v>200</v>
      </c>
      <c r="BH149">
        <f t="shared" si="429"/>
        <v>60450</v>
      </c>
      <c r="BI149">
        <f>_xlfn.XLOOKUP(B149,'[6]august-2025'!$A:$A,'[6]august-2025'!$C:$C,0,0)</f>
        <v>48700</v>
      </c>
      <c r="BJ149">
        <f t="shared" si="430"/>
        <v>8766</v>
      </c>
      <c r="BK149">
        <f t="shared" si="431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432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 t="shared" si="391"/>
        <v>200</v>
      </c>
      <c r="BR149">
        <f t="shared" si="392"/>
        <v>60450</v>
      </c>
      <c r="BS149">
        <f>_xlfn.XLOOKUP(B149,'[7]september-2025'!$A:$A,'[7]september-2025'!$C:$C,0,0)</f>
        <v>48700</v>
      </c>
      <c r="BT149">
        <f t="shared" si="433"/>
        <v>8766</v>
      </c>
      <c r="BU149">
        <f t="shared" si="434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 t="shared" si="393"/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435"/>
        <v>200</v>
      </c>
      <c r="CB149">
        <f t="shared" si="436"/>
        <v>60450</v>
      </c>
      <c r="CC149">
        <f>_xlfn.XLOOKUP(B149,'[8]october-2025'!$A:$A,'[8]october-2025'!$C:$C,0,0)</f>
        <v>48700</v>
      </c>
      <c r="CD149">
        <f t="shared" si="437"/>
        <v>8766</v>
      </c>
      <c r="CE149">
        <f t="shared" si="438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 t="shared" si="394"/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439"/>
        <v>200</v>
      </c>
      <c r="CL149">
        <f t="shared" si="440"/>
        <v>60450</v>
      </c>
      <c r="CM149">
        <f>_xlfn.XLOOKUP(B149,'[9]november-2025'!$A:$A,'[9]november-2025'!$C:$C,0,0)</f>
        <v>48700</v>
      </c>
      <c r="CN149">
        <f t="shared" si="441"/>
        <v>8766</v>
      </c>
      <c r="CO149">
        <f t="shared" si="442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 t="shared" si="395"/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443"/>
        <v>200</v>
      </c>
      <c r="CV149">
        <f t="shared" si="444"/>
        <v>60450</v>
      </c>
      <c r="CW149">
        <f>_xlfn.XLOOKUP(B149,'[10]december-2025'!$A:$A,'[10]december-2025'!$C:$C,0,0)</f>
        <v>48700</v>
      </c>
      <c r="CX149">
        <f t="shared" si="445"/>
        <v>8766</v>
      </c>
      <c r="CY149">
        <f t="shared" si="446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 t="shared" si="396"/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447"/>
        <v>200</v>
      </c>
      <c r="DF149">
        <f t="shared" si="448"/>
        <v>60450</v>
      </c>
      <c r="DG149">
        <f>_xlfn.XLOOKUP(B149,'[11]january-2026'!$A:$A,'[11]january-2026'!$C:$C,0,0)</f>
        <v>48700</v>
      </c>
      <c r="DH149">
        <f t="shared" si="449"/>
        <v>8766</v>
      </c>
      <c r="DI149">
        <f t="shared" si="450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397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51"/>
        <v>200</v>
      </c>
      <c r="DP149">
        <f t="shared" si="452"/>
        <v>60450</v>
      </c>
      <c r="DQ149">
        <f>_xlfn.XLOOKUP(B149,'[12]february-2026'!$A:$A,'[12]february-2026'!$C:$C,0,0)</f>
        <v>48700</v>
      </c>
      <c r="DR149">
        <f t="shared" si="453"/>
        <v>8766</v>
      </c>
      <c r="DS149">
        <f t="shared" si="454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398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55"/>
        <v>200</v>
      </c>
      <c r="DZ149">
        <f t="shared" si="456"/>
        <v>60450</v>
      </c>
      <c r="EA149">
        <f>_xlfn.XLOOKUP(B149,'[1]march-2025'!$A:$A,'[1]march-2025'!$J:$J,0,0)</f>
        <v>0</v>
      </c>
      <c r="EB149">
        <f>_xlfn.XLOOKUP(B149,'[2]april-2025'!$A:$A,'[2]april-2025'!$J:$J,0,0)</f>
        <v>0</v>
      </c>
      <c r="EC149">
        <f>_xlfn.XLOOKUP(B149,'[3]may-2025'!$A:$A,'[3]may-2025'!$J:$J,0,0)</f>
        <v>0</v>
      </c>
      <c r="ED149">
        <f>_xlfn.XLOOKUP(B149,'[4]june-2025'!$A:$A,'[4]june-2025'!$J:$J,0,0)</f>
        <v>0</v>
      </c>
      <c r="EE149">
        <f>_xlfn.XLOOKUP(B149,'[5]july-2025'!$A:$A,'[5]july-2025'!$J:$J,0,0)</f>
        <v>0</v>
      </c>
      <c r="EF149">
        <f>_xlfn.XLOOKUP(B149,'[6]august-2025'!$A:$A,'[6]august-2025'!$J:$J,0,0)</f>
        <v>0</v>
      </c>
      <c r="EG149">
        <f>_xlfn.XLOOKUP(B149,'[7]september-2025'!$A:$A,'[7]september-2025'!$J:$J,0,0)</f>
        <v>0</v>
      </c>
      <c r="EH149">
        <f>_xlfn.XLOOKUP(B149,'[8]october-2025'!$A:$A,'[8]october-2025'!$J:$J,0,0)</f>
        <v>0</v>
      </c>
      <c r="EI149">
        <f>_xlfn.XLOOKUP(C149,'[9]november-2025'!$A:$A,'[9]november-2025'!$J:$J,0,0)</f>
        <v>0</v>
      </c>
      <c r="EJ149">
        <f>_xlfn.XLOOKUP(B149,'[10]december-2025'!$A:$A,'[10]december-2025'!$J:$J,0,0)</f>
        <v>0</v>
      </c>
      <c r="EK149">
        <f>_xlfn.XLOOKUP(B149,'[11]january-2026'!$A:$A,'[11]january-2026'!$J:$J,0,0)</f>
        <v>0</v>
      </c>
      <c r="EL149">
        <f>_xlfn.XLOOKUP(B149,'[12]february-2026'!$A:$A,'[12]february-2026'!$J:$J,0,0)</f>
        <v>0</v>
      </c>
      <c r="EM149">
        <f t="shared" si="409"/>
        <v>0</v>
      </c>
      <c r="EN149">
        <f t="shared" si="399"/>
        <v>762148</v>
      </c>
      <c r="EO149">
        <f t="shared" si="400"/>
        <v>2400</v>
      </c>
      <c r="EP149">
        <f t="shared" si="457"/>
        <v>50000</v>
      </c>
      <c r="EQ149">
        <v>0</v>
      </c>
      <c r="ER149">
        <f t="shared" si="410"/>
        <v>709748</v>
      </c>
      <c r="ES149">
        <f t="shared" si="401"/>
        <v>36000</v>
      </c>
      <c r="ET149">
        <f t="shared" si="402"/>
        <v>720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458"/>
        <v>36720</v>
      </c>
      <c r="FF149">
        <f t="shared" si="459"/>
        <v>36720</v>
      </c>
      <c r="FG149">
        <f t="shared" si="460"/>
        <v>673028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403"/>
        <v>0</v>
      </c>
      <c r="FP149">
        <f t="shared" si="461"/>
        <v>673028</v>
      </c>
      <c r="FQ149">
        <f t="shared" si="462"/>
        <v>12500</v>
      </c>
      <c r="FR149">
        <f t="shared" si="463"/>
        <v>34606</v>
      </c>
      <c r="FS149">
        <f t="shared" si="464"/>
        <v>47106</v>
      </c>
      <c r="FT149">
        <f t="shared" si="465"/>
        <v>47106</v>
      </c>
      <c r="FU149">
        <f t="shared" si="466"/>
        <v>1884.24</v>
      </c>
      <c r="FV149">
        <f t="shared" si="467"/>
        <v>48990</v>
      </c>
      <c r="FW149">
        <v>0</v>
      </c>
      <c r="FX149">
        <f t="shared" si="468"/>
        <v>48990</v>
      </c>
      <c r="FY149" t="b">
        <f t="shared" si="469"/>
        <v>1</v>
      </c>
      <c r="FZ149">
        <f t="shared" ca="1" si="470"/>
        <v>657</v>
      </c>
      <c r="GA149">
        <f t="shared" ca="1" si="471"/>
        <v>762805</v>
      </c>
      <c r="GB149">
        <f t="shared" si="472"/>
        <v>75000</v>
      </c>
      <c r="GC149">
        <f t="shared" ca="1" si="473"/>
        <v>687805</v>
      </c>
      <c r="GD149">
        <f t="shared" ca="1" si="474"/>
        <v>0</v>
      </c>
      <c r="GE149">
        <f t="shared" ca="1" si="475"/>
        <v>0</v>
      </c>
      <c r="GF149">
        <f t="shared" ca="1" si="476"/>
        <v>0</v>
      </c>
      <c r="GG149">
        <f t="shared" ca="1" si="477"/>
        <v>0</v>
      </c>
      <c r="GH149">
        <f t="shared" ca="1" si="478"/>
        <v>0</v>
      </c>
      <c r="GI149">
        <f t="shared" ca="1" si="479"/>
        <v>0</v>
      </c>
      <c r="GJ149">
        <f t="shared" ca="1" si="404"/>
        <v>0</v>
      </c>
      <c r="GK149">
        <f t="shared" ca="1" si="480"/>
        <v>0</v>
      </c>
      <c r="GL149">
        <f t="shared" ca="1" si="481"/>
        <v>0</v>
      </c>
      <c r="GM149">
        <f t="shared" ca="1" si="482"/>
        <v>0</v>
      </c>
      <c r="GN149">
        <f t="shared" ca="1" si="483"/>
        <v>287805</v>
      </c>
      <c r="GO149">
        <f t="shared" ca="1" si="484"/>
        <v>14390.25</v>
      </c>
      <c r="GP149">
        <f t="shared" ca="1" si="485"/>
        <v>14390</v>
      </c>
      <c r="GQ149">
        <f t="shared" ca="1" si="486"/>
        <v>0</v>
      </c>
      <c r="GR149">
        <f t="shared" ca="1" si="487"/>
        <v>0</v>
      </c>
      <c r="GS149">
        <f t="shared" ca="1" si="488"/>
        <v>14390</v>
      </c>
      <c r="GT149">
        <f t="shared" ca="1" si="489"/>
        <v>0</v>
      </c>
      <c r="GU149" t="b">
        <f t="shared" ca="1" si="490"/>
        <v>0</v>
      </c>
      <c r="GV149">
        <f t="shared" ca="1" si="491"/>
        <v>0</v>
      </c>
      <c r="GW149">
        <f t="shared" ca="1" si="492"/>
        <v>14390</v>
      </c>
      <c r="GX149">
        <f t="shared" ca="1" si="493"/>
        <v>0</v>
      </c>
      <c r="GY149">
        <f t="shared" ca="1" si="494"/>
        <v>0</v>
      </c>
      <c r="GZ149">
        <f t="shared" ca="1" si="495"/>
        <v>0</v>
      </c>
    </row>
    <row r="150" spans="1:208" x14ac:dyDescent="0.3">
      <c r="A150">
        <f>_xlfn.AGGREGATE(3,5,$B$2:B150)</f>
        <v>149</v>
      </c>
      <c r="B150" t="s">
        <v>405</v>
      </c>
      <c r="C150" t="s">
        <v>406</v>
      </c>
      <c r="D150" t="s">
        <v>790</v>
      </c>
      <c r="E150" t="s">
        <v>830</v>
      </c>
      <c r="F150" t="s">
        <v>956</v>
      </c>
      <c r="G150" t="s">
        <v>878</v>
      </c>
      <c r="H150">
        <f t="shared" si="497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412"/>
        <v>3780.0000000000005</v>
      </c>
      <c r="L150">
        <f t="shared" si="413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389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496"/>
        <v>150</v>
      </c>
      <c r="S150">
        <f t="shared" si="405"/>
        <v>32370</v>
      </c>
      <c r="T150">
        <f>_xlfn.XLOOKUP(B150,'[2]april-2025'!$A:$A,'[2]april-2025'!$C:$C,0,0)</f>
        <v>27000</v>
      </c>
      <c r="U150">
        <f t="shared" si="414"/>
        <v>4860</v>
      </c>
      <c r="V150">
        <f t="shared" si="415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406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416"/>
        <v>150</v>
      </c>
      <c r="AC150">
        <f t="shared" si="417"/>
        <v>33450</v>
      </c>
      <c r="AD150">
        <f>_xlfn.XLOOKUP(B150,'[3]may-2025'!$A:$A,'[3]may-2025'!$C:$C,0,0)</f>
        <v>31600</v>
      </c>
      <c r="AE150">
        <f t="shared" si="418"/>
        <v>5688</v>
      </c>
      <c r="AF150">
        <f t="shared" si="419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407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420"/>
        <v>200</v>
      </c>
      <c r="AM150">
        <f t="shared" si="421"/>
        <v>39380</v>
      </c>
      <c r="AN150">
        <f>_xlfn.XLOOKUP(B150,'[4]june-2025'!$A:$A,'[4]june-2025'!$C:$C,0,0)</f>
        <v>31600</v>
      </c>
      <c r="AO150">
        <f t="shared" si="422"/>
        <v>5688</v>
      </c>
      <c r="AP150">
        <f t="shared" si="423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408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424"/>
        <v>200</v>
      </c>
      <c r="AW150">
        <f t="shared" si="425"/>
        <v>39380</v>
      </c>
      <c r="AX150">
        <f>_xlfn.XLOOKUP(B150,'[5]july-2025'!$A:$A,'[5]july-2025'!$C:$C,0,0)</f>
        <v>32500</v>
      </c>
      <c r="AY150">
        <f t="shared" si="426"/>
        <v>5850</v>
      </c>
      <c r="AZ150">
        <v>0</v>
      </c>
      <c r="BA150">
        <f t="shared" si="427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390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428"/>
        <v>200</v>
      </c>
      <c r="BH150">
        <f t="shared" si="429"/>
        <v>40550</v>
      </c>
      <c r="BI150">
        <f>_xlfn.XLOOKUP(B150,'[6]august-2025'!$A:$A,'[6]august-2025'!$C:$C,0,0)</f>
        <v>32500</v>
      </c>
      <c r="BJ150">
        <f t="shared" si="430"/>
        <v>5850</v>
      </c>
      <c r="BK150">
        <f t="shared" si="431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432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391"/>
        <v>200</v>
      </c>
      <c r="BR150">
        <f t="shared" si="392"/>
        <v>40550</v>
      </c>
      <c r="BS150">
        <f>_xlfn.XLOOKUP(B150,'[7]september-2025'!$A:$A,'[7]september-2025'!$C:$C,0,0)</f>
        <v>32500</v>
      </c>
      <c r="BT150">
        <f t="shared" si="433"/>
        <v>5850</v>
      </c>
      <c r="BU150">
        <f t="shared" si="434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393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435"/>
        <v>200</v>
      </c>
      <c r="CB150">
        <f t="shared" si="436"/>
        <v>40550</v>
      </c>
      <c r="CC150">
        <f>_xlfn.XLOOKUP(B150,'[8]october-2025'!$A:$A,'[8]october-2025'!$C:$C,0,0)</f>
        <v>32500</v>
      </c>
      <c r="CD150">
        <f t="shared" si="437"/>
        <v>5850</v>
      </c>
      <c r="CE150">
        <f t="shared" si="438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394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439"/>
        <v>200</v>
      </c>
      <c r="CL150">
        <f t="shared" si="440"/>
        <v>40550</v>
      </c>
      <c r="CM150">
        <f>_xlfn.XLOOKUP(B150,'[9]november-2025'!$A:$A,'[9]november-2025'!$C:$C,0,0)</f>
        <v>32500</v>
      </c>
      <c r="CN150">
        <f t="shared" si="441"/>
        <v>5850</v>
      </c>
      <c r="CO150">
        <f t="shared" si="442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395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443"/>
        <v>200</v>
      </c>
      <c r="CV150">
        <f t="shared" si="444"/>
        <v>40550</v>
      </c>
      <c r="CW150">
        <f>_xlfn.XLOOKUP(B150,'[10]december-2025'!$A:$A,'[10]december-2025'!$C:$C,0,0)</f>
        <v>32500</v>
      </c>
      <c r="CX150">
        <f t="shared" si="445"/>
        <v>5850</v>
      </c>
      <c r="CY150">
        <f t="shared" si="446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396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447"/>
        <v>200</v>
      </c>
      <c r="DF150">
        <f t="shared" si="448"/>
        <v>40550</v>
      </c>
      <c r="DG150">
        <f>_xlfn.XLOOKUP(B150,'[11]january-2026'!$A:$A,'[11]january-2026'!$C:$C,0,0)</f>
        <v>32500</v>
      </c>
      <c r="DH150">
        <f t="shared" si="449"/>
        <v>5850</v>
      </c>
      <c r="DI150">
        <f t="shared" si="450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397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51"/>
        <v>200</v>
      </c>
      <c r="DP150">
        <f t="shared" si="452"/>
        <v>40550</v>
      </c>
      <c r="DQ150">
        <f>_xlfn.XLOOKUP(B150,'[12]february-2026'!$A:$A,'[12]february-2026'!$C:$C,0,0)</f>
        <v>32500</v>
      </c>
      <c r="DR150">
        <f t="shared" si="453"/>
        <v>5850</v>
      </c>
      <c r="DS150">
        <f t="shared" si="454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398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55"/>
        <v>200</v>
      </c>
      <c r="DZ150">
        <f t="shared" si="456"/>
        <v>40550</v>
      </c>
      <c r="EA150">
        <f>_xlfn.XLOOKUP(B150,'[1]march-2025'!$A:$A,'[1]march-2025'!$J:$J,0,0)</f>
        <v>0</v>
      </c>
      <c r="EB150">
        <f>_xlfn.XLOOKUP(B150,'[2]april-2025'!$A:$A,'[2]april-2025'!$J:$J,0,0)</f>
        <v>0</v>
      </c>
      <c r="EC150">
        <f>_xlfn.XLOOKUP(B150,'[3]may-2025'!$A:$A,'[3]may-2025'!$J:$J,0,0)</f>
        <v>0</v>
      </c>
      <c r="ED150">
        <f>_xlfn.XLOOKUP(B150,'[4]june-2025'!$A:$A,'[4]june-2025'!$J:$J,0,0)</f>
        <v>0</v>
      </c>
      <c r="EE150">
        <f>_xlfn.XLOOKUP(B150,'[5]july-2025'!$A:$A,'[5]july-2025'!$J:$J,0,0)</f>
        <v>0</v>
      </c>
      <c r="EF150">
        <f>_xlfn.XLOOKUP(B150,'[6]august-2025'!$A:$A,'[6]august-2025'!$J:$J,0,0)</f>
        <v>0</v>
      </c>
      <c r="EG150">
        <f>_xlfn.XLOOKUP(B150,'[7]september-2025'!$A:$A,'[7]september-2025'!$J:$J,0,0)</f>
        <v>0</v>
      </c>
      <c r="EH150">
        <f>_xlfn.XLOOKUP(B150,'[8]october-2025'!$A:$A,'[8]october-2025'!$J:$J,0,0)</f>
        <v>0</v>
      </c>
      <c r="EI150">
        <f>_xlfn.XLOOKUP(C150,'[9]november-2025'!$A:$A,'[9]november-2025'!$J:$J,0,0)</f>
        <v>0</v>
      </c>
      <c r="EJ150">
        <f>_xlfn.XLOOKUP(B150,'[10]december-2025'!$A:$A,'[10]december-2025'!$J:$J,0,0)</f>
        <v>0</v>
      </c>
      <c r="EK150">
        <f>_xlfn.XLOOKUP(B150,'[11]january-2026'!$A:$A,'[11]january-2026'!$J:$J,0,0)</f>
        <v>0</v>
      </c>
      <c r="EL150">
        <f>_xlfn.XLOOKUP(B150,'[12]february-2026'!$A:$A,'[12]february-2026'!$J:$J,0,0)</f>
        <v>0</v>
      </c>
      <c r="EM150">
        <f t="shared" si="409"/>
        <v>0</v>
      </c>
      <c r="EN150">
        <f t="shared" si="399"/>
        <v>502080</v>
      </c>
      <c r="EO150">
        <f t="shared" si="400"/>
        <v>2300</v>
      </c>
      <c r="EP150">
        <f t="shared" si="457"/>
        <v>50000</v>
      </c>
      <c r="EQ150">
        <v>0</v>
      </c>
      <c r="ER150">
        <f t="shared" si="410"/>
        <v>449780</v>
      </c>
      <c r="ES150">
        <f t="shared" si="401"/>
        <v>24000</v>
      </c>
      <c r="ET150">
        <f t="shared" si="402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458"/>
        <v>24000</v>
      </c>
      <c r="FF150">
        <f t="shared" si="459"/>
        <v>24000</v>
      </c>
      <c r="FG150">
        <f t="shared" si="460"/>
        <v>425780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403"/>
        <v>0</v>
      </c>
      <c r="FP150">
        <f t="shared" si="461"/>
        <v>425780</v>
      </c>
      <c r="FQ150">
        <f t="shared" si="462"/>
        <v>8789</v>
      </c>
      <c r="FR150">
        <f t="shared" si="463"/>
        <v>0</v>
      </c>
      <c r="FS150">
        <f t="shared" si="464"/>
        <v>8789</v>
      </c>
      <c r="FT150">
        <f t="shared" si="465"/>
        <v>0</v>
      </c>
      <c r="FU150">
        <f t="shared" si="466"/>
        <v>0</v>
      </c>
      <c r="FV150">
        <f t="shared" si="467"/>
        <v>0</v>
      </c>
      <c r="FW150">
        <v>0</v>
      </c>
      <c r="FX150">
        <f t="shared" si="468"/>
        <v>0</v>
      </c>
      <c r="FY150" t="b">
        <f t="shared" si="469"/>
        <v>1</v>
      </c>
      <c r="FZ150">
        <f t="shared" ca="1" si="470"/>
        <v>575</v>
      </c>
      <c r="GA150">
        <f t="shared" ca="1" si="471"/>
        <v>502655</v>
      </c>
      <c r="GB150">
        <f t="shared" si="472"/>
        <v>75000</v>
      </c>
      <c r="GC150">
        <f t="shared" ca="1" si="473"/>
        <v>427655</v>
      </c>
      <c r="GD150">
        <f t="shared" ca="1" si="474"/>
        <v>0</v>
      </c>
      <c r="GE150">
        <f t="shared" ca="1" si="475"/>
        <v>0</v>
      </c>
      <c r="GF150">
        <f t="shared" ca="1" si="476"/>
        <v>0</v>
      </c>
      <c r="GG150">
        <f t="shared" ca="1" si="477"/>
        <v>0</v>
      </c>
      <c r="GH150">
        <f t="shared" ca="1" si="478"/>
        <v>0</v>
      </c>
      <c r="GI150">
        <f t="shared" ca="1" si="479"/>
        <v>0</v>
      </c>
      <c r="GJ150">
        <f t="shared" ca="1" si="404"/>
        <v>0</v>
      </c>
      <c r="GK150">
        <f t="shared" ca="1" si="480"/>
        <v>0</v>
      </c>
      <c r="GL150">
        <f t="shared" ca="1" si="481"/>
        <v>0</v>
      </c>
      <c r="GM150">
        <f t="shared" ca="1" si="482"/>
        <v>0</v>
      </c>
      <c r="GN150">
        <f t="shared" ca="1" si="483"/>
        <v>27655</v>
      </c>
      <c r="GO150">
        <f t="shared" ca="1" si="484"/>
        <v>1382.75</v>
      </c>
      <c r="GP150">
        <f t="shared" ca="1" si="485"/>
        <v>1383</v>
      </c>
      <c r="GQ150">
        <f t="shared" ca="1" si="486"/>
        <v>0</v>
      </c>
      <c r="GR150">
        <f t="shared" ca="1" si="487"/>
        <v>0</v>
      </c>
      <c r="GS150">
        <f t="shared" ca="1" si="488"/>
        <v>1383</v>
      </c>
      <c r="GT150">
        <f t="shared" ca="1" si="489"/>
        <v>0</v>
      </c>
      <c r="GU150" t="b">
        <f t="shared" ca="1" si="490"/>
        <v>0</v>
      </c>
      <c r="GV150">
        <f t="shared" ca="1" si="491"/>
        <v>0</v>
      </c>
      <c r="GW150">
        <f t="shared" ca="1" si="492"/>
        <v>1383</v>
      </c>
      <c r="GX150">
        <f t="shared" ca="1" si="493"/>
        <v>0</v>
      </c>
      <c r="GY150">
        <f t="shared" ca="1" si="494"/>
        <v>0</v>
      </c>
      <c r="GZ150">
        <f t="shared" ca="1" si="495"/>
        <v>0</v>
      </c>
    </row>
    <row r="151" spans="1:208" x14ac:dyDescent="0.3">
      <c r="A151">
        <f>_xlfn.AGGREGATE(3,5,$B$2:B151)</f>
        <v>150</v>
      </c>
      <c r="B151" t="s">
        <v>407</v>
      </c>
      <c r="C151" t="s">
        <v>408</v>
      </c>
      <c r="D151" t="s">
        <v>790</v>
      </c>
      <c r="E151" t="s">
        <v>830</v>
      </c>
      <c r="F151" t="s">
        <v>956</v>
      </c>
      <c r="G151" t="s">
        <v>916</v>
      </c>
      <c r="H151">
        <f t="shared" si="497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412"/>
        <v>3780.0000000000005</v>
      </c>
      <c r="L151">
        <f t="shared" si="413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 t="shared" si="389"/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496"/>
        <v>150</v>
      </c>
      <c r="S151">
        <f t="shared" si="405"/>
        <v>32370</v>
      </c>
      <c r="T151">
        <f>_xlfn.XLOOKUP(B151,'[2]april-2025'!$A:$A,'[2]april-2025'!$C:$C,0,0)</f>
        <v>27000</v>
      </c>
      <c r="U151">
        <f t="shared" si="414"/>
        <v>4860</v>
      </c>
      <c r="V151">
        <f t="shared" si="415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406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416"/>
        <v>150</v>
      </c>
      <c r="AC151">
        <f t="shared" si="417"/>
        <v>33450</v>
      </c>
      <c r="AD151">
        <f>_xlfn.XLOOKUP(B151,'[3]may-2025'!$A:$A,'[3]may-2025'!$C:$C,0,0)</f>
        <v>31600</v>
      </c>
      <c r="AE151">
        <f t="shared" si="418"/>
        <v>5688</v>
      </c>
      <c r="AF151">
        <f t="shared" si="419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407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420"/>
        <v>200</v>
      </c>
      <c r="AM151">
        <f t="shared" si="421"/>
        <v>39380</v>
      </c>
      <c r="AN151">
        <f>_xlfn.XLOOKUP(B151,'[4]june-2025'!$A:$A,'[4]june-2025'!$C:$C,0,0)</f>
        <v>31600</v>
      </c>
      <c r="AO151">
        <f t="shared" si="422"/>
        <v>5688</v>
      </c>
      <c r="AP151">
        <f t="shared" si="423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408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424"/>
        <v>200</v>
      </c>
      <c r="AW151">
        <f t="shared" si="425"/>
        <v>39380</v>
      </c>
      <c r="AX151">
        <f>_xlfn.XLOOKUP(B151,'[5]july-2025'!$A:$A,'[5]july-2025'!$C:$C,0,0)</f>
        <v>32500</v>
      </c>
      <c r="AY151">
        <f t="shared" si="426"/>
        <v>5850</v>
      </c>
      <c r="AZ151">
        <v>0</v>
      </c>
      <c r="BA151">
        <f t="shared" si="427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 t="shared" si="390"/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428"/>
        <v>200</v>
      </c>
      <c r="BH151">
        <f t="shared" si="429"/>
        <v>40550</v>
      </c>
      <c r="BI151">
        <f>_xlfn.XLOOKUP(B151,'[6]august-2025'!$A:$A,'[6]august-2025'!$C:$C,0,0)</f>
        <v>32500</v>
      </c>
      <c r="BJ151">
        <f t="shared" si="430"/>
        <v>5850</v>
      </c>
      <c r="BK151">
        <f t="shared" si="431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432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 t="shared" si="391"/>
        <v>200</v>
      </c>
      <c r="BR151">
        <f t="shared" si="392"/>
        <v>40550</v>
      </c>
      <c r="BS151">
        <f>_xlfn.XLOOKUP(B151,'[7]september-2025'!$A:$A,'[7]september-2025'!$C:$C,0,0)</f>
        <v>32500</v>
      </c>
      <c r="BT151">
        <f t="shared" si="433"/>
        <v>5850</v>
      </c>
      <c r="BU151">
        <f t="shared" si="434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 t="shared" si="393"/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435"/>
        <v>200</v>
      </c>
      <c r="CB151">
        <f t="shared" si="436"/>
        <v>40550</v>
      </c>
      <c r="CC151">
        <f>_xlfn.XLOOKUP(B151,'[8]october-2025'!$A:$A,'[8]october-2025'!$C:$C,0,0)</f>
        <v>32500</v>
      </c>
      <c r="CD151">
        <f t="shared" si="437"/>
        <v>5850</v>
      </c>
      <c r="CE151">
        <f t="shared" si="438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 t="shared" si="394"/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439"/>
        <v>200</v>
      </c>
      <c r="CL151">
        <f t="shared" si="440"/>
        <v>40550</v>
      </c>
      <c r="CM151">
        <f>_xlfn.XLOOKUP(B151,'[9]november-2025'!$A:$A,'[9]november-2025'!$C:$C,0,0)</f>
        <v>32500</v>
      </c>
      <c r="CN151">
        <f t="shared" si="441"/>
        <v>5850</v>
      </c>
      <c r="CO151">
        <f t="shared" si="442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 t="shared" si="395"/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443"/>
        <v>200</v>
      </c>
      <c r="CV151">
        <f t="shared" si="444"/>
        <v>40550</v>
      </c>
      <c r="CW151">
        <f>_xlfn.XLOOKUP(B151,'[10]december-2025'!$A:$A,'[10]december-2025'!$C:$C,0,0)</f>
        <v>32500</v>
      </c>
      <c r="CX151">
        <f t="shared" si="445"/>
        <v>5850</v>
      </c>
      <c r="CY151">
        <f t="shared" si="446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 t="shared" si="396"/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447"/>
        <v>200</v>
      </c>
      <c r="DF151">
        <f t="shared" si="448"/>
        <v>40550</v>
      </c>
      <c r="DG151">
        <f>_xlfn.XLOOKUP(B151,'[11]january-2026'!$A:$A,'[11]january-2026'!$C:$C,0,0)</f>
        <v>32500</v>
      </c>
      <c r="DH151">
        <f t="shared" si="449"/>
        <v>5850</v>
      </c>
      <c r="DI151">
        <f t="shared" si="450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397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51"/>
        <v>200</v>
      </c>
      <c r="DP151">
        <f t="shared" si="452"/>
        <v>40550</v>
      </c>
      <c r="DQ151">
        <f>_xlfn.XLOOKUP(B151,'[12]february-2026'!$A:$A,'[12]february-2026'!$C:$C,0,0)</f>
        <v>32500</v>
      </c>
      <c r="DR151">
        <f t="shared" si="453"/>
        <v>5850</v>
      </c>
      <c r="DS151">
        <f t="shared" si="454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398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55"/>
        <v>200</v>
      </c>
      <c r="DZ151">
        <f t="shared" si="456"/>
        <v>40550</v>
      </c>
      <c r="EA151">
        <f>_xlfn.XLOOKUP(B151,'[1]march-2025'!$A:$A,'[1]march-2025'!$J:$J,0,0)</f>
        <v>0</v>
      </c>
      <c r="EB151">
        <f>_xlfn.XLOOKUP(B151,'[2]april-2025'!$A:$A,'[2]april-2025'!$J:$J,0,0)</f>
        <v>0</v>
      </c>
      <c r="EC151">
        <f>_xlfn.XLOOKUP(B151,'[3]may-2025'!$A:$A,'[3]may-2025'!$J:$J,0,0)</f>
        <v>0</v>
      </c>
      <c r="ED151">
        <f>_xlfn.XLOOKUP(B151,'[4]june-2025'!$A:$A,'[4]june-2025'!$J:$J,0,0)</f>
        <v>0</v>
      </c>
      <c r="EE151">
        <f>_xlfn.XLOOKUP(B151,'[5]july-2025'!$A:$A,'[5]july-2025'!$J:$J,0,0)</f>
        <v>0</v>
      </c>
      <c r="EF151">
        <f>_xlfn.XLOOKUP(B151,'[6]august-2025'!$A:$A,'[6]august-2025'!$J:$J,0,0)</f>
        <v>0</v>
      </c>
      <c r="EG151">
        <f>_xlfn.XLOOKUP(B151,'[7]september-2025'!$A:$A,'[7]september-2025'!$J:$J,0,0)</f>
        <v>0</v>
      </c>
      <c r="EH151">
        <f>_xlfn.XLOOKUP(B151,'[8]october-2025'!$A:$A,'[8]october-2025'!$J:$J,0,0)</f>
        <v>0</v>
      </c>
      <c r="EI151">
        <f>_xlfn.XLOOKUP(C151,'[9]november-2025'!$A:$A,'[9]november-2025'!$J:$J,0,0)</f>
        <v>0</v>
      </c>
      <c r="EJ151">
        <f>_xlfn.XLOOKUP(B151,'[10]december-2025'!$A:$A,'[10]december-2025'!$J:$J,0,0)</f>
        <v>0</v>
      </c>
      <c r="EK151">
        <f>_xlfn.XLOOKUP(B151,'[11]january-2026'!$A:$A,'[11]january-2026'!$J:$J,0,0)</f>
        <v>0</v>
      </c>
      <c r="EL151">
        <f>_xlfn.XLOOKUP(B151,'[12]february-2026'!$A:$A,'[12]february-2026'!$J:$J,0,0)</f>
        <v>0</v>
      </c>
      <c r="EM151">
        <f t="shared" si="409"/>
        <v>0</v>
      </c>
      <c r="EN151">
        <f t="shared" si="399"/>
        <v>502080</v>
      </c>
      <c r="EO151">
        <f t="shared" si="400"/>
        <v>2300</v>
      </c>
      <c r="EP151">
        <f t="shared" si="457"/>
        <v>50000</v>
      </c>
      <c r="EQ151">
        <v>0</v>
      </c>
      <c r="ER151">
        <f t="shared" si="410"/>
        <v>449780</v>
      </c>
      <c r="ES151">
        <f t="shared" si="401"/>
        <v>24000</v>
      </c>
      <c r="ET151">
        <f t="shared" si="402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458"/>
        <v>24000</v>
      </c>
      <c r="FF151">
        <f t="shared" si="459"/>
        <v>24000</v>
      </c>
      <c r="FG151">
        <f t="shared" si="460"/>
        <v>425780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403"/>
        <v>0</v>
      </c>
      <c r="FP151">
        <f t="shared" si="461"/>
        <v>425780</v>
      </c>
      <c r="FQ151">
        <f t="shared" si="462"/>
        <v>8789</v>
      </c>
      <c r="FR151">
        <f t="shared" si="463"/>
        <v>0</v>
      </c>
      <c r="FS151">
        <f t="shared" si="464"/>
        <v>8789</v>
      </c>
      <c r="FT151">
        <f t="shared" si="465"/>
        <v>0</v>
      </c>
      <c r="FU151">
        <f t="shared" si="466"/>
        <v>0</v>
      </c>
      <c r="FV151">
        <f t="shared" si="467"/>
        <v>0</v>
      </c>
      <c r="FW151">
        <v>0</v>
      </c>
      <c r="FX151">
        <f t="shared" si="468"/>
        <v>0</v>
      </c>
      <c r="FY151" t="b">
        <f t="shared" si="469"/>
        <v>1</v>
      </c>
      <c r="FZ151">
        <f t="shared" ca="1" si="470"/>
        <v>695</v>
      </c>
      <c r="GA151">
        <f t="shared" ca="1" si="471"/>
        <v>502775</v>
      </c>
      <c r="GB151">
        <f t="shared" si="472"/>
        <v>75000</v>
      </c>
      <c r="GC151">
        <f t="shared" ca="1" si="473"/>
        <v>427775</v>
      </c>
      <c r="GD151">
        <f t="shared" ca="1" si="474"/>
        <v>0</v>
      </c>
      <c r="GE151">
        <f t="shared" ca="1" si="475"/>
        <v>0</v>
      </c>
      <c r="GF151">
        <f t="shared" ca="1" si="476"/>
        <v>0</v>
      </c>
      <c r="GG151">
        <f t="shared" ca="1" si="477"/>
        <v>0</v>
      </c>
      <c r="GH151">
        <f t="shared" ca="1" si="478"/>
        <v>0</v>
      </c>
      <c r="GI151">
        <f t="shared" ca="1" si="479"/>
        <v>0</v>
      </c>
      <c r="GJ151">
        <f t="shared" ca="1" si="404"/>
        <v>0</v>
      </c>
      <c r="GK151">
        <f t="shared" ca="1" si="480"/>
        <v>0</v>
      </c>
      <c r="GL151">
        <f t="shared" ca="1" si="481"/>
        <v>0</v>
      </c>
      <c r="GM151">
        <f t="shared" ca="1" si="482"/>
        <v>0</v>
      </c>
      <c r="GN151">
        <f t="shared" ca="1" si="483"/>
        <v>27775</v>
      </c>
      <c r="GO151">
        <f t="shared" ca="1" si="484"/>
        <v>1388.75</v>
      </c>
      <c r="GP151">
        <f t="shared" ca="1" si="485"/>
        <v>1389</v>
      </c>
      <c r="GQ151">
        <f t="shared" ca="1" si="486"/>
        <v>0</v>
      </c>
      <c r="GR151">
        <f t="shared" ca="1" si="487"/>
        <v>0</v>
      </c>
      <c r="GS151">
        <f t="shared" ca="1" si="488"/>
        <v>1389</v>
      </c>
      <c r="GT151">
        <f t="shared" ca="1" si="489"/>
        <v>0</v>
      </c>
      <c r="GU151" t="b">
        <f t="shared" ca="1" si="490"/>
        <v>0</v>
      </c>
      <c r="GV151">
        <f t="shared" ca="1" si="491"/>
        <v>0</v>
      </c>
      <c r="GW151">
        <f t="shared" ca="1" si="492"/>
        <v>1389</v>
      </c>
      <c r="GX151">
        <f t="shared" ca="1" si="493"/>
        <v>0</v>
      </c>
      <c r="GY151">
        <f t="shared" ca="1" si="494"/>
        <v>0</v>
      </c>
      <c r="GZ151">
        <f t="shared" ca="1" si="495"/>
        <v>0</v>
      </c>
    </row>
    <row r="152" spans="1:208" x14ac:dyDescent="0.3">
      <c r="A152">
        <f>_xlfn.AGGREGATE(3,5,$B$2:B152)</f>
        <v>151</v>
      </c>
      <c r="B152" t="s">
        <v>409</v>
      </c>
      <c r="C152" t="s">
        <v>410</v>
      </c>
      <c r="D152" t="s">
        <v>790</v>
      </c>
      <c r="E152" t="s">
        <v>830</v>
      </c>
      <c r="F152" t="s">
        <v>956</v>
      </c>
      <c r="G152" t="s">
        <v>930</v>
      </c>
      <c r="H152">
        <f t="shared" si="497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412"/>
        <v>4046.0000000000005</v>
      </c>
      <c r="L152">
        <f t="shared" si="413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389"/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496"/>
        <v>150</v>
      </c>
      <c r="S152">
        <f t="shared" si="405"/>
        <v>36264</v>
      </c>
      <c r="T152">
        <f>_xlfn.XLOOKUP(B152,'[2]april-2025'!$A:$A,'[2]april-2025'!$C:$C,0,0)</f>
        <v>28900</v>
      </c>
      <c r="U152">
        <f t="shared" si="414"/>
        <v>5202</v>
      </c>
      <c r="V152">
        <f t="shared" si="415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406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416"/>
        <v>150</v>
      </c>
      <c r="AC152">
        <f t="shared" si="417"/>
        <v>37420</v>
      </c>
      <c r="AD152">
        <f>_xlfn.XLOOKUP(B152,'[3]may-2025'!$A:$A,'[3]may-2025'!$C:$C,0,0)</f>
        <v>28900</v>
      </c>
      <c r="AE152">
        <f t="shared" si="418"/>
        <v>5202</v>
      </c>
      <c r="AF152">
        <f t="shared" si="419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407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420"/>
        <v>150</v>
      </c>
      <c r="AM152">
        <f t="shared" si="421"/>
        <v>37420</v>
      </c>
      <c r="AN152">
        <f>_xlfn.XLOOKUP(B152,'[4]june-2025'!$A:$A,'[4]june-2025'!$C:$C,0,0)</f>
        <v>28900</v>
      </c>
      <c r="AO152">
        <f t="shared" si="422"/>
        <v>5202</v>
      </c>
      <c r="AP152">
        <f t="shared" si="423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408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424"/>
        <v>150</v>
      </c>
      <c r="AW152">
        <f t="shared" si="425"/>
        <v>37420</v>
      </c>
      <c r="AX152">
        <f>_xlfn.XLOOKUP(B152,'[5]july-2025'!$A:$A,'[5]july-2025'!$C:$C,0,0)</f>
        <v>29800</v>
      </c>
      <c r="AY152">
        <f t="shared" si="426"/>
        <v>5364</v>
      </c>
      <c r="AZ152">
        <v>0</v>
      </c>
      <c r="BA152">
        <f t="shared" si="427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390"/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428"/>
        <v>150</v>
      </c>
      <c r="BH152">
        <f t="shared" si="429"/>
        <v>38590</v>
      </c>
      <c r="BI152">
        <f>_xlfn.XLOOKUP(B152,'[6]august-2025'!$A:$A,'[6]august-2025'!$C:$C,0,0)</f>
        <v>29800</v>
      </c>
      <c r="BJ152">
        <f t="shared" si="430"/>
        <v>5364</v>
      </c>
      <c r="BK152">
        <f t="shared" si="431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432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 t="shared" si="391"/>
        <v>150</v>
      </c>
      <c r="BR152">
        <f t="shared" si="392"/>
        <v>38590</v>
      </c>
      <c r="BS152">
        <f>_xlfn.XLOOKUP(B152,'[7]september-2025'!$A:$A,'[7]september-2025'!$C:$C,0,0)</f>
        <v>29800</v>
      </c>
      <c r="BT152">
        <f t="shared" si="433"/>
        <v>5364</v>
      </c>
      <c r="BU152">
        <f t="shared" si="434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393"/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435"/>
        <v>150</v>
      </c>
      <c r="CB152">
        <f t="shared" si="436"/>
        <v>36590</v>
      </c>
      <c r="CC152">
        <f>_xlfn.XLOOKUP(B152,'[8]october-2025'!$A:$A,'[8]october-2025'!$C:$C,0,0)</f>
        <v>29800</v>
      </c>
      <c r="CD152">
        <f t="shared" si="437"/>
        <v>5364</v>
      </c>
      <c r="CE152">
        <f t="shared" si="438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394"/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439"/>
        <v>150</v>
      </c>
      <c r="CL152">
        <f t="shared" si="440"/>
        <v>36590</v>
      </c>
      <c r="CM152">
        <f>_xlfn.XLOOKUP(B152,'[9]november-2025'!$A:$A,'[9]november-2025'!$C:$C,0,0)</f>
        <v>29800</v>
      </c>
      <c r="CN152">
        <f t="shared" si="441"/>
        <v>5364</v>
      </c>
      <c r="CO152">
        <f t="shared" si="442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395"/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443"/>
        <v>150</v>
      </c>
      <c r="CV152">
        <f t="shared" si="444"/>
        <v>36590</v>
      </c>
      <c r="CW152">
        <f>_xlfn.XLOOKUP(B152,'[10]december-2025'!$A:$A,'[10]december-2025'!$C:$C,0,0)</f>
        <v>29800</v>
      </c>
      <c r="CX152">
        <f t="shared" si="445"/>
        <v>5364</v>
      </c>
      <c r="CY152">
        <f t="shared" si="446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396"/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447"/>
        <v>150</v>
      </c>
      <c r="DF152">
        <f t="shared" si="448"/>
        <v>36590</v>
      </c>
      <c r="DG152">
        <f>_xlfn.XLOOKUP(B152,'[11]january-2026'!$A:$A,'[11]january-2026'!$C:$C,0,0)</f>
        <v>29800</v>
      </c>
      <c r="DH152">
        <f t="shared" si="449"/>
        <v>5364</v>
      </c>
      <c r="DI152">
        <f t="shared" si="450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397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51"/>
        <v>150</v>
      </c>
      <c r="DP152">
        <f t="shared" si="452"/>
        <v>36590</v>
      </c>
      <c r="DQ152">
        <f>_xlfn.XLOOKUP(B152,'[12]february-2026'!$A:$A,'[12]february-2026'!$C:$C,0,0)</f>
        <v>29800</v>
      </c>
      <c r="DR152">
        <f t="shared" si="453"/>
        <v>5364</v>
      </c>
      <c r="DS152">
        <f t="shared" si="454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398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55"/>
        <v>150</v>
      </c>
      <c r="DZ152">
        <f t="shared" si="456"/>
        <v>36590</v>
      </c>
      <c r="EA152">
        <f>_xlfn.XLOOKUP(B152,'[1]march-2025'!$A:$A,'[1]march-2025'!$J:$J,0,0)</f>
        <v>0</v>
      </c>
      <c r="EB152">
        <f>_xlfn.XLOOKUP(B152,'[2]april-2025'!$A:$A,'[2]april-2025'!$J:$J,0,0)</f>
        <v>0</v>
      </c>
      <c r="EC152">
        <f>_xlfn.XLOOKUP(B152,'[3]may-2025'!$A:$A,'[3]may-2025'!$J:$J,0,0)</f>
        <v>0</v>
      </c>
      <c r="ED152">
        <f>_xlfn.XLOOKUP(B152,'[4]june-2025'!$A:$A,'[4]june-2025'!$J:$J,0,0)</f>
        <v>0</v>
      </c>
      <c r="EE152">
        <f>_xlfn.XLOOKUP(B152,'[5]july-2025'!$A:$A,'[5]july-2025'!$J:$J,0,0)</f>
        <v>0</v>
      </c>
      <c r="EF152">
        <f>_xlfn.XLOOKUP(B152,'[6]august-2025'!$A:$A,'[6]august-2025'!$J:$J,0,0)</f>
        <v>68886</v>
      </c>
      <c r="EG152">
        <f>_xlfn.XLOOKUP(B152,'[7]september-2025'!$A:$A,'[7]september-2025'!$J:$J,0,0)</f>
        <v>0</v>
      </c>
      <c r="EH152">
        <f>_xlfn.XLOOKUP(B152,'[8]october-2025'!$A:$A,'[8]october-2025'!$J:$J,0,0)</f>
        <v>0</v>
      </c>
      <c r="EI152">
        <f>_xlfn.XLOOKUP(C152,'[9]november-2025'!$A:$A,'[9]november-2025'!$J:$J,0,0)</f>
        <v>0</v>
      </c>
      <c r="EJ152">
        <f>_xlfn.XLOOKUP(B152,'[10]december-2025'!$A:$A,'[10]december-2025'!$J:$J,0,0)</f>
        <v>0</v>
      </c>
      <c r="EK152">
        <f>_xlfn.XLOOKUP(B152,'[11]january-2026'!$A:$A,'[11]january-2026'!$J:$J,0,0)</f>
        <v>0</v>
      </c>
      <c r="EL152">
        <f>_xlfn.XLOOKUP(B152,'[12]february-2026'!$A:$A,'[12]february-2026'!$J:$J,0,0)</f>
        <v>0</v>
      </c>
      <c r="EM152">
        <f t="shared" si="409"/>
        <v>68886</v>
      </c>
      <c r="EN152">
        <f t="shared" si="399"/>
        <v>465844</v>
      </c>
      <c r="EO152">
        <f t="shared" si="400"/>
        <v>1800</v>
      </c>
      <c r="EP152">
        <f t="shared" si="457"/>
        <v>50000</v>
      </c>
      <c r="EQ152">
        <v>0</v>
      </c>
      <c r="ER152">
        <f t="shared" si="410"/>
        <v>482930</v>
      </c>
      <c r="ES152">
        <f t="shared" si="401"/>
        <v>12000</v>
      </c>
      <c r="ET152">
        <f t="shared" si="402"/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458"/>
        <v>12000</v>
      </c>
      <c r="FF152">
        <f t="shared" si="459"/>
        <v>12000</v>
      </c>
      <c r="FG152">
        <f t="shared" si="460"/>
        <v>470930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403"/>
        <v>0</v>
      </c>
      <c r="FP152">
        <f t="shared" si="461"/>
        <v>470930</v>
      </c>
      <c r="FQ152">
        <f t="shared" si="462"/>
        <v>11047</v>
      </c>
      <c r="FR152">
        <f t="shared" si="463"/>
        <v>0</v>
      </c>
      <c r="FS152">
        <f t="shared" si="464"/>
        <v>11047</v>
      </c>
      <c r="FT152">
        <f t="shared" si="465"/>
        <v>0</v>
      </c>
      <c r="FU152">
        <f t="shared" si="466"/>
        <v>0</v>
      </c>
      <c r="FV152">
        <f t="shared" si="467"/>
        <v>0</v>
      </c>
      <c r="FW152">
        <v>0</v>
      </c>
      <c r="FX152">
        <f t="shared" si="468"/>
        <v>0</v>
      </c>
      <c r="FY152" t="b">
        <f t="shared" si="469"/>
        <v>0</v>
      </c>
      <c r="FZ152">
        <f t="shared" ca="1" si="470"/>
        <v>1965</v>
      </c>
      <c r="GA152">
        <f t="shared" ca="1" si="471"/>
        <v>467809</v>
      </c>
      <c r="GB152">
        <f t="shared" si="472"/>
        <v>75000</v>
      </c>
      <c r="GC152">
        <f t="shared" ca="1" si="473"/>
        <v>392809</v>
      </c>
      <c r="GD152">
        <f t="shared" ca="1" si="474"/>
        <v>0</v>
      </c>
      <c r="GE152">
        <f t="shared" ca="1" si="475"/>
        <v>0</v>
      </c>
      <c r="GF152">
        <f t="shared" ca="1" si="476"/>
        <v>0</v>
      </c>
      <c r="GG152">
        <f t="shared" ca="1" si="477"/>
        <v>0</v>
      </c>
      <c r="GH152">
        <f t="shared" ca="1" si="478"/>
        <v>0</v>
      </c>
      <c r="GI152">
        <f t="shared" ca="1" si="479"/>
        <v>0</v>
      </c>
      <c r="GJ152">
        <f t="shared" ca="1" si="404"/>
        <v>0</v>
      </c>
      <c r="GK152">
        <f t="shared" ca="1" si="480"/>
        <v>0</v>
      </c>
      <c r="GL152">
        <f t="shared" ca="1" si="481"/>
        <v>0</v>
      </c>
      <c r="GM152">
        <f t="shared" ca="1" si="482"/>
        <v>0</v>
      </c>
      <c r="GN152">
        <f t="shared" ca="1" si="483"/>
        <v>0</v>
      </c>
      <c r="GO152">
        <f t="shared" ca="1" si="484"/>
        <v>0</v>
      </c>
      <c r="GP152">
        <f t="shared" ca="1" si="485"/>
        <v>0</v>
      </c>
      <c r="GQ152">
        <f t="shared" ca="1" si="486"/>
        <v>0</v>
      </c>
      <c r="GR152">
        <f t="shared" ca="1" si="487"/>
        <v>0</v>
      </c>
      <c r="GS152">
        <f t="shared" ca="1" si="488"/>
        <v>0</v>
      </c>
      <c r="GT152">
        <f t="shared" ca="1" si="489"/>
        <v>0</v>
      </c>
      <c r="GU152" t="b">
        <f t="shared" ca="1" si="490"/>
        <v>0</v>
      </c>
      <c r="GV152">
        <f t="shared" ca="1" si="491"/>
        <v>0</v>
      </c>
      <c r="GW152">
        <f t="shared" ca="1" si="492"/>
        <v>0</v>
      </c>
      <c r="GX152">
        <f t="shared" ca="1" si="493"/>
        <v>0</v>
      </c>
      <c r="GY152">
        <f t="shared" ca="1" si="494"/>
        <v>0</v>
      </c>
      <c r="GZ152">
        <f t="shared" ca="1" si="495"/>
        <v>0</v>
      </c>
    </row>
    <row r="153" spans="1:208" x14ac:dyDescent="0.3">
      <c r="A153">
        <f>_xlfn.AGGREGATE(3,5,$B$2:B153)</f>
        <v>152</v>
      </c>
      <c r="B153" t="s">
        <v>411</v>
      </c>
      <c r="C153" t="s">
        <v>412</v>
      </c>
      <c r="D153" t="s">
        <v>791</v>
      </c>
      <c r="E153" t="s">
        <v>830</v>
      </c>
      <c r="F153" t="s">
        <v>956</v>
      </c>
      <c r="G153" t="s">
        <v>884</v>
      </c>
      <c r="H153">
        <f t="shared" si="497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412"/>
        <v>6818.0000000000009</v>
      </c>
      <c r="L153">
        <f t="shared" si="413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 t="shared" si="389"/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496"/>
        <v>200</v>
      </c>
      <c r="S153">
        <f t="shared" si="405"/>
        <v>54062</v>
      </c>
      <c r="T153">
        <f>_xlfn.XLOOKUP(B153,'[2]april-2025'!$A:$A,'[2]april-2025'!$C:$C,0,0)</f>
        <v>48700</v>
      </c>
      <c r="U153">
        <f t="shared" si="414"/>
        <v>8766</v>
      </c>
      <c r="V153">
        <f t="shared" si="415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406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416"/>
        <v>200</v>
      </c>
      <c r="AC153">
        <f t="shared" si="417"/>
        <v>56010</v>
      </c>
      <c r="AD153">
        <f>_xlfn.XLOOKUP(B153,'[3]may-2025'!$A:$A,'[3]may-2025'!$C:$C,0,0)</f>
        <v>48700</v>
      </c>
      <c r="AE153">
        <f t="shared" si="418"/>
        <v>8766</v>
      </c>
      <c r="AF153">
        <f t="shared" si="419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407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420"/>
        <v>200</v>
      </c>
      <c r="AM153">
        <f t="shared" si="421"/>
        <v>56010</v>
      </c>
      <c r="AN153">
        <f>_xlfn.XLOOKUP(B153,'[4]june-2025'!$A:$A,'[4]june-2025'!$C:$C,0,0)</f>
        <v>48700</v>
      </c>
      <c r="AO153">
        <f t="shared" si="422"/>
        <v>8766</v>
      </c>
      <c r="AP153">
        <f t="shared" si="423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408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424"/>
        <v>200</v>
      </c>
      <c r="AW153">
        <f t="shared" si="425"/>
        <v>56010</v>
      </c>
      <c r="AX153">
        <f>_xlfn.XLOOKUP(B153,'[5]july-2025'!$A:$A,'[5]july-2025'!$C:$C,0,0)</f>
        <v>50200</v>
      </c>
      <c r="AY153">
        <f t="shared" si="426"/>
        <v>9036</v>
      </c>
      <c r="AZ153">
        <v>0</v>
      </c>
      <c r="BA153">
        <f t="shared" si="427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 t="shared" si="390"/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428"/>
        <v>200</v>
      </c>
      <c r="BH153">
        <f t="shared" si="429"/>
        <v>57960</v>
      </c>
      <c r="BI153">
        <f>_xlfn.XLOOKUP(B153,'[6]august-2025'!$A:$A,'[6]august-2025'!$C:$C,0,0)</f>
        <v>50200</v>
      </c>
      <c r="BJ153">
        <f t="shared" si="430"/>
        <v>9036</v>
      </c>
      <c r="BK153">
        <f t="shared" si="431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432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 t="shared" si="391"/>
        <v>200</v>
      </c>
      <c r="BR153">
        <f t="shared" si="392"/>
        <v>57960</v>
      </c>
      <c r="BS153">
        <f>_xlfn.XLOOKUP(B153,'[7]september-2025'!$A:$A,'[7]september-2025'!$C:$C,0,0)</f>
        <v>50200</v>
      </c>
      <c r="BT153">
        <f t="shared" si="433"/>
        <v>9036</v>
      </c>
      <c r="BU153">
        <f t="shared" si="434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 t="shared" si="393"/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435"/>
        <v>200</v>
      </c>
      <c r="CB153">
        <f t="shared" si="436"/>
        <v>57960</v>
      </c>
      <c r="CC153">
        <f>_xlfn.XLOOKUP(B153,'[8]october-2025'!$A:$A,'[8]october-2025'!$C:$C,0,0)</f>
        <v>50200</v>
      </c>
      <c r="CD153">
        <f t="shared" si="437"/>
        <v>9036</v>
      </c>
      <c r="CE153">
        <f t="shared" si="438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 t="shared" si="394"/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439"/>
        <v>200</v>
      </c>
      <c r="CL153">
        <f t="shared" si="440"/>
        <v>57960</v>
      </c>
      <c r="CM153">
        <f>_xlfn.XLOOKUP(B153,'[9]november-2025'!$A:$A,'[9]november-2025'!$C:$C,0,0)</f>
        <v>50200</v>
      </c>
      <c r="CN153">
        <f t="shared" si="441"/>
        <v>9036</v>
      </c>
      <c r="CO153">
        <f t="shared" si="442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 t="shared" si="395"/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443"/>
        <v>200</v>
      </c>
      <c r="CV153">
        <f t="shared" si="444"/>
        <v>57960</v>
      </c>
      <c r="CW153">
        <f>_xlfn.XLOOKUP(B153,'[10]december-2025'!$A:$A,'[10]december-2025'!$C:$C,0,0)</f>
        <v>50200</v>
      </c>
      <c r="CX153">
        <f t="shared" si="445"/>
        <v>9036</v>
      </c>
      <c r="CY153">
        <f t="shared" si="446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 t="shared" si="396"/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447"/>
        <v>200</v>
      </c>
      <c r="DF153">
        <f t="shared" si="448"/>
        <v>57960</v>
      </c>
      <c r="DG153">
        <f>_xlfn.XLOOKUP(B153,'[11]january-2026'!$A:$A,'[11]january-2026'!$C:$C,0,0)</f>
        <v>50200</v>
      </c>
      <c r="DH153">
        <f t="shared" si="449"/>
        <v>9036</v>
      </c>
      <c r="DI153">
        <f t="shared" si="450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397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51"/>
        <v>200</v>
      </c>
      <c r="DP153">
        <f t="shared" si="452"/>
        <v>57960</v>
      </c>
      <c r="DQ153">
        <f>_xlfn.XLOOKUP(B153,'[12]february-2026'!$A:$A,'[12]february-2026'!$C:$C,0,0)</f>
        <v>50200</v>
      </c>
      <c r="DR153">
        <f t="shared" si="453"/>
        <v>9036</v>
      </c>
      <c r="DS153">
        <f t="shared" si="454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398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55"/>
        <v>200</v>
      </c>
      <c r="DZ153">
        <f t="shared" si="456"/>
        <v>57960</v>
      </c>
      <c r="EA153">
        <f>_xlfn.XLOOKUP(B153,'[1]march-2025'!$A:$A,'[1]march-2025'!$J:$J,0,0)</f>
        <v>0</v>
      </c>
      <c r="EB153">
        <f>_xlfn.XLOOKUP(B153,'[2]april-2025'!$A:$A,'[2]april-2025'!$J:$J,0,0)</f>
        <v>0</v>
      </c>
      <c r="EC153">
        <f>_xlfn.XLOOKUP(B153,'[3]may-2025'!$A:$A,'[3]may-2025'!$J:$J,0,0)</f>
        <v>0</v>
      </c>
      <c r="ED153">
        <f>_xlfn.XLOOKUP(B153,'[4]june-2025'!$A:$A,'[4]june-2025'!$J:$J,0,0)</f>
        <v>0</v>
      </c>
      <c r="EE153">
        <f>_xlfn.XLOOKUP(B153,'[5]july-2025'!$A:$A,'[5]july-2025'!$J:$J,0,0)</f>
        <v>0</v>
      </c>
      <c r="EF153">
        <f>_xlfn.XLOOKUP(B153,'[6]august-2025'!$A:$A,'[6]august-2025'!$J:$J,0,0)</f>
        <v>0</v>
      </c>
      <c r="EG153">
        <f>_xlfn.XLOOKUP(B153,'[7]september-2025'!$A:$A,'[7]september-2025'!$J:$J,0,0)</f>
        <v>0</v>
      </c>
      <c r="EH153">
        <f>_xlfn.XLOOKUP(B153,'[8]october-2025'!$A:$A,'[8]october-2025'!$J:$J,0,0)</f>
        <v>0</v>
      </c>
      <c r="EI153">
        <f>_xlfn.XLOOKUP(C153,'[9]november-2025'!$A:$A,'[9]november-2025'!$J:$J,0,0)</f>
        <v>0</v>
      </c>
      <c r="EJ153">
        <f>_xlfn.XLOOKUP(B153,'[10]december-2025'!$A:$A,'[10]december-2025'!$J:$J,0,0)</f>
        <v>0</v>
      </c>
      <c r="EK153">
        <f>_xlfn.XLOOKUP(B153,'[11]january-2026'!$A:$A,'[11]january-2026'!$J:$J,0,0)</f>
        <v>0</v>
      </c>
      <c r="EL153">
        <f>_xlfn.XLOOKUP(B153,'[12]february-2026'!$A:$A,'[12]february-2026'!$J:$J,0,0)</f>
        <v>0</v>
      </c>
      <c r="EM153">
        <f t="shared" si="409"/>
        <v>0</v>
      </c>
      <c r="EN153">
        <f t="shared" si="399"/>
        <v>790972</v>
      </c>
      <c r="EO153">
        <f t="shared" si="400"/>
        <v>2400</v>
      </c>
      <c r="EP153">
        <f t="shared" si="457"/>
        <v>50000</v>
      </c>
      <c r="EQ153">
        <v>0</v>
      </c>
      <c r="ER153">
        <f t="shared" si="410"/>
        <v>738572</v>
      </c>
      <c r="ES153">
        <f t="shared" si="401"/>
        <v>96000</v>
      </c>
      <c r="ET153">
        <f t="shared" si="402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458"/>
        <v>96000</v>
      </c>
      <c r="FF153">
        <f t="shared" si="459"/>
        <v>96000</v>
      </c>
      <c r="FG153">
        <f t="shared" si="460"/>
        <v>642572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403"/>
        <v>0</v>
      </c>
      <c r="FP153">
        <f t="shared" si="461"/>
        <v>642572</v>
      </c>
      <c r="FQ153">
        <f t="shared" si="462"/>
        <v>12500</v>
      </c>
      <c r="FR153">
        <f t="shared" si="463"/>
        <v>28514</v>
      </c>
      <c r="FS153">
        <f t="shared" si="464"/>
        <v>41014</v>
      </c>
      <c r="FT153">
        <f t="shared" si="465"/>
        <v>41014</v>
      </c>
      <c r="FU153">
        <f t="shared" si="466"/>
        <v>1640.56</v>
      </c>
      <c r="FV153">
        <f t="shared" si="467"/>
        <v>42655</v>
      </c>
      <c r="FW153">
        <v>0</v>
      </c>
      <c r="FX153">
        <f t="shared" si="468"/>
        <v>42655</v>
      </c>
      <c r="FY153" t="b">
        <f t="shared" si="469"/>
        <v>1</v>
      </c>
      <c r="FZ153">
        <f t="shared" ca="1" si="470"/>
        <v>626</v>
      </c>
      <c r="GA153">
        <f t="shared" ca="1" si="471"/>
        <v>791598</v>
      </c>
      <c r="GB153">
        <f t="shared" si="472"/>
        <v>75000</v>
      </c>
      <c r="GC153">
        <f t="shared" ca="1" si="473"/>
        <v>716598</v>
      </c>
      <c r="GD153">
        <f t="shared" ca="1" si="474"/>
        <v>0</v>
      </c>
      <c r="GE153">
        <f t="shared" ca="1" si="475"/>
        <v>0</v>
      </c>
      <c r="GF153">
        <f t="shared" ca="1" si="476"/>
        <v>0</v>
      </c>
      <c r="GG153">
        <f t="shared" ca="1" si="477"/>
        <v>0</v>
      </c>
      <c r="GH153">
        <f t="shared" ca="1" si="478"/>
        <v>0</v>
      </c>
      <c r="GI153">
        <f t="shared" ca="1" si="479"/>
        <v>0</v>
      </c>
      <c r="GJ153">
        <f t="shared" ca="1" si="404"/>
        <v>0</v>
      </c>
      <c r="GK153">
        <f t="shared" ca="1" si="480"/>
        <v>0</v>
      </c>
      <c r="GL153">
        <f t="shared" ca="1" si="481"/>
        <v>0</v>
      </c>
      <c r="GM153">
        <f t="shared" ca="1" si="482"/>
        <v>0</v>
      </c>
      <c r="GN153">
        <f t="shared" ca="1" si="483"/>
        <v>316598</v>
      </c>
      <c r="GO153">
        <f t="shared" ca="1" si="484"/>
        <v>15829.900000000001</v>
      </c>
      <c r="GP153">
        <f t="shared" ca="1" si="485"/>
        <v>15830</v>
      </c>
      <c r="GQ153">
        <f t="shared" ca="1" si="486"/>
        <v>0</v>
      </c>
      <c r="GR153">
        <f t="shared" ca="1" si="487"/>
        <v>0</v>
      </c>
      <c r="GS153">
        <f t="shared" ca="1" si="488"/>
        <v>15830</v>
      </c>
      <c r="GT153">
        <f t="shared" ca="1" si="489"/>
        <v>0</v>
      </c>
      <c r="GU153" t="b">
        <f t="shared" ca="1" si="490"/>
        <v>0</v>
      </c>
      <c r="GV153">
        <f t="shared" ca="1" si="491"/>
        <v>0</v>
      </c>
      <c r="GW153">
        <f t="shared" ca="1" si="492"/>
        <v>15830</v>
      </c>
      <c r="GX153">
        <f t="shared" ca="1" si="493"/>
        <v>0</v>
      </c>
      <c r="GY153">
        <f t="shared" ca="1" si="494"/>
        <v>0</v>
      </c>
      <c r="GZ153">
        <f t="shared" ca="1" si="495"/>
        <v>0</v>
      </c>
    </row>
    <row r="154" spans="1:208" x14ac:dyDescent="0.3">
      <c r="A154">
        <f>_xlfn.AGGREGATE(3,5,$B$2:B154)</f>
        <v>153</v>
      </c>
      <c r="B154" t="s">
        <v>413</v>
      </c>
      <c r="C154" t="s">
        <v>414</v>
      </c>
      <c r="D154" t="s">
        <v>791</v>
      </c>
      <c r="E154" t="s">
        <v>830</v>
      </c>
      <c r="F154" t="s">
        <v>956</v>
      </c>
      <c r="G154" t="s">
        <v>931</v>
      </c>
      <c r="H154">
        <f t="shared" si="497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412"/>
        <v>6622.0000000000009</v>
      </c>
      <c r="L154">
        <f t="shared" si="413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389"/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496"/>
        <v>200</v>
      </c>
      <c r="S154">
        <f t="shared" si="405"/>
        <v>50398</v>
      </c>
      <c r="T154">
        <f>_xlfn.XLOOKUP(B154,'[2]april-2025'!$A:$A,'[2]april-2025'!$C:$C,0,0)</f>
        <v>47300</v>
      </c>
      <c r="U154">
        <f t="shared" si="414"/>
        <v>8514</v>
      </c>
      <c r="V154">
        <f t="shared" si="415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406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416"/>
        <v>200</v>
      </c>
      <c r="AC154">
        <f t="shared" si="417"/>
        <v>52290</v>
      </c>
      <c r="AD154">
        <f>_xlfn.XLOOKUP(B154,'[3]may-2025'!$A:$A,'[3]may-2025'!$C:$C,0,0)</f>
        <v>47300</v>
      </c>
      <c r="AE154">
        <f t="shared" si="418"/>
        <v>8514</v>
      </c>
      <c r="AF154">
        <f t="shared" si="419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407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420"/>
        <v>200</v>
      </c>
      <c r="AM154">
        <f t="shared" si="421"/>
        <v>52290</v>
      </c>
      <c r="AN154">
        <f>_xlfn.XLOOKUP(B154,'[4]june-2025'!$A:$A,'[4]june-2025'!$C:$C,0,0)</f>
        <v>47300</v>
      </c>
      <c r="AO154">
        <f t="shared" si="422"/>
        <v>8514</v>
      </c>
      <c r="AP154">
        <f t="shared" si="423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408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424"/>
        <v>200</v>
      </c>
      <c r="AW154">
        <f t="shared" si="425"/>
        <v>52290</v>
      </c>
      <c r="AX154">
        <f>_xlfn.XLOOKUP(B154,'[5]july-2025'!$A:$A,'[5]july-2025'!$C:$C,0,0)</f>
        <v>48700</v>
      </c>
      <c r="AY154">
        <f t="shared" si="426"/>
        <v>8766</v>
      </c>
      <c r="AZ154">
        <v>0</v>
      </c>
      <c r="BA154">
        <f t="shared" si="427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390"/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428"/>
        <v>200</v>
      </c>
      <c r="BH154">
        <f t="shared" si="429"/>
        <v>54110</v>
      </c>
      <c r="BI154">
        <f>_xlfn.XLOOKUP(B154,'[6]august-2025'!$A:$A,'[6]august-2025'!$C:$C,0,0)</f>
        <v>48700</v>
      </c>
      <c r="BJ154">
        <f t="shared" si="430"/>
        <v>8766</v>
      </c>
      <c r="BK154">
        <f t="shared" si="431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432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 t="shared" si="391"/>
        <v>200</v>
      </c>
      <c r="BR154">
        <f t="shared" si="392"/>
        <v>54110</v>
      </c>
      <c r="BS154">
        <f>_xlfn.XLOOKUP(B154,'[7]september-2025'!$A:$A,'[7]september-2025'!$C:$C,0,0)</f>
        <v>48700</v>
      </c>
      <c r="BT154">
        <f t="shared" si="433"/>
        <v>8766</v>
      </c>
      <c r="BU154">
        <f t="shared" si="434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393"/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435"/>
        <v>200</v>
      </c>
      <c r="CB154">
        <f t="shared" si="436"/>
        <v>54110</v>
      </c>
      <c r="CC154">
        <f>_xlfn.XLOOKUP(B154,'[8]october-2025'!$A:$A,'[8]october-2025'!$C:$C,0,0)</f>
        <v>48700</v>
      </c>
      <c r="CD154">
        <f t="shared" si="437"/>
        <v>8766</v>
      </c>
      <c r="CE154">
        <f t="shared" si="438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394"/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439"/>
        <v>200</v>
      </c>
      <c r="CL154">
        <f t="shared" si="440"/>
        <v>54110</v>
      </c>
      <c r="CM154">
        <f>_xlfn.XLOOKUP(B154,'[9]november-2025'!$A:$A,'[9]november-2025'!$C:$C,0,0)</f>
        <v>48700</v>
      </c>
      <c r="CN154">
        <f t="shared" si="441"/>
        <v>8766</v>
      </c>
      <c r="CO154">
        <f t="shared" si="442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395"/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443"/>
        <v>200</v>
      </c>
      <c r="CV154">
        <f t="shared" si="444"/>
        <v>54110</v>
      </c>
      <c r="CW154">
        <f>_xlfn.XLOOKUP(B154,'[10]december-2025'!$A:$A,'[10]december-2025'!$C:$C,0,0)</f>
        <v>48700</v>
      </c>
      <c r="CX154">
        <f t="shared" si="445"/>
        <v>8766</v>
      </c>
      <c r="CY154">
        <f t="shared" si="446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396"/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447"/>
        <v>200</v>
      </c>
      <c r="DF154">
        <f t="shared" si="448"/>
        <v>54110</v>
      </c>
      <c r="DG154">
        <f>_xlfn.XLOOKUP(B154,'[11]january-2026'!$A:$A,'[11]january-2026'!$C:$C,0,0)</f>
        <v>48700</v>
      </c>
      <c r="DH154">
        <f t="shared" si="449"/>
        <v>8766</v>
      </c>
      <c r="DI154">
        <f t="shared" si="450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397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51"/>
        <v>200</v>
      </c>
      <c r="DP154">
        <f t="shared" si="452"/>
        <v>54110</v>
      </c>
      <c r="DQ154">
        <f>_xlfn.XLOOKUP(B154,'[12]february-2026'!$A:$A,'[12]february-2026'!$C:$C,0,0)</f>
        <v>48700</v>
      </c>
      <c r="DR154">
        <f t="shared" si="453"/>
        <v>8766</v>
      </c>
      <c r="DS154">
        <f t="shared" si="454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398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55"/>
        <v>200</v>
      </c>
      <c r="DZ154">
        <f t="shared" si="456"/>
        <v>54110</v>
      </c>
      <c r="EA154">
        <f>_xlfn.XLOOKUP(B154,'[1]march-2025'!$A:$A,'[1]march-2025'!$J:$J,0,0)</f>
        <v>0</v>
      </c>
      <c r="EB154">
        <f>_xlfn.XLOOKUP(B154,'[2]april-2025'!$A:$A,'[2]april-2025'!$J:$J,0,0)</f>
        <v>0</v>
      </c>
      <c r="EC154">
        <f>_xlfn.XLOOKUP(B154,'[3]may-2025'!$A:$A,'[3]may-2025'!$J:$J,0,0)</f>
        <v>0</v>
      </c>
      <c r="ED154">
        <f>_xlfn.XLOOKUP(B154,'[4]june-2025'!$A:$A,'[4]june-2025'!$J:$J,0,0)</f>
        <v>0</v>
      </c>
      <c r="EE154">
        <f>_xlfn.XLOOKUP(B154,'[5]july-2025'!$A:$A,'[5]july-2025'!$J:$J,0,0)</f>
        <v>0</v>
      </c>
      <c r="EF154">
        <f>_xlfn.XLOOKUP(B154,'[6]august-2025'!$A:$A,'[6]august-2025'!$J:$J,0,0)</f>
        <v>0</v>
      </c>
      <c r="EG154">
        <f>_xlfn.XLOOKUP(B154,'[7]september-2025'!$A:$A,'[7]september-2025'!$J:$J,0,0)</f>
        <v>0</v>
      </c>
      <c r="EH154">
        <f>_xlfn.XLOOKUP(B154,'[8]october-2025'!$A:$A,'[8]october-2025'!$J:$J,0,0)</f>
        <v>0</v>
      </c>
      <c r="EI154">
        <f>_xlfn.XLOOKUP(C154,'[9]november-2025'!$A:$A,'[9]november-2025'!$J:$J,0,0)</f>
        <v>0</v>
      </c>
      <c r="EJ154">
        <f>_xlfn.XLOOKUP(B154,'[10]december-2025'!$A:$A,'[10]december-2025'!$J:$J,0,0)</f>
        <v>0</v>
      </c>
      <c r="EK154">
        <f>_xlfn.XLOOKUP(B154,'[11]january-2026'!$A:$A,'[11]january-2026'!$J:$J,0,0)</f>
        <v>0</v>
      </c>
      <c r="EL154">
        <f>_xlfn.XLOOKUP(B154,'[12]february-2026'!$A:$A,'[12]february-2026'!$J:$J,0,0)</f>
        <v>0</v>
      </c>
      <c r="EM154">
        <f t="shared" si="409"/>
        <v>0</v>
      </c>
      <c r="EN154">
        <f t="shared" si="399"/>
        <v>757348</v>
      </c>
      <c r="EO154">
        <f t="shared" si="400"/>
        <v>2400</v>
      </c>
      <c r="EP154">
        <f t="shared" si="457"/>
        <v>50000</v>
      </c>
      <c r="EQ154">
        <v>0</v>
      </c>
      <c r="ER154">
        <f t="shared" si="410"/>
        <v>704948</v>
      </c>
      <c r="ES154">
        <f t="shared" si="401"/>
        <v>108000</v>
      </c>
      <c r="ET154">
        <f t="shared" si="402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458"/>
        <v>108000</v>
      </c>
      <c r="FF154">
        <f t="shared" si="459"/>
        <v>108000</v>
      </c>
      <c r="FG154">
        <f t="shared" si="460"/>
        <v>596948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403"/>
        <v>0</v>
      </c>
      <c r="FP154">
        <f t="shared" si="461"/>
        <v>596948</v>
      </c>
      <c r="FQ154">
        <f t="shared" si="462"/>
        <v>12500</v>
      </c>
      <c r="FR154">
        <f t="shared" si="463"/>
        <v>19390</v>
      </c>
      <c r="FS154">
        <f t="shared" si="464"/>
        <v>31890</v>
      </c>
      <c r="FT154">
        <f t="shared" si="465"/>
        <v>31890</v>
      </c>
      <c r="FU154">
        <f t="shared" si="466"/>
        <v>1275.6000000000001</v>
      </c>
      <c r="FV154">
        <f t="shared" si="467"/>
        <v>33166</v>
      </c>
      <c r="FW154">
        <v>0</v>
      </c>
      <c r="FX154">
        <f t="shared" si="468"/>
        <v>33166</v>
      </c>
      <c r="FY154" t="b">
        <f t="shared" si="469"/>
        <v>1</v>
      </c>
      <c r="FZ154">
        <f t="shared" ca="1" si="470"/>
        <v>502</v>
      </c>
      <c r="GA154">
        <f t="shared" ca="1" si="471"/>
        <v>757850</v>
      </c>
      <c r="GB154">
        <f t="shared" si="472"/>
        <v>75000</v>
      </c>
      <c r="GC154">
        <f t="shared" ca="1" si="473"/>
        <v>682850</v>
      </c>
      <c r="GD154">
        <f t="shared" ca="1" si="474"/>
        <v>0</v>
      </c>
      <c r="GE154">
        <f t="shared" ca="1" si="475"/>
        <v>0</v>
      </c>
      <c r="GF154">
        <f t="shared" ca="1" si="476"/>
        <v>0</v>
      </c>
      <c r="GG154">
        <f t="shared" ca="1" si="477"/>
        <v>0</v>
      </c>
      <c r="GH154">
        <f t="shared" ca="1" si="478"/>
        <v>0</v>
      </c>
      <c r="GI154">
        <f t="shared" ca="1" si="479"/>
        <v>0</v>
      </c>
      <c r="GJ154">
        <f t="shared" ca="1" si="404"/>
        <v>0</v>
      </c>
      <c r="GK154">
        <f t="shared" ca="1" si="480"/>
        <v>0</v>
      </c>
      <c r="GL154">
        <f t="shared" ca="1" si="481"/>
        <v>0</v>
      </c>
      <c r="GM154">
        <f t="shared" ca="1" si="482"/>
        <v>0</v>
      </c>
      <c r="GN154">
        <f t="shared" ca="1" si="483"/>
        <v>282850</v>
      </c>
      <c r="GO154">
        <f t="shared" ca="1" si="484"/>
        <v>14142.5</v>
      </c>
      <c r="GP154">
        <f t="shared" ca="1" si="485"/>
        <v>14143</v>
      </c>
      <c r="GQ154">
        <f t="shared" ca="1" si="486"/>
        <v>0</v>
      </c>
      <c r="GR154">
        <f t="shared" ca="1" si="487"/>
        <v>0</v>
      </c>
      <c r="GS154">
        <f t="shared" ca="1" si="488"/>
        <v>14143</v>
      </c>
      <c r="GT154">
        <f t="shared" ca="1" si="489"/>
        <v>0</v>
      </c>
      <c r="GU154" t="b">
        <f t="shared" ca="1" si="490"/>
        <v>0</v>
      </c>
      <c r="GV154">
        <f t="shared" ca="1" si="491"/>
        <v>0</v>
      </c>
      <c r="GW154">
        <f t="shared" ca="1" si="492"/>
        <v>14143</v>
      </c>
      <c r="GX154">
        <f t="shared" ca="1" si="493"/>
        <v>0</v>
      </c>
      <c r="GY154">
        <f t="shared" ca="1" si="494"/>
        <v>0</v>
      </c>
      <c r="GZ154">
        <f t="shared" ca="1" si="495"/>
        <v>0</v>
      </c>
    </row>
    <row r="155" spans="1:208" x14ac:dyDescent="0.3">
      <c r="A155">
        <f>_xlfn.AGGREGATE(3,5,$B$2:B155)</f>
        <v>154</v>
      </c>
      <c r="B155" t="s">
        <v>415</v>
      </c>
      <c r="C155" t="s">
        <v>416</v>
      </c>
      <c r="D155" t="s">
        <v>791</v>
      </c>
      <c r="E155" t="s">
        <v>830</v>
      </c>
      <c r="F155" t="s">
        <v>956</v>
      </c>
      <c r="G155" t="s">
        <v>887</v>
      </c>
      <c r="H155">
        <f t="shared" si="497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412"/>
        <v>5278.0000000000009</v>
      </c>
      <c r="L155">
        <f t="shared" si="413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 t="shared" si="389"/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496"/>
        <v>200</v>
      </c>
      <c r="S155">
        <f t="shared" si="405"/>
        <v>44302</v>
      </c>
      <c r="T155">
        <f>_xlfn.XLOOKUP(B155,'[2]april-2025'!$A:$A,'[2]april-2025'!$C:$C,0,0)</f>
        <v>37700</v>
      </c>
      <c r="U155">
        <f t="shared" si="414"/>
        <v>6786</v>
      </c>
      <c r="V155">
        <f t="shared" si="415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406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416"/>
        <v>200</v>
      </c>
      <c r="AC155">
        <f t="shared" si="417"/>
        <v>45810</v>
      </c>
      <c r="AD155">
        <f>_xlfn.XLOOKUP(B155,'[3]may-2025'!$A:$A,'[3]may-2025'!$C:$C,0,0)</f>
        <v>37700</v>
      </c>
      <c r="AE155">
        <f t="shared" si="418"/>
        <v>6786</v>
      </c>
      <c r="AF155">
        <f t="shared" si="419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407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420"/>
        <v>200</v>
      </c>
      <c r="AM155">
        <f t="shared" si="421"/>
        <v>45810</v>
      </c>
      <c r="AN155">
        <f>_xlfn.XLOOKUP(B155,'[4]june-2025'!$A:$A,'[4]june-2025'!$C:$C,0,0)</f>
        <v>37700</v>
      </c>
      <c r="AO155">
        <f t="shared" si="422"/>
        <v>6786</v>
      </c>
      <c r="AP155">
        <f t="shared" si="423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408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424"/>
        <v>200</v>
      </c>
      <c r="AW155">
        <f t="shared" si="425"/>
        <v>45810</v>
      </c>
      <c r="AX155">
        <f>_xlfn.XLOOKUP(B155,'[5]july-2025'!$A:$A,'[5]july-2025'!$C:$C,0,0)</f>
        <v>38800</v>
      </c>
      <c r="AY155">
        <f t="shared" si="426"/>
        <v>6984</v>
      </c>
      <c r="AZ155">
        <v>0</v>
      </c>
      <c r="BA155">
        <f t="shared" si="427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 t="shared" si="390"/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428"/>
        <v>200</v>
      </c>
      <c r="BH155">
        <f t="shared" si="429"/>
        <v>47240</v>
      </c>
      <c r="BI155">
        <f>_xlfn.XLOOKUP(B155,'[6]august-2025'!$A:$A,'[6]august-2025'!$C:$C,0,0)</f>
        <v>38800</v>
      </c>
      <c r="BJ155">
        <f t="shared" si="430"/>
        <v>6984</v>
      </c>
      <c r="BK155">
        <f t="shared" si="431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432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391"/>
        <v>200</v>
      </c>
      <c r="BR155">
        <f t="shared" si="392"/>
        <v>47240</v>
      </c>
      <c r="BS155">
        <f>_xlfn.XLOOKUP(B155,'[7]september-2025'!$A:$A,'[7]september-2025'!$C:$C,0,0)</f>
        <v>38800</v>
      </c>
      <c r="BT155">
        <f t="shared" si="433"/>
        <v>6984</v>
      </c>
      <c r="BU155">
        <f t="shared" si="434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 t="shared" si="393"/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435"/>
        <v>200</v>
      </c>
      <c r="CB155">
        <f t="shared" si="436"/>
        <v>47240</v>
      </c>
      <c r="CC155">
        <f>_xlfn.XLOOKUP(B155,'[8]october-2025'!$A:$A,'[8]october-2025'!$C:$C,0,0)</f>
        <v>38800</v>
      </c>
      <c r="CD155">
        <f t="shared" si="437"/>
        <v>6984</v>
      </c>
      <c r="CE155">
        <f t="shared" si="438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 t="shared" si="394"/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439"/>
        <v>200</v>
      </c>
      <c r="CL155">
        <f t="shared" si="440"/>
        <v>47240</v>
      </c>
      <c r="CM155">
        <f>_xlfn.XLOOKUP(B155,'[9]november-2025'!$A:$A,'[9]november-2025'!$C:$C,0,0)</f>
        <v>38800</v>
      </c>
      <c r="CN155">
        <f t="shared" si="441"/>
        <v>6984</v>
      </c>
      <c r="CO155">
        <f t="shared" si="442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 t="shared" si="395"/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443"/>
        <v>200</v>
      </c>
      <c r="CV155">
        <f t="shared" si="444"/>
        <v>47240</v>
      </c>
      <c r="CW155">
        <f>_xlfn.XLOOKUP(B155,'[10]december-2025'!$A:$A,'[10]december-2025'!$C:$C,0,0)</f>
        <v>38800</v>
      </c>
      <c r="CX155">
        <f t="shared" si="445"/>
        <v>6984</v>
      </c>
      <c r="CY155">
        <f t="shared" si="446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 t="shared" si="396"/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447"/>
        <v>200</v>
      </c>
      <c r="DF155">
        <f t="shared" si="448"/>
        <v>47240</v>
      </c>
      <c r="DG155">
        <f>_xlfn.XLOOKUP(B155,'[11]january-2026'!$A:$A,'[11]january-2026'!$C:$C,0,0)</f>
        <v>38800</v>
      </c>
      <c r="DH155">
        <f t="shared" si="449"/>
        <v>6984</v>
      </c>
      <c r="DI155">
        <f t="shared" si="450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397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51"/>
        <v>200</v>
      </c>
      <c r="DP155">
        <f t="shared" si="452"/>
        <v>47240</v>
      </c>
      <c r="DQ155">
        <f>_xlfn.XLOOKUP(B155,'[12]february-2026'!$A:$A,'[12]february-2026'!$C:$C,0,0)</f>
        <v>38800</v>
      </c>
      <c r="DR155">
        <f t="shared" si="453"/>
        <v>6984</v>
      </c>
      <c r="DS155">
        <f t="shared" si="454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398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55"/>
        <v>200</v>
      </c>
      <c r="DZ155">
        <f t="shared" si="456"/>
        <v>47240</v>
      </c>
      <c r="EA155">
        <f>_xlfn.XLOOKUP(B155,'[1]march-2025'!$A:$A,'[1]march-2025'!$J:$J,0,0)</f>
        <v>0</v>
      </c>
      <c r="EB155">
        <f>_xlfn.XLOOKUP(B155,'[2]april-2025'!$A:$A,'[2]april-2025'!$J:$J,0,0)</f>
        <v>0</v>
      </c>
      <c r="EC155">
        <f>_xlfn.XLOOKUP(B155,'[3]may-2025'!$A:$A,'[3]may-2025'!$J:$J,0,0)</f>
        <v>0</v>
      </c>
      <c r="ED155">
        <f>_xlfn.XLOOKUP(B155,'[4]june-2025'!$A:$A,'[4]june-2025'!$J:$J,0,0)</f>
        <v>0</v>
      </c>
      <c r="EE155">
        <f>_xlfn.XLOOKUP(B155,'[5]july-2025'!$A:$A,'[5]july-2025'!$J:$J,0,0)</f>
        <v>0</v>
      </c>
      <c r="EF155">
        <f>_xlfn.XLOOKUP(B155,'[6]august-2025'!$A:$A,'[6]august-2025'!$J:$J,0,0)</f>
        <v>0</v>
      </c>
      <c r="EG155">
        <f>_xlfn.XLOOKUP(B155,'[7]september-2025'!$A:$A,'[7]september-2025'!$J:$J,0,0)</f>
        <v>0</v>
      </c>
      <c r="EH155">
        <f>_xlfn.XLOOKUP(B155,'[8]october-2025'!$A:$A,'[8]october-2025'!$J:$J,0,0)</f>
        <v>0</v>
      </c>
      <c r="EI155">
        <f>_xlfn.XLOOKUP(C155,'[9]november-2025'!$A:$A,'[9]november-2025'!$J:$J,0,0)</f>
        <v>0</v>
      </c>
      <c r="EJ155">
        <f>_xlfn.XLOOKUP(B155,'[10]december-2025'!$A:$A,'[10]december-2025'!$J:$J,0,0)</f>
        <v>0</v>
      </c>
      <c r="EK155">
        <f>_xlfn.XLOOKUP(B155,'[11]january-2026'!$A:$A,'[11]january-2026'!$J:$J,0,0)</f>
        <v>0</v>
      </c>
      <c r="EL155">
        <f>_xlfn.XLOOKUP(B155,'[12]february-2026'!$A:$A,'[12]february-2026'!$J:$J,0,0)</f>
        <v>0</v>
      </c>
      <c r="EM155">
        <f t="shared" si="409"/>
        <v>0</v>
      </c>
      <c r="EN155">
        <f t="shared" si="399"/>
        <v>604852</v>
      </c>
      <c r="EO155">
        <f t="shared" si="400"/>
        <v>2400</v>
      </c>
      <c r="EP155">
        <f t="shared" si="457"/>
        <v>50000</v>
      </c>
      <c r="EQ155">
        <v>0</v>
      </c>
      <c r="ER155">
        <f t="shared" si="410"/>
        <v>552452</v>
      </c>
      <c r="ES155">
        <f t="shared" si="401"/>
        <v>36000</v>
      </c>
      <c r="ET155">
        <f t="shared" si="402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458"/>
        <v>36000</v>
      </c>
      <c r="FF155">
        <f t="shared" si="459"/>
        <v>36000</v>
      </c>
      <c r="FG155">
        <f t="shared" si="460"/>
        <v>516452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403"/>
        <v>0</v>
      </c>
      <c r="FP155">
        <f t="shared" si="461"/>
        <v>516452</v>
      </c>
      <c r="FQ155">
        <f t="shared" si="462"/>
        <v>12500</v>
      </c>
      <c r="FR155">
        <f t="shared" si="463"/>
        <v>3290</v>
      </c>
      <c r="FS155">
        <f t="shared" si="464"/>
        <v>15790</v>
      </c>
      <c r="FT155">
        <f t="shared" si="465"/>
        <v>15790</v>
      </c>
      <c r="FU155">
        <f t="shared" si="466"/>
        <v>631.6</v>
      </c>
      <c r="FV155">
        <f t="shared" si="467"/>
        <v>16422</v>
      </c>
      <c r="FW155">
        <v>0</v>
      </c>
      <c r="FX155">
        <f t="shared" si="468"/>
        <v>16422</v>
      </c>
      <c r="FY155" t="b">
        <f t="shared" si="469"/>
        <v>1</v>
      </c>
      <c r="FZ155">
        <f t="shared" ca="1" si="470"/>
        <v>775</v>
      </c>
      <c r="GA155">
        <f t="shared" ca="1" si="471"/>
        <v>605627</v>
      </c>
      <c r="GB155">
        <f t="shared" si="472"/>
        <v>75000</v>
      </c>
      <c r="GC155">
        <f t="shared" ca="1" si="473"/>
        <v>530627</v>
      </c>
      <c r="GD155">
        <f t="shared" ca="1" si="474"/>
        <v>0</v>
      </c>
      <c r="GE155">
        <f t="shared" ca="1" si="475"/>
        <v>0</v>
      </c>
      <c r="GF155">
        <f t="shared" ca="1" si="476"/>
        <v>0</v>
      </c>
      <c r="GG155">
        <f t="shared" ca="1" si="477"/>
        <v>0</v>
      </c>
      <c r="GH155">
        <f t="shared" ca="1" si="478"/>
        <v>0</v>
      </c>
      <c r="GI155">
        <f t="shared" ca="1" si="479"/>
        <v>0</v>
      </c>
      <c r="GJ155">
        <f t="shared" ca="1" si="404"/>
        <v>0</v>
      </c>
      <c r="GK155">
        <f t="shared" ca="1" si="480"/>
        <v>0</v>
      </c>
      <c r="GL155">
        <f t="shared" ca="1" si="481"/>
        <v>0</v>
      </c>
      <c r="GM155">
        <f t="shared" ca="1" si="482"/>
        <v>0</v>
      </c>
      <c r="GN155">
        <f t="shared" ca="1" si="483"/>
        <v>130627</v>
      </c>
      <c r="GO155">
        <f t="shared" ca="1" si="484"/>
        <v>6531.35</v>
      </c>
      <c r="GP155">
        <f t="shared" ca="1" si="485"/>
        <v>6531</v>
      </c>
      <c r="GQ155">
        <f t="shared" ca="1" si="486"/>
        <v>0</v>
      </c>
      <c r="GR155">
        <f t="shared" ca="1" si="487"/>
        <v>0</v>
      </c>
      <c r="GS155">
        <f t="shared" ca="1" si="488"/>
        <v>6531</v>
      </c>
      <c r="GT155">
        <f t="shared" ca="1" si="489"/>
        <v>0</v>
      </c>
      <c r="GU155" t="b">
        <f t="shared" ca="1" si="490"/>
        <v>0</v>
      </c>
      <c r="GV155">
        <f t="shared" ca="1" si="491"/>
        <v>0</v>
      </c>
      <c r="GW155">
        <f t="shared" ca="1" si="492"/>
        <v>6531</v>
      </c>
      <c r="GX155">
        <f t="shared" ca="1" si="493"/>
        <v>0</v>
      </c>
      <c r="GY155">
        <f t="shared" ca="1" si="494"/>
        <v>0</v>
      </c>
      <c r="GZ155">
        <f t="shared" ca="1" si="495"/>
        <v>0</v>
      </c>
    </row>
    <row r="156" spans="1:208" x14ac:dyDescent="0.3">
      <c r="A156">
        <f>_xlfn.AGGREGATE(3,5,$B$2:B156)</f>
        <v>155</v>
      </c>
      <c r="B156" t="s">
        <v>417</v>
      </c>
      <c r="C156" t="s">
        <v>418</v>
      </c>
      <c r="D156" t="s">
        <v>791</v>
      </c>
      <c r="E156" t="s">
        <v>830</v>
      </c>
      <c r="F156" t="s">
        <v>956</v>
      </c>
      <c r="G156" t="s">
        <v>932</v>
      </c>
      <c r="H156">
        <f t="shared" si="497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412"/>
        <v>4690</v>
      </c>
      <c r="L156">
        <f t="shared" si="413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389"/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496"/>
        <v>200</v>
      </c>
      <c r="S156">
        <f t="shared" si="405"/>
        <v>39510</v>
      </c>
      <c r="T156">
        <f>_xlfn.XLOOKUP(B156,'[2]april-2025'!$A:$A,'[2]april-2025'!$C:$C,0,0)</f>
        <v>33500</v>
      </c>
      <c r="U156">
        <f t="shared" si="414"/>
        <v>6030</v>
      </c>
      <c r="V156">
        <f t="shared" si="415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406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416"/>
        <v>200</v>
      </c>
      <c r="AC156">
        <f t="shared" si="417"/>
        <v>40850</v>
      </c>
      <c r="AD156">
        <f>_xlfn.XLOOKUP(B156,'[3]may-2025'!$A:$A,'[3]may-2025'!$C:$C,0,0)</f>
        <v>33500</v>
      </c>
      <c r="AE156">
        <f t="shared" si="418"/>
        <v>6030</v>
      </c>
      <c r="AF156">
        <f t="shared" si="419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407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420"/>
        <v>200</v>
      </c>
      <c r="AM156">
        <f t="shared" si="421"/>
        <v>40850</v>
      </c>
      <c r="AN156">
        <f>_xlfn.XLOOKUP(B156,'[4]june-2025'!$A:$A,'[4]june-2025'!$C:$C,0,0)</f>
        <v>33500</v>
      </c>
      <c r="AO156">
        <f t="shared" si="422"/>
        <v>6030</v>
      </c>
      <c r="AP156">
        <f t="shared" si="423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408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424"/>
        <v>200</v>
      </c>
      <c r="AW156">
        <f t="shared" si="425"/>
        <v>40850</v>
      </c>
      <c r="AX156">
        <f>_xlfn.XLOOKUP(B156,'[5]july-2025'!$A:$A,'[5]july-2025'!$C:$C,0,0)</f>
        <v>34500</v>
      </c>
      <c r="AY156">
        <f t="shared" si="426"/>
        <v>6210</v>
      </c>
      <c r="AZ156">
        <v>0</v>
      </c>
      <c r="BA156">
        <f t="shared" si="427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390"/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428"/>
        <v>200</v>
      </c>
      <c r="BH156">
        <f t="shared" si="429"/>
        <v>42150</v>
      </c>
      <c r="BI156">
        <f>_xlfn.XLOOKUP(B156,'[6]august-2025'!$A:$A,'[6]august-2025'!$C:$C,0,0)</f>
        <v>34500</v>
      </c>
      <c r="BJ156">
        <f t="shared" si="430"/>
        <v>6210</v>
      </c>
      <c r="BK156">
        <f t="shared" si="431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432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 t="shared" si="391"/>
        <v>200</v>
      </c>
      <c r="BR156">
        <f t="shared" si="392"/>
        <v>42150</v>
      </c>
      <c r="BS156">
        <f>_xlfn.XLOOKUP(B156,'[7]september-2025'!$A:$A,'[7]september-2025'!$C:$C,0,0)</f>
        <v>34500</v>
      </c>
      <c r="BT156">
        <f t="shared" si="433"/>
        <v>6210</v>
      </c>
      <c r="BU156">
        <f t="shared" si="434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393"/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435"/>
        <v>200</v>
      </c>
      <c r="CB156">
        <f t="shared" si="436"/>
        <v>42150</v>
      </c>
      <c r="CC156">
        <f>_xlfn.XLOOKUP(B156,'[8]october-2025'!$A:$A,'[8]october-2025'!$C:$C,0,0)</f>
        <v>34500</v>
      </c>
      <c r="CD156">
        <f t="shared" si="437"/>
        <v>6210</v>
      </c>
      <c r="CE156">
        <f t="shared" si="438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394"/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439"/>
        <v>200</v>
      </c>
      <c r="CL156">
        <f t="shared" si="440"/>
        <v>42150</v>
      </c>
      <c r="CM156">
        <f>_xlfn.XLOOKUP(B156,'[9]november-2025'!$A:$A,'[9]november-2025'!$C:$C,0,0)</f>
        <v>34500</v>
      </c>
      <c r="CN156">
        <f t="shared" si="441"/>
        <v>6210</v>
      </c>
      <c r="CO156">
        <f t="shared" si="442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395"/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443"/>
        <v>200</v>
      </c>
      <c r="CV156">
        <f t="shared" si="444"/>
        <v>42150</v>
      </c>
      <c r="CW156">
        <f>_xlfn.XLOOKUP(B156,'[10]december-2025'!$A:$A,'[10]december-2025'!$C:$C,0,0)</f>
        <v>34500</v>
      </c>
      <c r="CX156">
        <f t="shared" si="445"/>
        <v>6210</v>
      </c>
      <c r="CY156">
        <f t="shared" si="446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396"/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447"/>
        <v>200</v>
      </c>
      <c r="DF156">
        <f t="shared" si="448"/>
        <v>42150</v>
      </c>
      <c r="DG156">
        <f>_xlfn.XLOOKUP(B156,'[11]january-2026'!$A:$A,'[11]january-2026'!$C:$C,0,0)</f>
        <v>34500</v>
      </c>
      <c r="DH156">
        <f t="shared" si="449"/>
        <v>6210</v>
      </c>
      <c r="DI156">
        <f t="shared" si="450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397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51"/>
        <v>200</v>
      </c>
      <c r="DP156">
        <f t="shared" si="452"/>
        <v>42150</v>
      </c>
      <c r="DQ156">
        <f>_xlfn.XLOOKUP(B156,'[12]february-2026'!$A:$A,'[12]february-2026'!$C:$C,0,0)</f>
        <v>34500</v>
      </c>
      <c r="DR156">
        <f t="shared" si="453"/>
        <v>6210</v>
      </c>
      <c r="DS156">
        <f t="shared" si="454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398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55"/>
        <v>200</v>
      </c>
      <c r="DZ156">
        <f t="shared" si="456"/>
        <v>42150</v>
      </c>
      <c r="EA156">
        <f>_xlfn.XLOOKUP(B156,'[1]march-2025'!$A:$A,'[1]march-2025'!$J:$J,0,0)</f>
        <v>0</v>
      </c>
      <c r="EB156">
        <f>_xlfn.XLOOKUP(B156,'[2]april-2025'!$A:$A,'[2]april-2025'!$J:$J,0,0)</f>
        <v>0</v>
      </c>
      <c r="EC156">
        <f>_xlfn.XLOOKUP(B156,'[3]may-2025'!$A:$A,'[3]may-2025'!$J:$J,0,0)</f>
        <v>0</v>
      </c>
      <c r="ED156">
        <f>_xlfn.XLOOKUP(B156,'[4]june-2025'!$A:$A,'[4]june-2025'!$J:$J,0,0)</f>
        <v>0</v>
      </c>
      <c r="EE156">
        <f>_xlfn.XLOOKUP(B156,'[5]july-2025'!$A:$A,'[5]july-2025'!$J:$J,0,0)</f>
        <v>0</v>
      </c>
      <c r="EF156">
        <f>_xlfn.XLOOKUP(B156,'[6]august-2025'!$A:$A,'[6]august-2025'!$J:$J,0,0)</f>
        <v>0</v>
      </c>
      <c r="EG156">
        <f>_xlfn.XLOOKUP(B156,'[7]september-2025'!$A:$A,'[7]september-2025'!$J:$J,0,0)</f>
        <v>0</v>
      </c>
      <c r="EH156">
        <f>_xlfn.XLOOKUP(B156,'[8]october-2025'!$A:$A,'[8]october-2025'!$J:$J,0,0)</f>
        <v>0</v>
      </c>
      <c r="EI156">
        <f>_xlfn.XLOOKUP(C156,'[9]november-2025'!$A:$A,'[9]november-2025'!$J:$J,0,0)</f>
        <v>0</v>
      </c>
      <c r="EJ156">
        <f>_xlfn.XLOOKUP(B156,'[10]december-2025'!$A:$A,'[10]december-2025'!$J:$J,0,0)</f>
        <v>0</v>
      </c>
      <c r="EK156">
        <f>_xlfn.XLOOKUP(B156,'[11]january-2026'!$A:$A,'[11]january-2026'!$J:$J,0,0)</f>
        <v>0</v>
      </c>
      <c r="EL156">
        <f>_xlfn.XLOOKUP(B156,'[12]february-2026'!$A:$A,'[12]february-2026'!$J:$J,0,0)</f>
        <v>0</v>
      </c>
      <c r="EM156">
        <f t="shared" si="409"/>
        <v>0</v>
      </c>
      <c r="EN156">
        <f t="shared" si="399"/>
        <v>544460</v>
      </c>
      <c r="EO156">
        <f t="shared" si="400"/>
        <v>2400</v>
      </c>
      <c r="EP156">
        <f t="shared" si="457"/>
        <v>50000</v>
      </c>
      <c r="EQ156">
        <v>0</v>
      </c>
      <c r="ER156">
        <f t="shared" si="410"/>
        <v>492060</v>
      </c>
      <c r="ES156">
        <f t="shared" si="401"/>
        <v>36000</v>
      </c>
      <c r="ET156">
        <f t="shared" si="402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458"/>
        <v>36000</v>
      </c>
      <c r="FF156">
        <f t="shared" si="459"/>
        <v>36000</v>
      </c>
      <c r="FG156">
        <f t="shared" si="460"/>
        <v>456060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403"/>
        <v>0</v>
      </c>
      <c r="FP156">
        <f t="shared" si="461"/>
        <v>456060</v>
      </c>
      <c r="FQ156">
        <f t="shared" si="462"/>
        <v>10303</v>
      </c>
      <c r="FR156">
        <f t="shared" si="463"/>
        <v>0</v>
      </c>
      <c r="FS156">
        <f t="shared" si="464"/>
        <v>10303</v>
      </c>
      <c r="FT156">
        <f t="shared" si="465"/>
        <v>0</v>
      </c>
      <c r="FU156">
        <f t="shared" si="466"/>
        <v>0</v>
      </c>
      <c r="FV156">
        <f t="shared" si="467"/>
        <v>0</v>
      </c>
      <c r="FW156">
        <v>0</v>
      </c>
      <c r="FX156">
        <f t="shared" si="468"/>
        <v>0</v>
      </c>
      <c r="FY156" t="b">
        <f t="shared" si="469"/>
        <v>1</v>
      </c>
      <c r="FZ156">
        <f t="shared" ca="1" si="470"/>
        <v>800</v>
      </c>
      <c r="GA156">
        <f t="shared" ca="1" si="471"/>
        <v>545260</v>
      </c>
      <c r="GB156">
        <f t="shared" si="472"/>
        <v>75000</v>
      </c>
      <c r="GC156">
        <f t="shared" ca="1" si="473"/>
        <v>470260</v>
      </c>
      <c r="GD156">
        <f t="shared" ca="1" si="474"/>
        <v>0</v>
      </c>
      <c r="GE156">
        <f t="shared" ca="1" si="475"/>
        <v>0</v>
      </c>
      <c r="GF156">
        <f t="shared" ca="1" si="476"/>
        <v>0</v>
      </c>
      <c r="GG156">
        <f t="shared" ca="1" si="477"/>
        <v>0</v>
      </c>
      <c r="GH156">
        <f t="shared" ca="1" si="478"/>
        <v>0</v>
      </c>
      <c r="GI156">
        <f t="shared" ca="1" si="479"/>
        <v>0</v>
      </c>
      <c r="GJ156">
        <f t="shared" ca="1" si="404"/>
        <v>0</v>
      </c>
      <c r="GK156">
        <f t="shared" ca="1" si="480"/>
        <v>0</v>
      </c>
      <c r="GL156">
        <f t="shared" ca="1" si="481"/>
        <v>0</v>
      </c>
      <c r="GM156">
        <f t="shared" ca="1" si="482"/>
        <v>0</v>
      </c>
      <c r="GN156">
        <f t="shared" ca="1" si="483"/>
        <v>70260</v>
      </c>
      <c r="GO156">
        <f t="shared" ca="1" si="484"/>
        <v>3513</v>
      </c>
      <c r="GP156">
        <f t="shared" ca="1" si="485"/>
        <v>3513</v>
      </c>
      <c r="GQ156">
        <f t="shared" ca="1" si="486"/>
        <v>0</v>
      </c>
      <c r="GR156">
        <f t="shared" ca="1" si="487"/>
        <v>0</v>
      </c>
      <c r="GS156">
        <f t="shared" ca="1" si="488"/>
        <v>3513</v>
      </c>
      <c r="GT156">
        <f t="shared" ca="1" si="489"/>
        <v>0</v>
      </c>
      <c r="GU156" t="b">
        <f t="shared" ca="1" si="490"/>
        <v>0</v>
      </c>
      <c r="GV156">
        <f t="shared" ca="1" si="491"/>
        <v>0</v>
      </c>
      <c r="GW156">
        <f t="shared" ca="1" si="492"/>
        <v>3513</v>
      </c>
      <c r="GX156">
        <f t="shared" ca="1" si="493"/>
        <v>0</v>
      </c>
      <c r="GY156">
        <f t="shared" ca="1" si="494"/>
        <v>0</v>
      </c>
      <c r="GZ156">
        <f t="shared" ca="1" si="495"/>
        <v>0</v>
      </c>
    </row>
    <row r="157" spans="1:208" x14ac:dyDescent="0.3">
      <c r="A157">
        <f>_xlfn.AGGREGATE(3,5,$B$2:B157)</f>
        <v>156</v>
      </c>
      <c r="B157" t="s">
        <v>419</v>
      </c>
      <c r="C157" t="s">
        <v>420</v>
      </c>
      <c r="D157" t="s">
        <v>792</v>
      </c>
      <c r="E157" t="s">
        <v>831</v>
      </c>
      <c r="F157" t="s">
        <v>956</v>
      </c>
      <c r="G157" t="s">
        <v>879</v>
      </c>
      <c r="H157">
        <f t="shared" si="497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412"/>
        <v>6622.0000000000009</v>
      </c>
      <c r="L157">
        <f t="shared" si="413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 t="shared" si="389"/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496"/>
        <v>200</v>
      </c>
      <c r="S157">
        <f t="shared" si="405"/>
        <v>52238</v>
      </c>
      <c r="T157">
        <f>_xlfn.XLOOKUP(B157,'[2]april-2025'!$A:$A,'[2]april-2025'!$C:$C,0,0)</f>
        <v>47300</v>
      </c>
      <c r="U157">
        <f t="shared" si="414"/>
        <v>8514</v>
      </c>
      <c r="V157">
        <f t="shared" si="415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406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416"/>
        <v>200</v>
      </c>
      <c r="AC157">
        <f t="shared" si="417"/>
        <v>54130</v>
      </c>
      <c r="AD157">
        <f>_xlfn.XLOOKUP(B157,'[3]may-2025'!$A:$A,'[3]may-2025'!$C:$C,0,0)</f>
        <v>47300</v>
      </c>
      <c r="AE157">
        <f t="shared" si="418"/>
        <v>8514</v>
      </c>
      <c r="AF157">
        <f t="shared" si="419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407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420"/>
        <v>200</v>
      </c>
      <c r="AM157">
        <f t="shared" si="421"/>
        <v>54130</v>
      </c>
      <c r="AN157">
        <f>_xlfn.XLOOKUP(B157,'[4]june-2025'!$A:$A,'[4]june-2025'!$C:$C,0,0)</f>
        <v>47300</v>
      </c>
      <c r="AO157">
        <f t="shared" si="422"/>
        <v>8514</v>
      </c>
      <c r="AP157">
        <f t="shared" si="423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408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424"/>
        <v>200</v>
      </c>
      <c r="AW157">
        <f t="shared" si="425"/>
        <v>54130</v>
      </c>
      <c r="AX157">
        <f>_xlfn.XLOOKUP(B157,'[5]july-2025'!$A:$A,'[5]july-2025'!$C:$C,0,0)</f>
        <v>48700</v>
      </c>
      <c r="AY157">
        <f t="shared" si="426"/>
        <v>8766</v>
      </c>
      <c r="AZ157">
        <v>0</v>
      </c>
      <c r="BA157">
        <f t="shared" si="427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 t="shared" si="390"/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428"/>
        <v>200</v>
      </c>
      <c r="BH157">
        <f t="shared" si="429"/>
        <v>55950</v>
      </c>
      <c r="BI157">
        <f>_xlfn.XLOOKUP(B157,'[6]august-2025'!$A:$A,'[6]august-2025'!$C:$C,0,0)</f>
        <v>48700</v>
      </c>
      <c r="BJ157">
        <f t="shared" si="430"/>
        <v>8766</v>
      </c>
      <c r="BK157">
        <f t="shared" si="431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432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 t="shared" si="391"/>
        <v>200</v>
      </c>
      <c r="BR157">
        <f t="shared" si="392"/>
        <v>55950</v>
      </c>
      <c r="BS157">
        <f>_xlfn.XLOOKUP(B157,'[7]september-2025'!$A:$A,'[7]september-2025'!$C:$C,0,0)</f>
        <v>48700</v>
      </c>
      <c r="BT157">
        <f t="shared" si="433"/>
        <v>8766</v>
      </c>
      <c r="BU157">
        <f t="shared" si="434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 t="shared" si="393"/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435"/>
        <v>200</v>
      </c>
      <c r="CB157">
        <f t="shared" si="436"/>
        <v>55950</v>
      </c>
      <c r="CC157">
        <f>_xlfn.XLOOKUP(B157,'[8]october-2025'!$A:$A,'[8]october-2025'!$C:$C,0,0)</f>
        <v>48700</v>
      </c>
      <c r="CD157">
        <f t="shared" si="437"/>
        <v>8766</v>
      </c>
      <c r="CE157">
        <f t="shared" si="438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 t="shared" si="394"/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439"/>
        <v>200</v>
      </c>
      <c r="CL157">
        <f t="shared" si="440"/>
        <v>55950</v>
      </c>
      <c r="CM157">
        <f>_xlfn.XLOOKUP(B157,'[9]november-2025'!$A:$A,'[9]november-2025'!$C:$C,0,0)</f>
        <v>48700</v>
      </c>
      <c r="CN157">
        <f t="shared" si="441"/>
        <v>8766</v>
      </c>
      <c r="CO157">
        <f t="shared" si="442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 t="shared" si="395"/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443"/>
        <v>200</v>
      </c>
      <c r="CV157">
        <f t="shared" si="444"/>
        <v>55950</v>
      </c>
      <c r="CW157">
        <f>_xlfn.XLOOKUP(B157,'[10]december-2025'!$A:$A,'[10]december-2025'!$C:$C,0,0)</f>
        <v>48700</v>
      </c>
      <c r="CX157">
        <f t="shared" si="445"/>
        <v>8766</v>
      </c>
      <c r="CY157">
        <f t="shared" si="446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 t="shared" si="396"/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447"/>
        <v>200</v>
      </c>
      <c r="DF157">
        <f t="shared" si="448"/>
        <v>55950</v>
      </c>
      <c r="DG157">
        <f>_xlfn.XLOOKUP(B157,'[11]january-2026'!$A:$A,'[11]january-2026'!$C:$C,0,0)</f>
        <v>48700</v>
      </c>
      <c r="DH157">
        <f t="shared" si="449"/>
        <v>8766</v>
      </c>
      <c r="DI157">
        <f t="shared" si="450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397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51"/>
        <v>200</v>
      </c>
      <c r="DP157">
        <f t="shared" si="452"/>
        <v>55950</v>
      </c>
      <c r="DQ157">
        <f>_xlfn.XLOOKUP(B157,'[12]february-2026'!$A:$A,'[12]february-2026'!$C:$C,0,0)</f>
        <v>48700</v>
      </c>
      <c r="DR157">
        <f t="shared" si="453"/>
        <v>8766</v>
      </c>
      <c r="DS157">
        <f t="shared" si="454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398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55"/>
        <v>200</v>
      </c>
      <c r="DZ157">
        <f t="shared" si="456"/>
        <v>55950</v>
      </c>
      <c r="EA157">
        <f>_xlfn.XLOOKUP(B157,'[1]march-2025'!$A:$A,'[1]march-2025'!$J:$J,0,0)</f>
        <v>0</v>
      </c>
      <c r="EB157">
        <f>_xlfn.XLOOKUP(B157,'[2]april-2025'!$A:$A,'[2]april-2025'!$J:$J,0,0)</f>
        <v>0</v>
      </c>
      <c r="EC157">
        <f>_xlfn.XLOOKUP(B157,'[3]may-2025'!$A:$A,'[3]may-2025'!$J:$J,0,0)</f>
        <v>0</v>
      </c>
      <c r="ED157">
        <f>_xlfn.XLOOKUP(B157,'[4]june-2025'!$A:$A,'[4]june-2025'!$J:$J,0,0)</f>
        <v>0</v>
      </c>
      <c r="EE157">
        <f>_xlfn.XLOOKUP(B157,'[5]july-2025'!$A:$A,'[5]july-2025'!$J:$J,0,0)</f>
        <v>0</v>
      </c>
      <c r="EF157">
        <f>_xlfn.XLOOKUP(B157,'[6]august-2025'!$A:$A,'[6]august-2025'!$J:$J,0,0)</f>
        <v>0</v>
      </c>
      <c r="EG157">
        <f>_xlfn.XLOOKUP(B157,'[7]september-2025'!$A:$A,'[7]september-2025'!$J:$J,0,0)</f>
        <v>0</v>
      </c>
      <c r="EH157">
        <f>_xlfn.XLOOKUP(B157,'[8]october-2025'!$A:$A,'[8]october-2025'!$J:$J,0,0)</f>
        <v>0</v>
      </c>
      <c r="EI157">
        <f>_xlfn.XLOOKUP(C157,'[9]november-2025'!$A:$A,'[9]november-2025'!$J:$J,0,0)</f>
        <v>0</v>
      </c>
      <c r="EJ157">
        <f>_xlfn.XLOOKUP(B157,'[10]december-2025'!$A:$A,'[10]december-2025'!$J:$J,0,0)</f>
        <v>0</v>
      </c>
      <c r="EK157">
        <f>_xlfn.XLOOKUP(B157,'[11]january-2026'!$A:$A,'[11]january-2026'!$J:$J,0,0)</f>
        <v>0</v>
      </c>
      <c r="EL157">
        <f>_xlfn.XLOOKUP(B157,'[12]february-2026'!$A:$A,'[12]february-2026'!$J:$J,0,0)</f>
        <v>0</v>
      </c>
      <c r="EM157">
        <f t="shared" si="409"/>
        <v>0</v>
      </c>
      <c r="EN157">
        <f t="shared" si="399"/>
        <v>768148</v>
      </c>
      <c r="EO157">
        <f t="shared" si="400"/>
        <v>2400</v>
      </c>
      <c r="EP157">
        <f t="shared" si="457"/>
        <v>50000</v>
      </c>
      <c r="EQ157">
        <v>0</v>
      </c>
      <c r="ER157">
        <f t="shared" si="410"/>
        <v>715748</v>
      </c>
      <c r="ES157">
        <f t="shared" si="401"/>
        <v>96000</v>
      </c>
      <c r="ET157">
        <f t="shared" si="402"/>
        <v>720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458"/>
        <v>96720</v>
      </c>
      <c r="FF157">
        <f t="shared" si="459"/>
        <v>96720</v>
      </c>
      <c r="FG157">
        <f t="shared" si="460"/>
        <v>619028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403"/>
        <v>0</v>
      </c>
      <c r="FP157">
        <f t="shared" si="461"/>
        <v>619028</v>
      </c>
      <c r="FQ157">
        <f t="shared" si="462"/>
        <v>12500</v>
      </c>
      <c r="FR157">
        <f t="shared" si="463"/>
        <v>23806</v>
      </c>
      <c r="FS157">
        <f t="shared" si="464"/>
        <v>36306</v>
      </c>
      <c r="FT157">
        <f t="shared" si="465"/>
        <v>36306</v>
      </c>
      <c r="FU157">
        <f t="shared" si="466"/>
        <v>1452.24</v>
      </c>
      <c r="FV157">
        <f t="shared" si="467"/>
        <v>37758</v>
      </c>
      <c r="FW157">
        <v>0</v>
      </c>
      <c r="FX157">
        <f t="shared" si="468"/>
        <v>37758</v>
      </c>
      <c r="FY157" t="b">
        <f t="shared" si="469"/>
        <v>1</v>
      </c>
      <c r="FZ157">
        <f t="shared" ca="1" si="470"/>
        <v>560</v>
      </c>
      <c r="GA157">
        <f t="shared" ca="1" si="471"/>
        <v>768708</v>
      </c>
      <c r="GB157">
        <f t="shared" si="472"/>
        <v>75000</v>
      </c>
      <c r="GC157">
        <f t="shared" ca="1" si="473"/>
        <v>693708</v>
      </c>
      <c r="GD157">
        <f t="shared" ca="1" si="474"/>
        <v>0</v>
      </c>
      <c r="GE157">
        <f t="shared" ca="1" si="475"/>
        <v>0</v>
      </c>
      <c r="GF157">
        <f t="shared" ca="1" si="476"/>
        <v>0</v>
      </c>
      <c r="GG157">
        <f t="shared" ca="1" si="477"/>
        <v>0</v>
      </c>
      <c r="GH157">
        <f t="shared" ca="1" si="478"/>
        <v>0</v>
      </c>
      <c r="GI157">
        <f t="shared" ca="1" si="479"/>
        <v>0</v>
      </c>
      <c r="GJ157">
        <f t="shared" ca="1" si="404"/>
        <v>0</v>
      </c>
      <c r="GK157">
        <f t="shared" ca="1" si="480"/>
        <v>0</v>
      </c>
      <c r="GL157">
        <f t="shared" ca="1" si="481"/>
        <v>0</v>
      </c>
      <c r="GM157">
        <f t="shared" ca="1" si="482"/>
        <v>0</v>
      </c>
      <c r="GN157">
        <f t="shared" ca="1" si="483"/>
        <v>293708</v>
      </c>
      <c r="GO157">
        <f t="shared" ca="1" si="484"/>
        <v>14685.400000000001</v>
      </c>
      <c r="GP157">
        <f t="shared" ca="1" si="485"/>
        <v>14685</v>
      </c>
      <c r="GQ157">
        <f t="shared" ca="1" si="486"/>
        <v>0</v>
      </c>
      <c r="GR157">
        <f t="shared" ca="1" si="487"/>
        <v>0</v>
      </c>
      <c r="GS157">
        <f t="shared" ca="1" si="488"/>
        <v>14685</v>
      </c>
      <c r="GT157">
        <f t="shared" ca="1" si="489"/>
        <v>0</v>
      </c>
      <c r="GU157" t="b">
        <f t="shared" ca="1" si="490"/>
        <v>0</v>
      </c>
      <c r="GV157">
        <f t="shared" ca="1" si="491"/>
        <v>0</v>
      </c>
      <c r="GW157">
        <f t="shared" ca="1" si="492"/>
        <v>14685</v>
      </c>
      <c r="GX157">
        <f t="shared" ca="1" si="493"/>
        <v>0</v>
      </c>
      <c r="GY157">
        <f t="shared" ca="1" si="494"/>
        <v>0</v>
      </c>
      <c r="GZ157">
        <f t="shared" ca="1" si="495"/>
        <v>0</v>
      </c>
    </row>
    <row r="158" spans="1:208" x14ac:dyDescent="0.3">
      <c r="A158">
        <f>_xlfn.AGGREGATE(3,5,$B$2:B158)</f>
        <v>157</v>
      </c>
      <c r="B158" t="s">
        <v>421</v>
      </c>
      <c r="C158" t="s">
        <v>422</v>
      </c>
      <c r="D158" t="s">
        <v>792</v>
      </c>
      <c r="E158" t="s">
        <v>830</v>
      </c>
      <c r="F158" t="s">
        <v>956</v>
      </c>
      <c r="G158" t="s">
        <v>877</v>
      </c>
      <c r="H158">
        <f t="shared" si="497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412"/>
        <v>4830.0000000000009</v>
      </c>
      <c r="L158">
        <f t="shared" si="413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389"/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496"/>
        <v>200</v>
      </c>
      <c r="S158">
        <f t="shared" si="405"/>
        <v>38770</v>
      </c>
      <c r="T158">
        <f>_xlfn.XLOOKUP(B158,'[2]april-2025'!$A:$A,'[2]april-2025'!$C:$C,0,0)</f>
        <v>34500</v>
      </c>
      <c r="U158">
        <f t="shared" si="414"/>
        <v>6210</v>
      </c>
      <c r="V158">
        <f t="shared" si="415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406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416"/>
        <v>200</v>
      </c>
      <c r="AC158">
        <f t="shared" si="417"/>
        <v>40150</v>
      </c>
      <c r="AD158">
        <f>_xlfn.XLOOKUP(B158,'[3]may-2025'!$A:$A,'[3]may-2025'!$C:$C,0,0)</f>
        <v>34500</v>
      </c>
      <c r="AE158">
        <f t="shared" si="418"/>
        <v>6210</v>
      </c>
      <c r="AF158">
        <f t="shared" si="419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407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420"/>
        <v>200</v>
      </c>
      <c r="AM158">
        <f t="shared" si="421"/>
        <v>40150</v>
      </c>
      <c r="AN158">
        <f>_xlfn.XLOOKUP(B158,'[4]june-2025'!$A:$A,'[4]june-2025'!$C:$C,0,0)</f>
        <v>34500</v>
      </c>
      <c r="AO158">
        <f t="shared" si="422"/>
        <v>6210</v>
      </c>
      <c r="AP158">
        <f t="shared" si="423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408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424"/>
        <v>200</v>
      </c>
      <c r="AW158">
        <f t="shared" si="425"/>
        <v>40150</v>
      </c>
      <c r="AX158">
        <f>_xlfn.XLOOKUP(B158,'[5]july-2025'!$A:$A,'[5]july-2025'!$C:$C,0,0)</f>
        <v>35500</v>
      </c>
      <c r="AY158">
        <f t="shared" si="426"/>
        <v>6390</v>
      </c>
      <c r="AZ158">
        <v>0</v>
      </c>
      <c r="BA158">
        <f t="shared" si="427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390"/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428"/>
        <v>200</v>
      </c>
      <c r="BH158">
        <f t="shared" si="429"/>
        <v>41450</v>
      </c>
      <c r="BI158">
        <f>_xlfn.XLOOKUP(B158,'[6]august-2025'!$A:$A,'[6]august-2025'!$C:$C,0,0)</f>
        <v>35500</v>
      </c>
      <c r="BJ158">
        <f t="shared" si="430"/>
        <v>6390</v>
      </c>
      <c r="BK158">
        <f t="shared" si="431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432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 t="shared" si="391"/>
        <v>200</v>
      </c>
      <c r="BR158">
        <f t="shared" si="392"/>
        <v>41450</v>
      </c>
      <c r="BS158">
        <f>_xlfn.XLOOKUP(B158,'[7]september-2025'!$A:$A,'[7]september-2025'!$C:$C,0,0)</f>
        <v>35500</v>
      </c>
      <c r="BT158">
        <f t="shared" si="433"/>
        <v>6390</v>
      </c>
      <c r="BU158">
        <f t="shared" si="434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393"/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435"/>
        <v>200</v>
      </c>
      <c r="CB158">
        <f t="shared" si="436"/>
        <v>41450</v>
      </c>
      <c r="CC158">
        <f>_xlfn.XLOOKUP(B158,'[8]october-2025'!$A:$A,'[8]october-2025'!$C:$C,0,0)</f>
        <v>35500</v>
      </c>
      <c r="CD158">
        <f t="shared" si="437"/>
        <v>6390</v>
      </c>
      <c r="CE158">
        <f t="shared" si="438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394"/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439"/>
        <v>200</v>
      </c>
      <c r="CL158">
        <f t="shared" si="440"/>
        <v>41450</v>
      </c>
      <c r="CM158">
        <f>_xlfn.XLOOKUP(B158,'[9]november-2025'!$A:$A,'[9]november-2025'!$C:$C,0,0)</f>
        <v>35500</v>
      </c>
      <c r="CN158">
        <f t="shared" si="441"/>
        <v>6390</v>
      </c>
      <c r="CO158">
        <f t="shared" si="442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395"/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443"/>
        <v>200</v>
      </c>
      <c r="CV158">
        <f t="shared" si="444"/>
        <v>41450</v>
      </c>
      <c r="CW158">
        <f>_xlfn.XLOOKUP(B158,'[10]december-2025'!$A:$A,'[10]december-2025'!$C:$C,0,0)</f>
        <v>35500</v>
      </c>
      <c r="CX158">
        <f t="shared" si="445"/>
        <v>6390</v>
      </c>
      <c r="CY158">
        <f t="shared" si="446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396"/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447"/>
        <v>200</v>
      </c>
      <c r="DF158">
        <f t="shared" si="448"/>
        <v>41450</v>
      </c>
      <c r="DG158">
        <f>_xlfn.XLOOKUP(B158,'[11]january-2026'!$A:$A,'[11]january-2026'!$C:$C,0,0)</f>
        <v>35500</v>
      </c>
      <c r="DH158">
        <f t="shared" si="449"/>
        <v>6390</v>
      </c>
      <c r="DI158">
        <f t="shared" si="450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397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51"/>
        <v>200</v>
      </c>
      <c r="DP158">
        <f t="shared" si="452"/>
        <v>41450</v>
      </c>
      <c r="DQ158">
        <f>_xlfn.XLOOKUP(B158,'[12]february-2026'!$A:$A,'[12]february-2026'!$C:$C,0,0)</f>
        <v>35500</v>
      </c>
      <c r="DR158">
        <f t="shared" si="453"/>
        <v>6390</v>
      </c>
      <c r="DS158">
        <f t="shared" si="454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398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55"/>
        <v>200</v>
      </c>
      <c r="DZ158">
        <f t="shared" si="456"/>
        <v>41450</v>
      </c>
      <c r="EA158">
        <f>_xlfn.XLOOKUP(B158,'[1]march-2025'!$A:$A,'[1]march-2025'!$J:$J,0,0)</f>
        <v>0</v>
      </c>
      <c r="EB158">
        <f>_xlfn.XLOOKUP(B158,'[2]april-2025'!$A:$A,'[2]april-2025'!$J:$J,0,0)</f>
        <v>0</v>
      </c>
      <c r="EC158">
        <f>_xlfn.XLOOKUP(B158,'[3]may-2025'!$A:$A,'[3]may-2025'!$J:$J,0,0)</f>
        <v>0</v>
      </c>
      <c r="ED158">
        <f>_xlfn.XLOOKUP(B158,'[4]june-2025'!$A:$A,'[4]june-2025'!$J:$J,0,0)</f>
        <v>0</v>
      </c>
      <c r="EE158">
        <f>_xlfn.XLOOKUP(B158,'[5]july-2025'!$A:$A,'[5]july-2025'!$J:$J,0,0)</f>
        <v>0</v>
      </c>
      <c r="EF158">
        <f>_xlfn.XLOOKUP(B158,'[6]august-2025'!$A:$A,'[6]august-2025'!$J:$J,0,0)</f>
        <v>0</v>
      </c>
      <c r="EG158">
        <f>_xlfn.XLOOKUP(B158,'[7]september-2025'!$A:$A,'[7]september-2025'!$J:$J,0,0)</f>
        <v>0</v>
      </c>
      <c r="EH158">
        <f>_xlfn.XLOOKUP(B158,'[8]october-2025'!$A:$A,'[8]october-2025'!$J:$J,0,0)</f>
        <v>0</v>
      </c>
      <c r="EI158">
        <f>_xlfn.XLOOKUP(C158,'[9]november-2025'!$A:$A,'[9]november-2025'!$J:$J,0,0)</f>
        <v>0</v>
      </c>
      <c r="EJ158">
        <f>_xlfn.XLOOKUP(B158,'[10]december-2025'!$A:$A,'[10]december-2025'!$J:$J,0,0)</f>
        <v>0</v>
      </c>
      <c r="EK158">
        <f>_xlfn.XLOOKUP(B158,'[11]january-2026'!$A:$A,'[11]january-2026'!$J:$J,0,0)</f>
        <v>0</v>
      </c>
      <c r="EL158">
        <f>_xlfn.XLOOKUP(B158,'[12]february-2026'!$A:$A,'[12]february-2026'!$J:$J,0,0)</f>
        <v>0</v>
      </c>
      <c r="EM158">
        <f t="shared" si="409"/>
        <v>0</v>
      </c>
      <c r="EN158">
        <f t="shared" si="399"/>
        <v>560020</v>
      </c>
      <c r="EO158">
        <f t="shared" si="400"/>
        <v>2400</v>
      </c>
      <c r="EP158">
        <f t="shared" si="457"/>
        <v>50000</v>
      </c>
      <c r="EQ158">
        <v>0</v>
      </c>
      <c r="ER158">
        <f t="shared" si="410"/>
        <v>507620</v>
      </c>
      <c r="ES158">
        <f t="shared" si="401"/>
        <v>60000</v>
      </c>
      <c r="ET158">
        <f t="shared" si="402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458"/>
        <v>60000</v>
      </c>
      <c r="FF158">
        <f t="shared" si="459"/>
        <v>60000</v>
      </c>
      <c r="FG158">
        <f t="shared" si="460"/>
        <v>447620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403"/>
        <v>0</v>
      </c>
      <c r="FP158">
        <f t="shared" si="461"/>
        <v>447620</v>
      </c>
      <c r="FQ158">
        <f t="shared" si="462"/>
        <v>9881</v>
      </c>
      <c r="FR158">
        <f t="shared" si="463"/>
        <v>0</v>
      </c>
      <c r="FS158">
        <f t="shared" si="464"/>
        <v>9881</v>
      </c>
      <c r="FT158">
        <f t="shared" si="465"/>
        <v>0</v>
      </c>
      <c r="FU158">
        <f t="shared" si="466"/>
        <v>0</v>
      </c>
      <c r="FV158">
        <f t="shared" si="467"/>
        <v>0</v>
      </c>
      <c r="FW158">
        <v>0</v>
      </c>
      <c r="FX158">
        <f t="shared" si="468"/>
        <v>0</v>
      </c>
      <c r="FY158" t="b">
        <f t="shared" si="469"/>
        <v>1</v>
      </c>
      <c r="FZ158">
        <f t="shared" ca="1" si="470"/>
        <v>767</v>
      </c>
      <c r="GA158">
        <f t="shared" ca="1" si="471"/>
        <v>560787</v>
      </c>
      <c r="GB158">
        <f t="shared" si="472"/>
        <v>75000</v>
      </c>
      <c r="GC158">
        <f t="shared" ca="1" si="473"/>
        <v>485787</v>
      </c>
      <c r="GD158">
        <f t="shared" ca="1" si="474"/>
        <v>0</v>
      </c>
      <c r="GE158">
        <f t="shared" ca="1" si="475"/>
        <v>0</v>
      </c>
      <c r="GF158">
        <f t="shared" ca="1" si="476"/>
        <v>0</v>
      </c>
      <c r="GG158">
        <f t="shared" ca="1" si="477"/>
        <v>0</v>
      </c>
      <c r="GH158">
        <f t="shared" ca="1" si="478"/>
        <v>0</v>
      </c>
      <c r="GI158">
        <f t="shared" ca="1" si="479"/>
        <v>0</v>
      </c>
      <c r="GJ158">
        <f t="shared" ca="1" si="404"/>
        <v>0</v>
      </c>
      <c r="GK158">
        <f t="shared" ca="1" si="480"/>
        <v>0</v>
      </c>
      <c r="GL158">
        <f t="shared" ca="1" si="481"/>
        <v>0</v>
      </c>
      <c r="GM158">
        <f t="shared" ca="1" si="482"/>
        <v>0</v>
      </c>
      <c r="GN158">
        <f t="shared" ca="1" si="483"/>
        <v>85787</v>
      </c>
      <c r="GO158">
        <f t="shared" ca="1" si="484"/>
        <v>4289.3500000000004</v>
      </c>
      <c r="GP158">
        <f t="shared" ca="1" si="485"/>
        <v>4289</v>
      </c>
      <c r="GQ158">
        <f t="shared" ca="1" si="486"/>
        <v>0</v>
      </c>
      <c r="GR158">
        <f t="shared" ca="1" si="487"/>
        <v>0</v>
      </c>
      <c r="GS158">
        <f t="shared" ca="1" si="488"/>
        <v>4289</v>
      </c>
      <c r="GT158">
        <f t="shared" ca="1" si="489"/>
        <v>0</v>
      </c>
      <c r="GU158" t="b">
        <f t="shared" ca="1" si="490"/>
        <v>0</v>
      </c>
      <c r="GV158">
        <f t="shared" ca="1" si="491"/>
        <v>0</v>
      </c>
      <c r="GW158">
        <f t="shared" ca="1" si="492"/>
        <v>4289</v>
      </c>
      <c r="GX158">
        <f t="shared" ca="1" si="493"/>
        <v>0</v>
      </c>
      <c r="GY158">
        <f t="shared" ca="1" si="494"/>
        <v>0</v>
      </c>
      <c r="GZ158">
        <f t="shared" ca="1" si="495"/>
        <v>0</v>
      </c>
    </row>
    <row r="159" spans="1:208" x14ac:dyDescent="0.3">
      <c r="A159">
        <f>_xlfn.AGGREGATE(3,5,$B$2:B159)</f>
        <v>158</v>
      </c>
      <c r="B159" t="s">
        <v>423</v>
      </c>
      <c r="C159" t="s">
        <v>424</v>
      </c>
      <c r="D159" t="s">
        <v>792</v>
      </c>
      <c r="E159" t="s">
        <v>830</v>
      </c>
      <c r="F159" t="s">
        <v>956</v>
      </c>
      <c r="G159" t="s">
        <v>877</v>
      </c>
      <c r="H159">
        <f t="shared" si="497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412"/>
        <v>4830.0000000000009</v>
      </c>
      <c r="L159">
        <f t="shared" si="413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 t="shared" si="389"/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496"/>
        <v>200</v>
      </c>
      <c r="S159">
        <f t="shared" si="405"/>
        <v>37270</v>
      </c>
      <c r="T159">
        <f>_xlfn.XLOOKUP(B159,'[2]april-2025'!$A:$A,'[2]april-2025'!$C:$C,0,0)</f>
        <v>34500</v>
      </c>
      <c r="U159">
        <f t="shared" si="414"/>
        <v>6210</v>
      </c>
      <c r="V159">
        <f t="shared" si="415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406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416"/>
        <v>200</v>
      </c>
      <c r="AC159">
        <f t="shared" si="417"/>
        <v>38650</v>
      </c>
      <c r="AD159">
        <f>_xlfn.XLOOKUP(B159,'[3]may-2025'!$A:$A,'[3]may-2025'!$C:$C,0,0)</f>
        <v>34500</v>
      </c>
      <c r="AE159">
        <f t="shared" si="418"/>
        <v>6210</v>
      </c>
      <c r="AF159">
        <f t="shared" si="419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407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420"/>
        <v>200</v>
      </c>
      <c r="AM159">
        <f t="shared" si="421"/>
        <v>38650</v>
      </c>
      <c r="AN159">
        <f>_xlfn.XLOOKUP(B159,'[4]june-2025'!$A:$A,'[4]june-2025'!$C:$C,0,0)</f>
        <v>34500</v>
      </c>
      <c r="AO159">
        <f t="shared" si="422"/>
        <v>6210</v>
      </c>
      <c r="AP159">
        <f t="shared" si="423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408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424"/>
        <v>200</v>
      </c>
      <c r="AW159">
        <f t="shared" si="425"/>
        <v>38650</v>
      </c>
      <c r="AX159">
        <f>_xlfn.XLOOKUP(B159,'[5]july-2025'!$A:$A,'[5]july-2025'!$C:$C,0,0)</f>
        <v>35500</v>
      </c>
      <c r="AY159">
        <f t="shared" si="426"/>
        <v>6390</v>
      </c>
      <c r="AZ159">
        <v>0</v>
      </c>
      <c r="BA159">
        <f t="shared" si="427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 t="shared" si="390"/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428"/>
        <v>200</v>
      </c>
      <c r="BH159">
        <f t="shared" si="429"/>
        <v>39950</v>
      </c>
      <c r="BI159">
        <f>_xlfn.XLOOKUP(B159,'[6]august-2025'!$A:$A,'[6]august-2025'!$C:$C,0,0)</f>
        <v>35500</v>
      </c>
      <c r="BJ159">
        <f t="shared" si="430"/>
        <v>6390</v>
      </c>
      <c r="BK159">
        <f t="shared" si="431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432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 t="shared" si="391"/>
        <v>200</v>
      </c>
      <c r="BR159">
        <f t="shared" si="392"/>
        <v>39950</v>
      </c>
      <c r="BS159">
        <f>_xlfn.XLOOKUP(B159,'[7]september-2025'!$A:$A,'[7]september-2025'!$C:$C,0,0)</f>
        <v>35500</v>
      </c>
      <c r="BT159">
        <f t="shared" si="433"/>
        <v>6390</v>
      </c>
      <c r="BU159">
        <f t="shared" si="434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 t="shared" si="393"/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435"/>
        <v>200</v>
      </c>
      <c r="CB159">
        <f t="shared" si="436"/>
        <v>39950</v>
      </c>
      <c r="CC159">
        <f>_xlfn.XLOOKUP(B159,'[8]october-2025'!$A:$A,'[8]october-2025'!$C:$C,0,0)</f>
        <v>35500</v>
      </c>
      <c r="CD159">
        <f t="shared" si="437"/>
        <v>6390</v>
      </c>
      <c r="CE159">
        <f t="shared" si="438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 t="shared" si="394"/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439"/>
        <v>200</v>
      </c>
      <c r="CL159">
        <f t="shared" si="440"/>
        <v>39950</v>
      </c>
      <c r="CM159">
        <f>_xlfn.XLOOKUP(B159,'[9]november-2025'!$A:$A,'[9]november-2025'!$C:$C,0,0)</f>
        <v>35500</v>
      </c>
      <c r="CN159">
        <f t="shared" si="441"/>
        <v>6390</v>
      </c>
      <c r="CO159">
        <f t="shared" si="442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 t="shared" si="395"/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443"/>
        <v>200</v>
      </c>
      <c r="CV159">
        <f t="shared" si="444"/>
        <v>39950</v>
      </c>
      <c r="CW159">
        <f>_xlfn.XLOOKUP(B159,'[10]december-2025'!$A:$A,'[10]december-2025'!$C:$C,0,0)</f>
        <v>35500</v>
      </c>
      <c r="CX159">
        <f t="shared" si="445"/>
        <v>6390</v>
      </c>
      <c r="CY159">
        <f t="shared" si="446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 t="shared" si="396"/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447"/>
        <v>200</v>
      </c>
      <c r="DF159">
        <f t="shared" si="448"/>
        <v>39950</v>
      </c>
      <c r="DG159">
        <f>_xlfn.XLOOKUP(B159,'[11]january-2026'!$A:$A,'[11]january-2026'!$C:$C,0,0)</f>
        <v>35500</v>
      </c>
      <c r="DH159">
        <f t="shared" si="449"/>
        <v>6390</v>
      </c>
      <c r="DI159">
        <f t="shared" si="450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397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51"/>
        <v>200</v>
      </c>
      <c r="DP159">
        <f t="shared" si="452"/>
        <v>39950</v>
      </c>
      <c r="DQ159">
        <f>_xlfn.XLOOKUP(B159,'[12]february-2026'!$A:$A,'[12]february-2026'!$C:$C,0,0)</f>
        <v>35500</v>
      </c>
      <c r="DR159">
        <f t="shared" si="453"/>
        <v>6390</v>
      </c>
      <c r="DS159">
        <f t="shared" si="454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398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55"/>
        <v>200</v>
      </c>
      <c r="DZ159">
        <f t="shared" si="456"/>
        <v>39950</v>
      </c>
      <c r="EA159">
        <f>_xlfn.XLOOKUP(B159,'[1]march-2025'!$A:$A,'[1]march-2025'!$J:$J,0,0)</f>
        <v>0</v>
      </c>
      <c r="EB159">
        <f>_xlfn.XLOOKUP(B159,'[2]april-2025'!$A:$A,'[2]april-2025'!$J:$J,0,0)</f>
        <v>0</v>
      </c>
      <c r="EC159">
        <f>_xlfn.XLOOKUP(B159,'[3]may-2025'!$A:$A,'[3]may-2025'!$J:$J,0,0)</f>
        <v>0</v>
      </c>
      <c r="ED159">
        <f>_xlfn.XLOOKUP(B159,'[4]june-2025'!$A:$A,'[4]june-2025'!$J:$J,0,0)</f>
        <v>0</v>
      </c>
      <c r="EE159">
        <f>_xlfn.XLOOKUP(B159,'[5]july-2025'!$A:$A,'[5]july-2025'!$J:$J,0,0)</f>
        <v>0</v>
      </c>
      <c r="EF159">
        <f>_xlfn.XLOOKUP(B159,'[6]august-2025'!$A:$A,'[6]august-2025'!$J:$J,0,0)</f>
        <v>0</v>
      </c>
      <c r="EG159">
        <f>_xlfn.XLOOKUP(B159,'[7]september-2025'!$A:$A,'[7]september-2025'!$J:$J,0,0)</f>
        <v>0</v>
      </c>
      <c r="EH159">
        <f>_xlfn.XLOOKUP(B159,'[8]october-2025'!$A:$A,'[8]october-2025'!$J:$J,0,0)</f>
        <v>0</v>
      </c>
      <c r="EI159">
        <f>_xlfn.XLOOKUP(C159,'[9]november-2025'!$A:$A,'[9]november-2025'!$J:$J,0,0)</f>
        <v>0</v>
      </c>
      <c r="EJ159">
        <f>_xlfn.XLOOKUP(B159,'[10]december-2025'!$A:$A,'[10]december-2025'!$J:$J,0,0)</f>
        <v>0</v>
      </c>
      <c r="EK159">
        <f>_xlfn.XLOOKUP(B159,'[11]january-2026'!$A:$A,'[11]january-2026'!$J:$J,0,0)</f>
        <v>0</v>
      </c>
      <c r="EL159">
        <f>_xlfn.XLOOKUP(B159,'[12]february-2026'!$A:$A,'[12]february-2026'!$J:$J,0,0)</f>
        <v>0</v>
      </c>
      <c r="EM159">
        <f t="shared" si="409"/>
        <v>0</v>
      </c>
      <c r="EN159">
        <f t="shared" si="399"/>
        <v>554020</v>
      </c>
      <c r="EO159">
        <f t="shared" si="400"/>
        <v>2400</v>
      </c>
      <c r="EP159">
        <f t="shared" si="457"/>
        <v>50000</v>
      </c>
      <c r="EQ159">
        <v>0</v>
      </c>
      <c r="ER159">
        <f t="shared" si="410"/>
        <v>501620</v>
      </c>
      <c r="ES159">
        <f t="shared" si="401"/>
        <v>72000</v>
      </c>
      <c r="ET159">
        <f t="shared" si="402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458"/>
        <v>72000</v>
      </c>
      <c r="FF159">
        <f t="shared" si="459"/>
        <v>72000</v>
      </c>
      <c r="FG159">
        <f t="shared" si="460"/>
        <v>429620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403"/>
        <v>0</v>
      </c>
      <c r="FP159">
        <f t="shared" si="461"/>
        <v>429620</v>
      </c>
      <c r="FQ159">
        <f t="shared" si="462"/>
        <v>8981</v>
      </c>
      <c r="FR159">
        <f t="shared" si="463"/>
        <v>0</v>
      </c>
      <c r="FS159">
        <f t="shared" si="464"/>
        <v>8981</v>
      </c>
      <c r="FT159">
        <f t="shared" si="465"/>
        <v>0</v>
      </c>
      <c r="FU159">
        <f t="shared" si="466"/>
        <v>0</v>
      </c>
      <c r="FV159">
        <f t="shared" si="467"/>
        <v>0</v>
      </c>
      <c r="FW159">
        <v>0</v>
      </c>
      <c r="FX159">
        <f t="shared" si="468"/>
        <v>0</v>
      </c>
      <c r="FY159" t="b">
        <f t="shared" si="469"/>
        <v>1</v>
      </c>
      <c r="FZ159">
        <f t="shared" ca="1" si="470"/>
        <v>772</v>
      </c>
      <c r="GA159">
        <f t="shared" ca="1" si="471"/>
        <v>554792</v>
      </c>
      <c r="GB159">
        <f t="shared" si="472"/>
        <v>75000</v>
      </c>
      <c r="GC159">
        <f t="shared" ca="1" si="473"/>
        <v>479792</v>
      </c>
      <c r="GD159">
        <f t="shared" ca="1" si="474"/>
        <v>0</v>
      </c>
      <c r="GE159">
        <f t="shared" ca="1" si="475"/>
        <v>0</v>
      </c>
      <c r="GF159">
        <f t="shared" ca="1" si="476"/>
        <v>0</v>
      </c>
      <c r="GG159">
        <f t="shared" ca="1" si="477"/>
        <v>0</v>
      </c>
      <c r="GH159">
        <f t="shared" ca="1" si="478"/>
        <v>0</v>
      </c>
      <c r="GI159">
        <f t="shared" ca="1" si="479"/>
        <v>0</v>
      </c>
      <c r="GJ159">
        <f t="shared" ca="1" si="404"/>
        <v>0</v>
      </c>
      <c r="GK159">
        <f t="shared" ca="1" si="480"/>
        <v>0</v>
      </c>
      <c r="GL159">
        <f t="shared" ca="1" si="481"/>
        <v>0</v>
      </c>
      <c r="GM159">
        <f t="shared" ca="1" si="482"/>
        <v>0</v>
      </c>
      <c r="GN159">
        <f t="shared" ca="1" si="483"/>
        <v>79792</v>
      </c>
      <c r="GO159">
        <f t="shared" ca="1" si="484"/>
        <v>3989.6000000000004</v>
      </c>
      <c r="GP159">
        <f t="shared" ca="1" si="485"/>
        <v>3990</v>
      </c>
      <c r="GQ159">
        <f t="shared" ca="1" si="486"/>
        <v>0</v>
      </c>
      <c r="GR159">
        <f t="shared" ca="1" si="487"/>
        <v>0</v>
      </c>
      <c r="GS159">
        <f t="shared" ca="1" si="488"/>
        <v>3990</v>
      </c>
      <c r="GT159">
        <f t="shared" ca="1" si="489"/>
        <v>0</v>
      </c>
      <c r="GU159" t="b">
        <f t="shared" ca="1" si="490"/>
        <v>0</v>
      </c>
      <c r="GV159">
        <f t="shared" ca="1" si="491"/>
        <v>0</v>
      </c>
      <c r="GW159">
        <f t="shared" ca="1" si="492"/>
        <v>3990</v>
      </c>
      <c r="GX159">
        <f t="shared" ca="1" si="493"/>
        <v>0</v>
      </c>
      <c r="GY159">
        <f t="shared" ca="1" si="494"/>
        <v>0</v>
      </c>
      <c r="GZ159">
        <f t="shared" ca="1" si="495"/>
        <v>0</v>
      </c>
    </row>
    <row r="160" spans="1:208" x14ac:dyDescent="0.3">
      <c r="A160">
        <f>_xlfn.AGGREGATE(3,5,$B$2:B160)</f>
        <v>159</v>
      </c>
      <c r="B160" t="s">
        <v>425</v>
      </c>
      <c r="C160" t="s">
        <v>426</v>
      </c>
      <c r="D160" t="s">
        <v>792</v>
      </c>
      <c r="E160" t="s">
        <v>830</v>
      </c>
      <c r="F160" t="s">
        <v>956</v>
      </c>
      <c r="G160" t="s">
        <v>880</v>
      </c>
      <c r="H160">
        <f t="shared" si="497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412"/>
        <v>4046.0000000000005</v>
      </c>
      <c r="L160">
        <f t="shared" si="413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389"/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496"/>
        <v>150</v>
      </c>
      <c r="S160">
        <f t="shared" si="405"/>
        <v>34764</v>
      </c>
      <c r="T160">
        <f>_xlfn.XLOOKUP(B160,'[2]april-2025'!$A:$A,'[2]april-2025'!$C:$C,0,0)</f>
        <v>28900</v>
      </c>
      <c r="U160">
        <f t="shared" si="414"/>
        <v>5202</v>
      </c>
      <c r="V160">
        <f t="shared" si="415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406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416"/>
        <v>150</v>
      </c>
      <c r="AC160">
        <f t="shared" si="417"/>
        <v>35920</v>
      </c>
      <c r="AD160">
        <f>_xlfn.XLOOKUP(B160,'[3]may-2025'!$A:$A,'[3]may-2025'!$C:$C,0,0)</f>
        <v>28900</v>
      </c>
      <c r="AE160">
        <f t="shared" si="418"/>
        <v>5202</v>
      </c>
      <c r="AF160">
        <f t="shared" si="419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407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420"/>
        <v>150</v>
      </c>
      <c r="AM160">
        <f t="shared" si="421"/>
        <v>35920</v>
      </c>
      <c r="AN160">
        <f>_xlfn.XLOOKUP(B160,'[4]june-2025'!$A:$A,'[4]june-2025'!$C:$C,0,0)</f>
        <v>28900</v>
      </c>
      <c r="AO160">
        <f t="shared" si="422"/>
        <v>5202</v>
      </c>
      <c r="AP160">
        <f t="shared" si="423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408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424"/>
        <v>150</v>
      </c>
      <c r="AW160">
        <f t="shared" si="425"/>
        <v>35920</v>
      </c>
      <c r="AX160">
        <f>_xlfn.XLOOKUP(B160,'[5]july-2025'!$A:$A,'[5]july-2025'!$C:$C,0,0)</f>
        <v>29800</v>
      </c>
      <c r="AY160">
        <f t="shared" si="426"/>
        <v>5364</v>
      </c>
      <c r="AZ160">
        <v>0</v>
      </c>
      <c r="BA160">
        <f t="shared" si="427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390"/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428"/>
        <v>150</v>
      </c>
      <c r="BH160">
        <f t="shared" si="429"/>
        <v>37090</v>
      </c>
      <c r="BI160">
        <f>_xlfn.XLOOKUP(B160,'[6]august-2025'!$A:$A,'[6]august-2025'!$C:$C,0,0)</f>
        <v>29800</v>
      </c>
      <c r="BJ160">
        <f t="shared" si="430"/>
        <v>5364</v>
      </c>
      <c r="BK160">
        <f t="shared" si="431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432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 t="shared" si="391"/>
        <v>150</v>
      </c>
      <c r="BR160">
        <f t="shared" si="392"/>
        <v>35090</v>
      </c>
      <c r="BS160">
        <f>_xlfn.XLOOKUP(B160,'[7]september-2025'!$A:$A,'[7]september-2025'!$C:$C,0,0)</f>
        <v>29800</v>
      </c>
      <c r="BT160">
        <f t="shared" si="433"/>
        <v>5364</v>
      </c>
      <c r="BU160">
        <f t="shared" si="434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393"/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435"/>
        <v>150</v>
      </c>
      <c r="CB160">
        <f t="shared" si="436"/>
        <v>35090</v>
      </c>
      <c r="CC160">
        <f>_xlfn.XLOOKUP(B160,'[8]october-2025'!$A:$A,'[8]october-2025'!$C:$C,0,0)</f>
        <v>29800</v>
      </c>
      <c r="CD160">
        <f t="shared" si="437"/>
        <v>5364</v>
      </c>
      <c r="CE160">
        <f t="shared" si="438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394"/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439"/>
        <v>150</v>
      </c>
      <c r="CL160">
        <f t="shared" si="440"/>
        <v>35090</v>
      </c>
      <c r="CM160">
        <f>_xlfn.XLOOKUP(B160,'[9]november-2025'!$A:$A,'[9]november-2025'!$C:$C,0,0)</f>
        <v>29800</v>
      </c>
      <c r="CN160">
        <f t="shared" si="441"/>
        <v>5364</v>
      </c>
      <c r="CO160">
        <f t="shared" si="442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395"/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443"/>
        <v>150</v>
      </c>
      <c r="CV160">
        <f t="shared" si="444"/>
        <v>35090</v>
      </c>
      <c r="CW160">
        <f>_xlfn.XLOOKUP(B160,'[10]december-2025'!$A:$A,'[10]december-2025'!$C:$C,0,0)</f>
        <v>29800</v>
      </c>
      <c r="CX160">
        <f t="shared" si="445"/>
        <v>5364</v>
      </c>
      <c r="CY160">
        <f t="shared" si="446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396"/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447"/>
        <v>150</v>
      </c>
      <c r="DF160">
        <f t="shared" si="448"/>
        <v>35090</v>
      </c>
      <c r="DG160">
        <f>_xlfn.XLOOKUP(B160,'[11]january-2026'!$A:$A,'[11]january-2026'!$C:$C,0,0)</f>
        <v>29800</v>
      </c>
      <c r="DH160">
        <f t="shared" si="449"/>
        <v>5364</v>
      </c>
      <c r="DI160">
        <f t="shared" si="450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397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51"/>
        <v>150</v>
      </c>
      <c r="DP160">
        <f t="shared" si="452"/>
        <v>35090</v>
      </c>
      <c r="DQ160">
        <f>_xlfn.XLOOKUP(B160,'[12]february-2026'!$A:$A,'[12]february-2026'!$C:$C,0,0)</f>
        <v>29800</v>
      </c>
      <c r="DR160">
        <f t="shared" si="453"/>
        <v>5364</v>
      </c>
      <c r="DS160">
        <f t="shared" si="454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398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55"/>
        <v>150</v>
      </c>
      <c r="DZ160">
        <f t="shared" si="456"/>
        <v>35090</v>
      </c>
      <c r="EA160">
        <f>_xlfn.XLOOKUP(B160,'[1]march-2025'!$A:$A,'[1]march-2025'!$J:$J,0,0)</f>
        <v>0</v>
      </c>
      <c r="EB160">
        <f>_xlfn.XLOOKUP(B160,'[2]april-2025'!$A:$A,'[2]april-2025'!$J:$J,0,0)</f>
        <v>0</v>
      </c>
      <c r="EC160">
        <f>_xlfn.XLOOKUP(B160,'[3]may-2025'!$A:$A,'[3]may-2025'!$J:$J,0,0)</f>
        <v>61490</v>
      </c>
      <c r="ED160">
        <f>_xlfn.XLOOKUP(B160,'[4]june-2025'!$A:$A,'[4]june-2025'!$J:$J,0,0)</f>
        <v>0</v>
      </c>
      <c r="EE160">
        <f>_xlfn.XLOOKUP(B160,'[5]july-2025'!$A:$A,'[5]july-2025'!$J:$J,0,0)</f>
        <v>0</v>
      </c>
      <c r="EF160">
        <f>_xlfn.XLOOKUP(B160,'[6]august-2025'!$A:$A,'[6]august-2025'!$J:$J,0,0)</f>
        <v>0</v>
      </c>
      <c r="EG160">
        <f>_xlfn.XLOOKUP(B160,'[7]september-2025'!$A:$A,'[7]september-2025'!$J:$J,0,0)</f>
        <v>0</v>
      </c>
      <c r="EH160">
        <f>_xlfn.XLOOKUP(B160,'[8]october-2025'!$A:$A,'[8]october-2025'!$J:$J,0,0)</f>
        <v>0</v>
      </c>
      <c r="EI160">
        <f>_xlfn.XLOOKUP(C160,'[9]november-2025'!$A:$A,'[9]november-2025'!$J:$J,0,0)</f>
        <v>0</v>
      </c>
      <c r="EJ160">
        <f>_xlfn.XLOOKUP(B160,'[10]december-2025'!$A:$A,'[10]december-2025'!$J:$J,0,0)</f>
        <v>0</v>
      </c>
      <c r="EK160">
        <f>_xlfn.XLOOKUP(B160,'[11]january-2026'!$A:$A,'[11]january-2026'!$J:$J,0,0)</f>
        <v>0</v>
      </c>
      <c r="EL160">
        <f>_xlfn.XLOOKUP(B160,'[12]february-2026'!$A:$A,'[12]february-2026'!$J:$J,0,0)</f>
        <v>0</v>
      </c>
      <c r="EM160">
        <f t="shared" si="409"/>
        <v>61490</v>
      </c>
      <c r="EN160">
        <f t="shared" si="399"/>
        <v>471844</v>
      </c>
      <c r="EO160">
        <f t="shared" si="400"/>
        <v>1800</v>
      </c>
      <c r="EP160">
        <f t="shared" si="457"/>
        <v>50000</v>
      </c>
      <c r="EQ160">
        <v>0</v>
      </c>
      <c r="ER160">
        <f t="shared" si="410"/>
        <v>481534</v>
      </c>
      <c r="ES160">
        <f t="shared" si="401"/>
        <v>38000</v>
      </c>
      <c r="ET160">
        <f t="shared" si="402"/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458"/>
        <v>38000</v>
      </c>
      <c r="FF160">
        <f t="shared" si="459"/>
        <v>38000</v>
      </c>
      <c r="FG160">
        <f t="shared" si="460"/>
        <v>443534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403"/>
        <v>0</v>
      </c>
      <c r="FP160">
        <f t="shared" si="461"/>
        <v>443534</v>
      </c>
      <c r="FQ160">
        <f t="shared" si="462"/>
        <v>9677</v>
      </c>
      <c r="FR160">
        <f t="shared" si="463"/>
        <v>0</v>
      </c>
      <c r="FS160">
        <f t="shared" si="464"/>
        <v>9677</v>
      </c>
      <c r="FT160">
        <f t="shared" si="465"/>
        <v>0</v>
      </c>
      <c r="FU160">
        <f t="shared" si="466"/>
        <v>0</v>
      </c>
      <c r="FV160">
        <f t="shared" si="467"/>
        <v>0</v>
      </c>
      <c r="FW160">
        <v>0</v>
      </c>
      <c r="FX160">
        <f t="shared" si="468"/>
        <v>0</v>
      </c>
      <c r="FY160" t="b">
        <f t="shared" si="469"/>
        <v>0</v>
      </c>
      <c r="FZ160">
        <f t="shared" ca="1" si="470"/>
        <v>2023</v>
      </c>
      <c r="GA160">
        <f t="shared" ca="1" si="471"/>
        <v>473867</v>
      </c>
      <c r="GB160">
        <f t="shared" si="472"/>
        <v>75000</v>
      </c>
      <c r="GC160">
        <f t="shared" ca="1" si="473"/>
        <v>398867</v>
      </c>
      <c r="GD160">
        <f t="shared" ca="1" si="474"/>
        <v>0</v>
      </c>
      <c r="GE160">
        <f t="shared" ca="1" si="475"/>
        <v>0</v>
      </c>
      <c r="GF160">
        <f t="shared" ca="1" si="476"/>
        <v>0</v>
      </c>
      <c r="GG160">
        <f t="shared" ca="1" si="477"/>
        <v>0</v>
      </c>
      <c r="GH160">
        <f t="shared" ca="1" si="478"/>
        <v>0</v>
      </c>
      <c r="GI160">
        <f t="shared" ca="1" si="479"/>
        <v>0</v>
      </c>
      <c r="GJ160">
        <f t="shared" ca="1" si="404"/>
        <v>0</v>
      </c>
      <c r="GK160">
        <f t="shared" ca="1" si="480"/>
        <v>0</v>
      </c>
      <c r="GL160">
        <f t="shared" ca="1" si="481"/>
        <v>0</v>
      </c>
      <c r="GM160">
        <f t="shared" ca="1" si="482"/>
        <v>0</v>
      </c>
      <c r="GN160">
        <f t="shared" ca="1" si="483"/>
        <v>0</v>
      </c>
      <c r="GO160">
        <f t="shared" ca="1" si="484"/>
        <v>0</v>
      </c>
      <c r="GP160">
        <f t="shared" ca="1" si="485"/>
        <v>0</v>
      </c>
      <c r="GQ160">
        <f t="shared" ca="1" si="486"/>
        <v>0</v>
      </c>
      <c r="GR160">
        <f t="shared" ca="1" si="487"/>
        <v>0</v>
      </c>
      <c r="GS160">
        <f t="shared" ca="1" si="488"/>
        <v>0</v>
      </c>
      <c r="GT160">
        <f t="shared" ca="1" si="489"/>
        <v>0</v>
      </c>
      <c r="GU160" t="b">
        <f t="shared" ca="1" si="490"/>
        <v>0</v>
      </c>
      <c r="GV160">
        <f t="shared" ca="1" si="491"/>
        <v>0</v>
      </c>
      <c r="GW160">
        <f t="shared" ca="1" si="492"/>
        <v>0</v>
      </c>
      <c r="GX160">
        <f t="shared" ca="1" si="493"/>
        <v>0</v>
      </c>
      <c r="GY160">
        <f t="shared" ca="1" si="494"/>
        <v>0</v>
      </c>
      <c r="GZ160">
        <f t="shared" ca="1" si="495"/>
        <v>0</v>
      </c>
    </row>
    <row r="161" spans="1:208" x14ac:dyDescent="0.3">
      <c r="A161">
        <f>_xlfn.AGGREGATE(3,5,$B$2:B161)</f>
        <v>160</v>
      </c>
      <c r="B161" t="s">
        <v>427</v>
      </c>
      <c r="C161" t="s">
        <v>428</v>
      </c>
      <c r="D161" t="s">
        <v>792</v>
      </c>
      <c r="E161" t="s">
        <v>830</v>
      </c>
      <c r="F161" t="s">
        <v>956</v>
      </c>
      <c r="G161" t="s">
        <v>882</v>
      </c>
      <c r="H161">
        <f t="shared" si="497"/>
        <v>6800</v>
      </c>
      <c r="I161">
        <f>_xlfn.XLOOKUP(B161,'[1]march-2025'!$A:$A,'[1]march-2025'!$J:$J,0,0)</f>
        <v>0</v>
      </c>
      <c r="J161">
        <f>_xlfn.XLOOKUP(B161,'[1]march-2025'!$A:$A,'[1]march-2025'!$C:$C,0,0)</f>
        <v>28900</v>
      </c>
      <c r="K161">
        <f t="shared" si="412"/>
        <v>4046.0000000000005</v>
      </c>
      <c r="L161">
        <f t="shared" si="413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389"/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496"/>
        <v>150</v>
      </c>
      <c r="S161">
        <f t="shared" si="405"/>
        <v>36764</v>
      </c>
      <c r="T161">
        <f>_xlfn.XLOOKUP(B161,'[2]april-2025'!$A:$A,'[2]april-2025'!$C:$C,0,0)</f>
        <v>28900</v>
      </c>
      <c r="U161">
        <f t="shared" si="414"/>
        <v>5202</v>
      </c>
      <c r="V161">
        <f t="shared" si="415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406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416"/>
        <v>150</v>
      </c>
      <c r="AC161">
        <f t="shared" si="417"/>
        <v>37920</v>
      </c>
      <c r="AD161">
        <f>_xlfn.XLOOKUP(B161,'[3]may-2025'!$A:$A,'[3]may-2025'!$C:$C,0,0)</f>
        <v>28900</v>
      </c>
      <c r="AE161">
        <f t="shared" si="418"/>
        <v>5202</v>
      </c>
      <c r="AF161">
        <f t="shared" si="419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407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420"/>
        <v>150</v>
      </c>
      <c r="AM161">
        <f t="shared" si="421"/>
        <v>37920</v>
      </c>
      <c r="AN161">
        <f>_xlfn.XLOOKUP(B161,'[4]june-2025'!$A:$A,'[4]june-2025'!$C:$C,0,0)</f>
        <v>28900</v>
      </c>
      <c r="AO161">
        <f t="shared" si="422"/>
        <v>5202</v>
      </c>
      <c r="AP161">
        <f t="shared" si="423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408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424"/>
        <v>150</v>
      </c>
      <c r="AW161">
        <f t="shared" si="425"/>
        <v>37920</v>
      </c>
      <c r="AX161">
        <f>_xlfn.XLOOKUP(B161,'[5]july-2025'!$A:$A,'[5]july-2025'!$C:$C,0,0)</f>
        <v>29800</v>
      </c>
      <c r="AY161">
        <f t="shared" si="426"/>
        <v>5364</v>
      </c>
      <c r="AZ161">
        <v>0</v>
      </c>
      <c r="BA161">
        <f t="shared" si="427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390"/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428"/>
        <v>150</v>
      </c>
      <c r="BH161">
        <f t="shared" si="429"/>
        <v>39090</v>
      </c>
      <c r="BI161">
        <f>_xlfn.XLOOKUP(B161,'[6]august-2025'!$A:$A,'[6]august-2025'!$C:$C,0,0)</f>
        <v>29800</v>
      </c>
      <c r="BJ161">
        <f t="shared" si="430"/>
        <v>5364</v>
      </c>
      <c r="BK161">
        <f t="shared" si="431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432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 t="shared" si="391"/>
        <v>150</v>
      </c>
      <c r="BR161">
        <f t="shared" si="392"/>
        <v>39090</v>
      </c>
      <c r="BS161">
        <f>_xlfn.XLOOKUP(B161,'[7]september-2025'!$A:$A,'[7]september-2025'!$C:$C,0,0)</f>
        <v>29800</v>
      </c>
      <c r="BT161">
        <f t="shared" si="433"/>
        <v>5364</v>
      </c>
      <c r="BU161">
        <f t="shared" si="434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393"/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435"/>
        <v>150</v>
      </c>
      <c r="CB161">
        <f t="shared" si="436"/>
        <v>37090</v>
      </c>
      <c r="CC161">
        <f>_xlfn.XLOOKUP(B161,'[8]october-2025'!$A:$A,'[8]october-2025'!$C:$C,0,0)</f>
        <v>29800</v>
      </c>
      <c r="CD161">
        <f t="shared" si="437"/>
        <v>5364</v>
      </c>
      <c r="CE161">
        <f t="shared" si="438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394"/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439"/>
        <v>150</v>
      </c>
      <c r="CL161">
        <f t="shared" si="440"/>
        <v>37090</v>
      </c>
      <c r="CM161">
        <f>_xlfn.XLOOKUP(B161,'[9]november-2025'!$A:$A,'[9]november-2025'!$C:$C,0,0)</f>
        <v>29800</v>
      </c>
      <c r="CN161">
        <f t="shared" si="441"/>
        <v>5364</v>
      </c>
      <c r="CO161">
        <f t="shared" si="442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395"/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443"/>
        <v>150</v>
      </c>
      <c r="CV161">
        <f t="shared" si="444"/>
        <v>37090</v>
      </c>
      <c r="CW161">
        <f>_xlfn.XLOOKUP(B161,'[10]december-2025'!$A:$A,'[10]december-2025'!$C:$C,0,0)</f>
        <v>29800</v>
      </c>
      <c r="CX161">
        <f t="shared" si="445"/>
        <v>5364</v>
      </c>
      <c r="CY161">
        <f t="shared" si="446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396"/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447"/>
        <v>150</v>
      </c>
      <c r="DF161">
        <f t="shared" si="448"/>
        <v>37090</v>
      </c>
      <c r="DG161">
        <f>_xlfn.XLOOKUP(B161,'[11]january-2026'!$A:$A,'[11]january-2026'!$C:$C,0,0)</f>
        <v>29800</v>
      </c>
      <c r="DH161">
        <f t="shared" si="449"/>
        <v>5364</v>
      </c>
      <c r="DI161">
        <f t="shared" si="450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397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51"/>
        <v>150</v>
      </c>
      <c r="DP161">
        <f t="shared" si="452"/>
        <v>37090</v>
      </c>
      <c r="DQ161">
        <f>_xlfn.XLOOKUP(B161,'[12]february-2026'!$A:$A,'[12]february-2026'!$C:$C,0,0)</f>
        <v>29800</v>
      </c>
      <c r="DR161">
        <f t="shared" si="453"/>
        <v>5364</v>
      </c>
      <c r="DS161">
        <f t="shared" si="454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398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55"/>
        <v>150</v>
      </c>
      <c r="DZ161">
        <f t="shared" si="456"/>
        <v>37090</v>
      </c>
      <c r="EA161">
        <f>_xlfn.XLOOKUP(B161,'[1]march-2025'!$A:$A,'[1]march-2025'!$J:$J,0,0)</f>
        <v>0</v>
      </c>
      <c r="EB161">
        <f>_xlfn.XLOOKUP(B161,'[2]april-2025'!$A:$A,'[2]april-2025'!$J:$J,0,0)</f>
        <v>0</v>
      </c>
      <c r="EC161">
        <f>_xlfn.XLOOKUP(B161,'[3]may-2025'!$A:$A,'[3]may-2025'!$J:$J,0,0)</f>
        <v>71100</v>
      </c>
      <c r="ED161">
        <f>_xlfn.XLOOKUP(B161,'[4]june-2025'!$A:$A,'[4]june-2025'!$J:$J,0,0)</f>
        <v>0</v>
      </c>
      <c r="EE161">
        <f>_xlfn.XLOOKUP(B161,'[5]july-2025'!$A:$A,'[5]july-2025'!$J:$J,0,0)</f>
        <v>0</v>
      </c>
      <c r="EF161">
        <f>_xlfn.XLOOKUP(B161,'[6]august-2025'!$A:$A,'[6]august-2025'!$J:$J,0,0)</f>
        <v>0</v>
      </c>
      <c r="EG161">
        <f>_xlfn.XLOOKUP(B161,'[7]september-2025'!$A:$A,'[7]september-2025'!$J:$J,0,0)</f>
        <v>0</v>
      </c>
      <c r="EH161">
        <f>_xlfn.XLOOKUP(B161,'[8]october-2025'!$A:$A,'[8]october-2025'!$J:$J,0,0)</f>
        <v>0</v>
      </c>
      <c r="EI161">
        <f>_xlfn.XLOOKUP(C161,'[9]november-2025'!$A:$A,'[9]november-2025'!$J:$J,0,0)</f>
        <v>0</v>
      </c>
      <c r="EJ161">
        <f>_xlfn.XLOOKUP(B161,'[10]december-2025'!$A:$A,'[10]december-2025'!$J:$J,0,0)</f>
        <v>0</v>
      </c>
      <c r="EK161">
        <f>_xlfn.XLOOKUP(B161,'[11]january-2026'!$A:$A,'[11]january-2026'!$J:$J,0,0)</f>
        <v>0</v>
      </c>
      <c r="EL161">
        <f>_xlfn.XLOOKUP(B161,'[12]february-2026'!$A:$A,'[12]february-2026'!$J:$J,0,0)</f>
        <v>0</v>
      </c>
      <c r="EM161">
        <f t="shared" si="409"/>
        <v>71100</v>
      </c>
      <c r="EN161">
        <f t="shared" si="399"/>
        <v>471844</v>
      </c>
      <c r="EO161">
        <f t="shared" si="400"/>
        <v>1800</v>
      </c>
      <c r="EP161">
        <f t="shared" si="457"/>
        <v>50000</v>
      </c>
      <c r="EQ161">
        <v>0</v>
      </c>
      <c r="ER161">
        <f t="shared" si="410"/>
        <v>491144</v>
      </c>
      <c r="ES161">
        <f t="shared" si="401"/>
        <v>12000</v>
      </c>
      <c r="ET161">
        <f t="shared" si="402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458"/>
        <v>12000</v>
      </c>
      <c r="FF161">
        <f t="shared" si="459"/>
        <v>12000</v>
      </c>
      <c r="FG161">
        <f t="shared" si="460"/>
        <v>479144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403"/>
        <v>0</v>
      </c>
      <c r="FP161">
        <f t="shared" si="461"/>
        <v>479144</v>
      </c>
      <c r="FQ161">
        <f t="shared" si="462"/>
        <v>11457</v>
      </c>
      <c r="FR161">
        <f t="shared" si="463"/>
        <v>0</v>
      </c>
      <c r="FS161">
        <f t="shared" si="464"/>
        <v>11457</v>
      </c>
      <c r="FT161">
        <f t="shared" si="465"/>
        <v>0</v>
      </c>
      <c r="FU161">
        <f t="shared" si="466"/>
        <v>0</v>
      </c>
      <c r="FV161">
        <f t="shared" si="467"/>
        <v>0</v>
      </c>
      <c r="FW161">
        <v>0</v>
      </c>
      <c r="FX161">
        <f t="shared" si="468"/>
        <v>0</v>
      </c>
      <c r="FY161" t="b">
        <f t="shared" si="469"/>
        <v>0</v>
      </c>
      <c r="FZ161">
        <f t="shared" ca="1" si="470"/>
        <v>2055</v>
      </c>
      <c r="GA161">
        <f t="shared" ca="1" si="471"/>
        <v>473899</v>
      </c>
      <c r="GB161">
        <f t="shared" si="472"/>
        <v>75000</v>
      </c>
      <c r="GC161">
        <f t="shared" ca="1" si="473"/>
        <v>398899</v>
      </c>
      <c r="GD161">
        <f t="shared" ca="1" si="474"/>
        <v>0</v>
      </c>
      <c r="GE161">
        <f t="shared" ca="1" si="475"/>
        <v>0</v>
      </c>
      <c r="GF161">
        <f t="shared" ca="1" si="476"/>
        <v>0</v>
      </c>
      <c r="GG161">
        <f t="shared" ca="1" si="477"/>
        <v>0</v>
      </c>
      <c r="GH161">
        <f t="shared" ca="1" si="478"/>
        <v>0</v>
      </c>
      <c r="GI161">
        <f t="shared" ca="1" si="479"/>
        <v>0</v>
      </c>
      <c r="GJ161">
        <f t="shared" ca="1" si="404"/>
        <v>0</v>
      </c>
      <c r="GK161">
        <f t="shared" ca="1" si="480"/>
        <v>0</v>
      </c>
      <c r="GL161">
        <f t="shared" ca="1" si="481"/>
        <v>0</v>
      </c>
      <c r="GM161">
        <f t="shared" ca="1" si="482"/>
        <v>0</v>
      </c>
      <c r="GN161">
        <f t="shared" ca="1" si="483"/>
        <v>0</v>
      </c>
      <c r="GO161">
        <f t="shared" ca="1" si="484"/>
        <v>0</v>
      </c>
      <c r="GP161">
        <f t="shared" ca="1" si="485"/>
        <v>0</v>
      </c>
      <c r="GQ161">
        <f t="shared" ca="1" si="486"/>
        <v>0</v>
      </c>
      <c r="GR161">
        <f t="shared" ca="1" si="487"/>
        <v>0</v>
      </c>
      <c r="GS161">
        <f t="shared" ca="1" si="488"/>
        <v>0</v>
      </c>
      <c r="GT161">
        <f t="shared" ca="1" si="489"/>
        <v>0</v>
      </c>
      <c r="GU161" t="b">
        <f t="shared" ca="1" si="490"/>
        <v>0</v>
      </c>
      <c r="GV161">
        <f t="shared" ca="1" si="491"/>
        <v>0</v>
      </c>
      <c r="GW161">
        <f t="shared" ca="1" si="492"/>
        <v>0</v>
      </c>
      <c r="GX161">
        <f t="shared" ca="1" si="493"/>
        <v>0</v>
      </c>
      <c r="GY161">
        <f t="shared" ca="1" si="494"/>
        <v>0</v>
      </c>
      <c r="GZ161">
        <f t="shared" ca="1" si="495"/>
        <v>0</v>
      </c>
    </row>
    <row r="162" spans="1:208" x14ac:dyDescent="0.3">
      <c r="A162">
        <f>_xlfn.AGGREGATE(3,5,$B$2:B162)</f>
        <v>161</v>
      </c>
      <c r="B162" t="s">
        <v>429</v>
      </c>
      <c r="C162" t="s">
        <v>430</v>
      </c>
      <c r="D162" t="s">
        <v>793</v>
      </c>
      <c r="E162" t="s">
        <v>831</v>
      </c>
      <c r="F162" t="s">
        <v>956</v>
      </c>
      <c r="G162" t="s">
        <v>884</v>
      </c>
      <c r="H162">
        <f t="shared" si="497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412"/>
        <v>7238.0000000000009</v>
      </c>
      <c r="L162">
        <f t="shared" si="413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 t="shared" si="389"/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496"/>
        <v>200</v>
      </c>
      <c r="S162">
        <f t="shared" si="405"/>
        <v>59782</v>
      </c>
      <c r="T162">
        <f>_xlfn.XLOOKUP(B162,'[2]april-2025'!$A:$A,'[2]april-2025'!$C:$C,0,0)</f>
        <v>51700</v>
      </c>
      <c r="U162">
        <f t="shared" si="414"/>
        <v>9306</v>
      </c>
      <c r="V162">
        <f t="shared" si="415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406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416"/>
        <v>200</v>
      </c>
      <c r="AC162">
        <f t="shared" si="417"/>
        <v>61850</v>
      </c>
      <c r="AD162">
        <f>_xlfn.XLOOKUP(B162,'[3]may-2025'!$A:$A,'[3]may-2025'!$C:$C,0,0)</f>
        <v>51700</v>
      </c>
      <c r="AE162">
        <f t="shared" si="418"/>
        <v>9306</v>
      </c>
      <c r="AF162">
        <f t="shared" si="419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407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420"/>
        <v>200</v>
      </c>
      <c r="AM162">
        <f t="shared" si="421"/>
        <v>61850</v>
      </c>
      <c r="AN162">
        <f>_xlfn.XLOOKUP(B162,'[4]june-2025'!$A:$A,'[4]june-2025'!$C:$C,0,0)</f>
        <v>51700</v>
      </c>
      <c r="AO162">
        <f t="shared" si="422"/>
        <v>9306</v>
      </c>
      <c r="AP162">
        <f t="shared" si="423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408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424"/>
        <v>200</v>
      </c>
      <c r="AW162">
        <f t="shared" si="425"/>
        <v>61850</v>
      </c>
      <c r="AX162">
        <f>_xlfn.XLOOKUP(B162,'[5]july-2025'!$A:$A,'[5]july-2025'!$C:$C,0,0)</f>
        <v>53300</v>
      </c>
      <c r="AY162">
        <f t="shared" si="426"/>
        <v>9594</v>
      </c>
      <c r="AZ162">
        <v>0</v>
      </c>
      <c r="BA162">
        <f t="shared" si="427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 t="shared" si="390"/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428"/>
        <v>200</v>
      </c>
      <c r="BH162">
        <f t="shared" si="429"/>
        <v>63930</v>
      </c>
      <c r="BI162">
        <f>_xlfn.XLOOKUP(B162,'[6]august-2025'!$A:$A,'[6]august-2025'!$C:$C,0,0)</f>
        <v>53300</v>
      </c>
      <c r="BJ162">
        <f t="shared" si="430"/>
        <v>9594</v>
      </c>
      <c r="BK162">
        <f t="shared" si="431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432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 t="shared" si="391"/>
        <v>200</v>
      </c>
      <c r="BR162">
        <f t="shared" si="392"/>
        <v>63930</v>
      </c>
      <c r="BS162">
        <f>_xlfn.XLOOKUP(B162,'[7]september-2025'!$A:$A,'[7]september-2025'!$C:$C,0,0)</f>
        <v>53300</v>
      </c>
      <c r="BT162">
        <f t="shared" si="433"/>
        <v>9594</v>
      </c>
      <c r="BU162">
        <f t="shared" si="434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 t="shared" si="393"/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435"/>
        <v>200</v>
      </c>
      <c r="CB162">
        <f t="shared" si="436"/>
        <v>63930</v>
      </c>
      <c r="CC162">
        <f>_xlfn.XLOOKUP(B162,'[8]october-2025'!$A:$A,'[8]october-2025'!$C:$C,0,0)</f>
        <v>53300</v>
      </c>
      <c r="CD162">
        <f t="shared" si="437"/>
        <v>9594</v>
      </c>
      <c r="CE162">
        <f t="shared" si="438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 t="shared" si="394"/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439"/>
        <v>200</v>
      </c>
      <c r="CL162">
        <f t="shared" si="440"/>
        <v>63930</v>
      </c>
      <c r="CM162">
        <f>_xlfn.XLOOKUP(B162,'[9]november-2025'!$A:$A,'[9]november-2025'!$C:$C,0,0)</f>
        <v>53300</v>
      </c>
      <c r="CN162">
        <f t="shared" si="441"/>
        <v>9594</v>
      </c>
      <c r="CO162">
        <f t="shared" si="442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 t="shared" si="395"/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443"/>
        <v>200</v>
      </c>
      <c r="CV162">
        <f t="shared" si="444"/>
        <v>63930</v>
      </c>
      <c r="CW162">
        <f>_xlfn.XLOOKUP(B162,'[10]december-2025'!$A:$A,'[10]december-2025'!$C:$C,0,0)</f>
        <v>53300</v>
      </c>
      <c r="CX162">
        <f t="shared" si="445"/>
        <v>9594</v>
      </c>
      <c r="CY162">
        <f t="shared" si="446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 t="shared" si="396"/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447"/>
        <v>200</v>
      </c>
      <c r="DF162">
        <f t="shared" si="448"/>
        <v>63930</v>
      </c>
      <c r="DG162">
        <f>_xlfn.XLOOKUP(B162,'[11]january-2026'!$A:$A,'[11]january-2026'!$C:$C,0,0)</f>
        <v>53300</v>
      </c>
      <c r="DH162">
        <f t="shared" si="449"/>
        <v>9594</v>
      </c>
      <c r="DI162">
        <f t="shared" si="450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397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51"/>
        <v>200</v>
      </c>
      <c r="DP162">
        <f t="shared" si="452"/>
        <v>63930</v>
      </c>
      <c r="DQ162">
        <f>_xlfn.XLOOKUP(B162,'[12]february-2026'!$A:$A,'[12]february-2026'!$C:$C,0,0)</f>
        <v>53300</v>
      </c>
      <c r="DR162">
        <f t="shared" si="453"/>
        <v>9594</v>
      </c>
      <c r="DS162">
        <f t="shared" si="454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398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55"/>
        <v>200</v>
      </c>
      <c r="DZ162">
        <f t="shared" si="456"/>
        <v>63930</v>
      </c>
      <c r="EA162">
        <f>_xlfn.XLOOKUP(B162,'[1]march-2025'!$A:$A,'[1]march-2025'!$J:$J,0,0)</f>
        <v>0</v>
      </c>
      <c r="EB162">
        <f>_xlfn.XLOOKUP(B162,'[2]april-2025'!$A:$A,'[2]april-2025'!$J:$J,0,0)</f>
        <v>0</v>
      </c>
      <c r="EC162">
        <f>_xlfn.XLOOKUP(B162,'[3]may-2025'!$A:$A,'[3]may-2025'!$J:$J,0,0)</f>
        <v>0</v>
      </c>
      <c r="ED162">
        <f>_xlfn.XLOOKUP(B162,'[4]june-2025'!$A:$A,'[4]june-2025'!$J:$J,0,0)</f>
        <v>0</v>
      </c>
      <c r="EE162">
        <f>_xlfn.XLOOKUP(B162,'[5]july-2025'!$A:$A,'[5]july-2025'!$J:$J,0,0)</f>
        <v>0</v>
      </c>
      <c r="EF162">
        <f>_xlfn.XLOOKUP(B162,'[6]august-2025'!$A:$A,'[6]august-2025'!$J:$J,0,0)</f>
        <v>0</v>
      </c>
      <c r="EG162">
        <f>_xlfn.XLOOKUP(B162,'[7]september-2025'!$A:$A,'[7]september-2025'!$J:$J,0,0)</f>
        <v>0</v>
      </c>
      <c r="EH162">
        <f>_xlfn.XLOOKUP(B162,'[8]october-2025'!$A:$A,'[8]october-2025'!$J:$J,0,0)</f>
        <v>0</v>
      </c>
      <c r="EI162">
        <f>_xlfn.XLOOKUP(C162,'[9]november-2025'!$A:$A,'[9]november-2025'!$J:$J,0,0)</f>
        <v>0</v>
      </c>
      <c r="EJ162">
        <f>_xlfn.XLOOKUP(B162,'[10]december-2025'!$A:$A,'[10]december-2025'!$J:$J,0,0)</f>
        <v>0</v>
      </c>
      <c r="EK162">
        <f>_xlfn.XLOOKUP(B162,'[11]january-2026'!$A:$A,'[11]january-2026'!$J:$J,0,0)</f>
        <v>0</v>
      </c>
      <c r="EL162">
        <f>_xlfn.XLOOKUP(B162,'[12]february-2026'!$A:$A,'[12]february-2026'!$J:$J,0,0)</f>
        <v>0</v>
      </c>
      <c r="EM162">
        <f t="shared" si="409"/>
        <v>0</v>
      </c>
      <c r="EN162">
        <f t="shared" si="399"/>
        <v>838692</v>
      </c>
      <c r="EO162">
        <f t="shared" si="400"/>
        <v>2400</v>
      </c>
      <c r="EP162">
        <f t="shared" si="457"/>
        <v>50000</v>
      </c>
      <c r="EQ162">
        <v>0</v>
      </c>
      <c r="ER162">
        <f t="shared" si="410"/>
        <v>786292</v>
      </c>
      <c r="ES162">
        <f t="shared" si="401"/>
        <v>72000</v>
      </c>
      <c r="ET162">
        <f t="shared" si="402"/>
        <v>720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458"/>
        <v>72720</v>
      </c>
      <c r="FF162">
        <f t="shared" si="459"/>
        <v>72720</v>
      </c>
      <c r="FG162">
        <f t="shared" si="460"/>
        <v>713572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403"/>
        <v>0</v>
      </c>
      <c r="FP162">
        <f t="shared" si="461"/>
        <v>713572</v>
      </c>
      <c r="FQ162">
        <f t="shared" si="462"/>
        <v>12500</v>
      </c>
      <c r="FR162">
        <f t="shared" si="463"/>
        <v>42714</v>
      </c>
      <c r="FS162">
        <f t="shared" si="464"/>
        <v>55214</v>
      </c>
      <c r="FT162">
        <f t="shared" si="465"/>
        <v>55214</v>
      </c>
      <c r="FU162">
        <f t="shared" si="466"/>
        <v>2208.56</v>
      </c>
      <c r="FV162">
        <f t="shared" si="467"/>
        <v>57423</v>
      </c>
      <c r="FW162">
        <v>0</v>
      </c>
      <c r="FX162">
        <f t="shared" si="468"/>
        <v>57423</v>
      </c>
      <c r="FY162" t="b">
        <f t="shared" si="469"/>
        <v>1</v>
      </c>
      <c r="FZ162">
        <f t="shared" ca="1" si="470"/>
        <v>708</v>
      </c>
      <c r="GA162">
        <f t="shared" ca="1" si="471"/>
        <v>839400</v>
      </c>
      <c r="GB162">
        <f t="shared" si="472"/>
        <v>75000</v>
      </c>
      <c r="GC162">
        <f t="shared" ca="1" si="473"/>
        <v>764400</v>
      </c>
      <c r="GD162">
        <f t="shared" ca="1" si="474"/>
        <v>0</v>
      </c>
      <c r="GE162">
        <f t="shared" ca="1" si="475"/>
        <v>0</v>
      </c>
      <c r="GF162">
        <f t="shared" ca="1" si="476"/>
        <v>0</v>
      </c>
      <c r="GG162">
        <f t="shared" ca="1" si="477"/>
        <v>0</v>
      </c>
      <c r="GH162">
        <f t="shared" ca="1" si="478"/>
        <v>0</v>
      </c>
      <c r="GI162">
        <f t="shared" ca="1" si="479"/>
        <v>0</v>
      </c>
      <c r="GJ162">
        <f t="shared" ca="1" si="404"/>
        <v>0</v>
      </c>
      <c r="GK162">
        <f t="shared" ca="1" si="480"/>
        <v>0</v>
      </c>
      <c r="GL162">
        <f t="shared" ca="1" si="481"/>
        <v>0</v>
      </c>
      <c r="GM162">
        <f t="shared" ca="1" si="482"/>
        <v>0</v>
      </c>
      <c r="GN162">
        <f t="shared" ca="1" si="483"/>
        <v>364400</v>
      </c>
      <c r="GO162">
        <f t="shared" ca="1" si="484"/>
        <v>18220</v>
      </c>
      <c r="GP162">
        <f t="shared" ca="1" si="485"/>
        <v>18220</v>
      </c>
      <c r="GQ162">
        <f t="shared" ca="1" si="486"/>
        <v>0</v>
      </c>
      <c r="GR162">
        <f t="shared" ca="1" si="487"/>
        <v>0</v>
      </c>
      <c r="GS162">
        <f t="shared" ca="1" si="488"/>
        <v>18220</v>
      </c>
      <c r="GT162">
        <f t="shared" ca="1" si="489"/>
        <v>0</v>
      </c>
      <c r="GU162" t="b">
        <f t="shared" ca="1" si="490"/>
        <v>0</v>
      </c>
      <c r="GV162">
        <f t="shared" ca="1" si="491"/>
        <v>0</v>
      </c>
      <c r="GW162">
        <f t="shared" ca="1" si="492"/>
        <v>18220</v>
      </c>
      <c r="GX162">
        <f t="shared" ca="1" si="493"/>
        <v>0</v>
      </c>
      <c r="GY162">
        <f t="shared" ca="1" si="494"/>
        <v>0</v>
      </c>
      <c r="GZ162">
        <f t="shared" ca="1" si="495"/>
        <v>0</v>
      </c>
    </row>
    <row r="163" spans="1:208" x14ac:dyDescent="0.3">
      <c r="A163">
        <f>_xlfn.AGGREGATE(3,5,$B$2:B163)</f>
        <v>162</v>
      </c>
      <c r="B163" t="s">
        <v>431</v>
      </c>
      <c r="C163" t="s">
        <v>432</v>
      </c>
      <c r="D163" t="s">
        <v>793</v>
      </c>
      <c r="E163" t="s">
        <v>830</v>
      </c>
      <c r="F163" t="s">
        <v>956</v>
      </c>
      <c r="G163" t="s">
        <v>877</v>
      </c>
      <c r="H163">
        <f t="shared" si="497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412"/>
        <v>4830.0000000000009</v>
      </c>
      <c r="L163">
        <f t="shared" si="413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389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496"/>
        <v>200</v>
      </c>
      <c r="S163">
        <f t="shared" si="405"/>
        <v>39770</v>
      </c>
      <c r="T163">
        <f>_xlfn.XLOOKUP(B163,'[2]april-2025'!$A:$A,'[2]april-2025'!$C:$C,0,0)</f>
        <v>34500</v>
      </c>
      <c r="U163">
        <f t="shared" si="414"/>
        <v>6210</v>
      </c>
      <c r="V163">
        <f t="shared" si="415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406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416"/>
        <v>200</v>
      </c>
      <c r="AC163">
        <f t="shared" si="417"/>
        <v>41150</v>
      </c>
      <c r="AD163">
        <f>_xlfn.XLOOKUP(B163,'[3]may-2025'!$A:$A,'[3]may-2025'!$C:$C,0,0)</f>
        <v>34500</v>
      </c>
      <c r="AE163">
        <f t="shared" si="418"/>
        <v>6210</v>
      </c>
      <c r="AF163">
        <f t="shared" si="419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407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420"/>
        <v>200</v>
      </c>
      <c r="AM163">
        <f t="shared" si="421"/>
        <v>41150</v>
      </c>
      <c r="AN163">
        <f>_xlfn.XLOOKUP(B163,'[4]june-2025'!$A:$A,'[4]june-2025'!$C:$C,0,0)</f>
        <v>34500</v>
      </c>
      <c r="AO163">
        <f t="shared" si="422"/>
        <v>6210</v>
      </c>
      <c r="AP163">
        <f t="shared" si="423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408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424"/>
        <v>200</v>
      </c>
      <c r="AW163">
        <f t="shared" si="425"/>
        <v>41150</v>
      </c>
      <c r="AX163">
        <f>_xlfn.XLOOKUP(B163,'[5]july-2025'!$A:$A,'[5]july-2025'!$C:$C,0,0)</f>
        <v>35500</v>
      </c>
      <c r="AY163">
        <f t="shared" si="426"/>
        <v>6390</v>
      </c>
      <c r="AZ163">
        <v>0</v>
      </c>
      <c r="BA163">
        <f t="shared" si="427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390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428"/>
        <v>200</v>
      </c>
      <c r="BH163">
        <f t="shared" si="429"/>
        <v>42450</v>
      </c>
      <c r="BI163">
        <f>_xlfn.XLOOKUP(B163,'[6]august-2025'!$A:$A,'[6]august-2025'!$C:$C,0,0)</f>
        <v>35500</v>
      </c>
      <c r="BJ163">
        <f t="shared" si="430"/>
        <v>6390</v>
      </c>
      <c r="BK163">
        <f t="shared" si="431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432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391"/>
        <v>200</v>
      </c>
      <c r="BR163">
        <f t="shared" si="392"/>
        <v>42450</v>
      </c>
      <c r="BS163">
        <f>_xlfn.XLOOKUP(B163,'[7]september-2025'!$A:$A,'[7]september-2025'!$C:$C,0,0)</f>
        <v>35500</v>
      </c>
      <c r="BT163">
        <f t="shared" si="433"/>
        <v>6390</v>
      </c>
      <c r="BU163">
        <f t="shared" si="434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393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435"/>
        <v>200</v>
      </c>
      <c r="CB163">
        <f t="shared" si="436"/>
        <v>42450</v>
      </c>
      <c r="CC163">
        <f>_xlfn.XLOOKUP(B163,'[8]october-2025'!$A:$A,'[8]october-2025'!$C:$C,0,0)</f>
        <v>35500</v>
      </c>
      <c r="CD163">
        <f t="shared" si="437"/>
        <v>6390</v>
      </c>
      <c r="CE163">
        <f t="shared" si="438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394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439"/>
        <v>200</v>
      </c>
      <c r="CL163">
        <f t="shared" si="440"/>
        <v>42450</v>
      </c>
      <c r="CM163">
        <f>_xlfn.XLOOKUP(B163,'[9]november-2025'!$A:$A,'[9]november-2025'!$C:$C,0,0)</f>
        <v>35500</v>
      </c>
      <c r="CN163">
        <f t="shared" si="441"/>
        <v>6390</v>
      </c>
      <c r="CO163">
        <f t="shared" si="442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395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443"/>
        <v>200</v>
      </c>
      <c r="CV163">
        <f t="shared" si="444"/>
        <v>42450</v>
      </c>
      <c r="CW163">
        <f>_xlfn.XLOOKUP(B163,'[10]december-2025'!$A:$A,'[10]december-2025'!$C:$C,0,0)</f>
        <v>35500</v>
      </c>
      <c r="CX163">
        <f t="shared" si="445"/>
        <v>6390</v>
      </c>
      <c r="CY163">
        <f t="shared" si="446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396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447"/>
        <v>200</v>
      </c>
      <c r="DF163">
        <f t="shared" si="448"/>
        <v>42450</v>
      </c>
      <c r="DG163">
        <f>_xlfn.XLOOKUP(B163,'[11]january-2026'!$A:$A,'[11]january-2026'!$C:$C,0,0)</f>
        <v>35500</v>
      </c>
      <c r="DH163">
        <f t="shared" si="449"/>
        <v>6390</v>
      </c>
      <c r="DI163">
        <f t="shared" si="450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397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51"/>
        <v>200</v>
      </c>
      <c r="DP163">
        <f t="shared" si="452"/>
        <v>42450</v>
      </c>
      <c r="DQ163">
        <f>_xlfn.XLOOKUP(B163,'[12]february-2026'!$A:$A,'[12]february-2026'!$C:$C,0,0)</f>
        <v>35500</v>
      </c>
      <c r="DR163">
        <f t="shared" si="453"/>
        <v>6390</v>
      </c>
      <c r="DS163">
        <f t="shared" si="454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398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55"/>
        <v>200</v>
      </c>
      <c r="DZ163">
        <f t="shared" si="456"/>
        <v>42450</v>
      </c>
      <c r="EA163">
        <f>_xlfn.XLOOKUP(B163,'[1]march-2025'!$A:$A,'[1]march-2025'!$J:$J,0,0)</f>
        <v>0</v>
      </c>
      <c r="EB163">
        <f>_xlfn.XLOOKUP(B163,'[2]april-2025'!$A:$A,'[2]april-2025'!$J:$J,0,0)</f>
        <v>0</v>
      </c>
      <c r="EC163">
        <f>_xlfn.XLOOKUP(B163,'[3]may-2025'!$A:$A,'[3]may-2025'!$J:$J,0,0)</f>
        <v>0</v>
      </c>
      <c r="ED163">
        <f>_xlfn.XLOOKUP(B163,'[4]june-2025'!$A:$A,'[4]june-2025'!$J:$J,0,0)</f>
        <v>0</v>
      </c>
      <c r="EE163">
        <f>_xlfn.XLOOKUP(B163,'[5]july-2025'!$A:$A,'[5]july-2025'!$J:$J,0,0)</f>
        <v>0</v>
      </c>
      <c r="EF163">
        <f>_xlfn.XLOOKUP(B163,'[6]august-2025'!$A:$A,'[6]august-2025'!$J:$J,0,0)</f>
        <v>0</v>
      </c>
      <c r="EG163">
        <f>_xlfn.XLOOKUP(B163,'[7]september-2025'!$A:$A,'[7]september-2025'!$J:$J,0,0)</f>
        <v>0</v>
      </c>
      <c r="EH163">
        <f>_xlfn.XLOOKUP(B163,'[8]october-2025'!$A:$A,'[8]october-2025'!$J:$J,0,0)</f>
        <v>0</v>
      </c>
      <c r="EI163">
        <f>_xlfn.XLOOKUP(C163,'[9]november-2025'!$A:$A,'[9]november-2025'!$J:$J,0,0)</f>
        <v>0</v>
      </c>
      <c r="EJ163">
        <f>_xlfn.XLOOKUP(B163,'[10]december-2025'!$A:$A,'[10]december-2025'!$J:$J,0,0)</f>
        <v>0</v>
      </c>
      <c r="EK163">
        <f>_xlfn.XLOOKUP(B163,'[11]january-2026'!$A:$A,'[11]january-2026'!$J:$J,0,0)</f>
        <v>0</v>
      </c>
      <c r="EL163">
        <f>_xlfn.XLOOKUP(B163,'[12]february-2026'!$A:$A,'[12]february-2026'!$J:$J,0,0)</f>
        <v>0</v>
      </c>
      <c r="EM163">
        <f t="shared" si="409"/>
        <v>0</v>
      </c>
      <c r="EN163">
        <f t="shared" si="399"/>
        <v>560020</v>
      </c>
      <c r="EO163">
        <f t="shared" si="400"/>
        <v>2400</v>
      </c>
      <c r="EP163">
        <f t="shared" si="457"/>
        <v>50000</v>
      </c>
      <c r="EQ163">
        <v>0</v>
      </c>
      <c r="ER163">
        <f t="shared" si="410"/>
        <v>507620</v>
      </c>
      <c r="ES163">
        <f t="shared" si="401"/>
        <v>48000</v>
      </c>
      <c r="ET163">
        <f t="shared" si="402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458"/>
        <v>48000</v>
      </c>
      <c r="FF163">
        <f t="shared" si="459"/>
        <v>48000</v>
      </c>
      <c r="FG163">
        <f t="shared" si="460"/>
        <v>459620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403"/>
        <v>0</v>
      </c>
      <c r="FP163">
        <f t="shared" si="461"/>
        <v>459620</v>
      </c>
      <c r="FQ163">
        <f t="shared" si="462"/>
        <v>10481</v>
      </c>
      <c r="FR163">
        <f t="shared" si="463"/>
        <v>0</v>
      </c>
      <c r="FS163">
        <f t="shared" si="464"/>
        <v>10481</v>
      </c>
      <c r="FT163">
        <f t="shared" si="465"/>
        <v>0</v>
      </c>
      <c r="FU163">
        <f t="shared" si="466"/>
        <v>0</v>
      </c>
      <c r="FV163">
        <f t="shared" si="467"/>
        <v>0</v>
      </c>
      <c r="FW163">
        <v>0</v>
      </c>
      <c r="FX163">
        <f t="shared" si="468"/>
        <v>0</v>
      </c>
      <c r="FY163" t="b">
        <f t="shared" si="469"/>
        <v>1</v>
      </c>
      <c r="FZ163">
        <f t="shared" ca="1" si="470"/>
        <v>627</v>
      </c>
      <c r="GA163">
        <f t="shared" ca="1" si="471"/>
        <v>560647</v>
      </c>
      <c r="GB163">
        <f t="shared" si="472"/>
        <v>75000</v>
      </c>
      <c r="GC163">
        <f t="shared" ca="1" si="473"/>
        <v>485647</v>
      </c>
      <c r="GD163">
        <f t="shared" ca="1" si="474"/>
        <v>0</v>
      </c>
      <c r="GE163">
        <f t="shared" ca="1" si="475"/>
        <v>0</v>
      </c>
      <c r="GF163">
        <f t="shared" ca="1" si="476"/>
        <v>0</v>
      </c>
      <c r="GG163">
        <f t="shared" ca="1" si="477"/>
        <v>0</v>
      </c>
      <c r="GH163">
        <f t="shared" ca="1" si="478"/>
        <v>0</v>
      </c>
      <c r="GI163">
        <f t="shared" ca="1" si="479"/>
        <v>0</v>
      </c>
      <c r="GJ163">
        <f t="shared" ca="1" si="404"/>
        <v>0</v>
      </c>
      <c r="GK163">
        <f t="shared" ca="1" si="480"/>
        <v>0</v>
      </c>
      <c r="GL163">
        <f t="shared" ca="1" si="481"/>
        <v>0</v>
      </c>
      <c r="GM163">
        <f t="shared" ca="1" si="482"/>
        <v>0</v>
      </c>
      <c r="GN163">
        <f t="shared" ca="1" si="483"/>
        <v>85647</v>
      </c>
      <c r="GO163">
        <f t="shared" ca="1" si="484"/>
        <v>4282.3500000000004</v>
      </c>
      <c r="GP163">
        <f t="shared" ca="1" si="485"/>
        <v>4282</v>
      </c>
      <c r="GQ163">
        <f t="shared" ca="1" si="486"/>
        <v>0</v>
      </c>
      <c r="GR163">
        <f t="shared" ca="1" si="487"/>
        <v>0</v>
      </c>
      <c r="GS163">
        <f t="shared" ca="1" si="488"/>
        <v>4282</v>
      </c>
      <c r="GT163">
        <f t="shared" ca="1" si="489"/>
        <v>0</v>
      </c>
      <c r="GU163" t="b">
        <f t="shared" ca="1" si="490"/>
        <v>0</v>
      </c>
      <c r="GV163">
        <f t="shared" ca="1" si="491"/>
        <v>0</v>
      </c>
      <c r="GW163">
        <f t="shared" ca="1" si="492"/>
        <v>4282</v>
      </c>
      <c r="GX163">
        <f t="shared" ca="1" si="493"/>
        <v>0</v>
      </c>
      <c r="GY163">
        <f t="shared" ca="1" si="494"/>
        <v>0</v>
      </c>
      <c r="GZ163">
        <f t="shared" ca="1" si="495"/>
        <v>0</v>
      </c>
    </row>
    <row r="164" spans="1:208" x14ac:dyDescent="0.3">
      <c r="A164">
        <f>_xlfn.AGGREGATE(3,5,$B$2:B164)</f>
        <v>163</v>
      </c>
      <c r="B164" t="s">
        <v>433</v>
      </c>
      <c r="C164" t="s">
        <v>434</v>
      </c>
      <c r="D164" t="s">
        <v>793</v>
      </c>
      <c r="E164" t="s">
        <v>830</v>
      </c>
      <c r="F164" t="s">
        <v>956</v>
      </c>
      <c r="G164" t="s">
        <v>877</v>
      </c>
      <c r="H164">
        <f t="shared" si="497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412"/>
        <v>4830.0000000000009</v>
      </c>
      <c r="L164">
        <f t="shared" si="413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389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496"/>
        <v>200</v>
      </c>
      <c r="S164">
        <f t="shared" si="405"/>
        <v>39770</v>
      </c>
      <c r="T164">
        <f>_xlfn.XLOOKUP(B164,'[2]april-2025'!$A:$A,'[2]april-2025'!$C:$C,0,0)</f>
        <v>34500</v>
      </c>
      <c r="U164">
        <f t="shared" si="414"/>
        <v>6210</v>
      </c>
      <c r="V164">
        <f t="shared" si="415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406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416"/>
        <v>200</v>
      </c>
      <c r="AC164">
        <f t="shared" si="417"/>
        <v>41150</v>
      </c>
      <c r="AD164">
        <f>_xlfn.XLOOKUP(B164,'[3]may-2025'!$A:$A,'[3]may-2025'!$C:$C,0,0)</f>
        <v>34500</v>
      </c>
      <c r="AE164">
        <f t="shared" si="418"/>
        <v>6210</v>
      </c>
      <c r="AF164">
        <f t="shared" si="419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407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420"/>
        <v>200</v>
      </c>
      <c r="AM164">
        <f t="shared" si="421"/>
        <v>41150</v>
      </c>
      <c r="AN164">
        <f>_xlfn.XLOOKUP(B164,'[4]june-2025'!$A:$A,'[4]june-2025'!$C:$C,0,0)</f>
        <v>34500</v>
      </c>
      <c r="AO164">
        <f t="shared" si="422"/>
        <v>6210</v>
      </c>
      <c r="AP164">
        <f t="shared" si="423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408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424"/>
        <v>200</v>
      </c>
      <c r="AW164">
        <f t="shared" si="425"/>
        <v>41150</v>
      </c>
      <c r="AX164">
        <f>_xlfn.XLOOKUP(B164,'[5]july-2025'!$A:$A,'[5]july-2025'!$C:$C,0,0)</f>
        <v>35500</v>
      </c>
      <c r="AY164">
        <f t="shared" si="426"/>
        <v>6390</v>
      </c>
      <c r="AZ164">
        <v>0</v>
      </c>
      <c r="BA164">
        <f t="shared" si="427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390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428"/>
        <v>200</v>
      </c>
      <c r="BH164">
        <f t="shared" si="429"/>
        <v>42450</v>
      </c>
      <c r="BI164">
        <f>_xlfn.XLOOKUP(B164,'[6]august-2025'!$A:$A,'[6]august-2025'!$C:$C,0,0)</f>
        <v>35500</v>
      </c>
      <c r="BJ164">
        <f t="shared" si="430"/>
        <v>6390</v>
      </c>
      <c r="BK164">
        <f t="shared" si="431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432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391"/>
        <v>200</v>
      </c>
      <c r="BR164">
        <f t="shared" si="392"/>
        <v>42450</v>
      </c>
      <c r="BS164">
        <f>_xlfn.XLOOKUP(B164,'[7]september-2025'!$A:$A,'[7]september-2025'!$C:$C,0,0)</f>
        <v>35500</v>
      </c>
      <c r="BT164">
        <f t="shared" si="433"/>
        <v>6390</v>
      </c>
      <c r="BU164">
        <f t="shared" si="434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393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435"/>
        <v>200</v>
      </c>
      <c r="CB164">
        <f t="shared" si="436"/>
        <v>42450</v>
      </c>
      <c r="CC164">
        <f>_xlfn.XLOOKUP(B164,'[8]october-2025'!$A:$A,'[8]october-2025'!$C:$C,0,0)</f>
        <v>35500</v>
      </c>
      <c r="CD164">
        <f t="shared" si="437"/>
        <v>6390</v>
      </c>
      <c r="CE164">
        <f t="shared" si="438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394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439"/>
        <v>200</v>
      </c>
      <c r="CL164">
        <f t="shared" si="440"/>
        <v>42450</v>
      </c>
      <c r="CM164">
        <f>_xlfn.XLOOKUP(B164,'[9]november-2025'!$A:$A,'[9]november-2025'!$C:$C,0,0)</f>
        <v>35500</v>
      </c>
      <c r="CN164">
        <f t="shared" si="441"/>
        <v>6390</v>
      </c>
      <c r="CO164">
        <f t="shared" si="442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395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443"/>
        <v>200</v>
      </c>
      <c r="CV164">
        <f t="shared" si="444"/>
        <v>42450</v>
      </c>
      <c r="CW164">
        <f>_xlfn.XLOOKUP(B164,'[10]december-2025'!$A:$A,'[10]december-2025'!$C:$C,0,0)</f>
        <v>35500</v>
      </c>
      <c r="CX164">
        <f t="shared" si="445"/>
        <v>6390</v>
      </c>
      <c r="CY164">
        <f t="shared" si="446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396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447"/>
        <v>200</v>
      </c>
      <c r="DF164">
        <f t="shared" si="448"/>
        <v>42450</v>
      </c>
      <c r="DG164">
        <f>_xlfn.XLOOKUP(B164,'[11]january-2026'!$A:$A,'[11]january-2026'!$C:$C,0,0)</f>
        <v>35500</v>
      </c>
      <c r="DH164">
        <f t="shared" si="449"/>
        <v>6390</v>
      </c>
      <c r="DI164">
        <f t="shared" si="450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397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51"/>
        <v>200</v>
      </c>
      <c r="DP164">
        <f t="shared" si="452"/>
        <v>42450</v>
      </c>
      <c r="DQ164">
        <f>_xlfn.XLOOKUP(B164,'[12]february-2026'!$A:$A,'[12]february-2026'!$C:$C,0,0)</f>
        <v>35500</v>
      </c>
      <c r="DR164">
        <f t="shared" si="453"/>
        <v>6390</v>
      </c>
      <c r="DS164">
        <f t="shared" si="454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398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55"/>
        <v>200</v>
      </c>
      <c r="DZ164">
        <f t="shared" si="456"/>
        <v>42450</v>
      </c>
      <c r="EA164">
        <f>_xlfn.XLOOKUP(B164,'[1]march-2025'!$A:$A,'[1]march-2025'!$J:$J,0,0)</f>
        <v>0</v>
      </c>
      <c r="EB164">
        <f>_xlfn.XLOOKUP(B164,'[2]april-2025'!$A:$A,'[2]april-2025'!$J:$J,0,0)</f>
        <v>0</v>
      </c>
      <c r="EC164">
        <f>_xlfn.XLOOKUP(B164,'[3]may-2025'!$A:$A,'[3]may-2025'!$J:$J,0,0)</f>
        <v>0</v>
      </c>
      <c r="ED164">
        <f>_xlfn.XLOOKUP(B164,'[4]june-2025'!$A:$A,'[4]june-2025'!$J:$J,0,0)</f>
        <v>0</v>
      </c>
      <c r="EE164">
        <f>_xlfn.XLOOKUP(B164,'[5]july-2025'!$A:$A,'[5]july-2025'!$J:$J,0,0)</f>
        <v>0</v>
      </c>
      <c r="EF164">
        <f>_xlfn.XLOOKUP(B164,'[6]august-2025'!$A:$A,'[6]august-2025'!$J:$J,0,0)</f>
        <v>0</v>
      </c>
      <c r="EG164">
        <f>_xlfn.XLOOKUP(B164,'[7]september-2025'!$A:$A,'[7]september-2025'!$J:$J,0,0)</f>
        <v>0</v>
      </c>
      <c r="EH164">
        <f>_xlfn.XLOOKUP(B164,'[8]october-2025'!$A:$A,'[8]october-2025'!$J:$J,0,0)</f>
        <v>0</v>
      </c>
      <c r="EI164">
        <f>_xlfn.XLOOKUP(C164,'[9]november-2025'!$A:$A,'[9]november-2025'!$J:$J,0,0)</f>
        <v>0</v>
      </c>
      <c r="EJ164">
        <f>_xlfn.XLOOKUP(B164,'[10]december-2025'!$A:$A,'[10]december-2025'!$J:$J,0,0)</f>
        <v>0</v>
      </c>
      <c r="EK164">
        <f>_xlfn.XLOOKUP(B164,'[11]january-2026'!$A:$A,'[11]january-2026'!$J:$J,0,0)</f>
        <v>0</v>
      </c>
      <c r="EL164">
        <f>_xlfn.XLOOKUP(B164,'[12]february-2026'!$A:$A,'[12]february-2026'!$J:$J,0,0)</f>
        <v>0</v>
      </c>
      <c r="EM164">
        <f t="shared" si="409"/>
        <v>0</v>
      </c>
      <c r="EN164">
        <f t="shared" si="399"/>
        <v>560020</v>
      </c>
      <c r="EO164">
        <f t="shared" si="400"/>
        <v>2400</v>
      </c>
      <c r="EP164">
        <f t="shared" si="457"/>
        <v>50000</v>
      </c>
      <c r="EQ164">
        <v>0</v>
      </c>
      <c r="ER164">
        <f t="shared" si="410"/>
        <v>507620</v>
      </c>
      <c r="ES164">
        <f t="shared" si="401"/>
        <v>48000</v>
      </c>
      <c r="ET164">
        <f t="shared" si="402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458"/>
        <v>48000</v>
      </c>
      <c r="FF164">
        <f t="shared" si="459"/>
        <v>48000</v>
      </c>
      <c r="FG164">
        <f t="shared" si="460"/>
        <v>459620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403"/>
        <v>0</v>
      </c>
      <c r="FP164">
        <f t="shared" si="461"/>
        <v>459620</v>
      </c>
      <c r="FQ164">
        <f t="shared" si="462"/>
        <v>10481</v>
      </c>
      <c r="FR164">
        <f t="shared" si="463"/>
        <v>0</v>
      </c>
      <c r="FS164">
        <f t="shared" si="464"/>
        <v>10481</v>
      </c>
      <c r="FT164">
        <f t="shared" si="465"/>
        <v>0</v>
      </c>
      <c r="FU164">
        <f t="shared" si="466"/>
        <v>0</v>
      </c>
      <c r="FV164">
        <f t="shared" si="467"/>
        <v>0</v>
      </c>
      <c r="FW164">
        <v>0</v>
      </c>
      <c r="FX164">
        <f t="shared" si="468"/>
        <v>0</v>
      </c>
      <c r="FY164" t="b">
        <f t="shared" si="469"/>
        <v>1</v>
      </c>
      <c r="FZ164">
        <f t="shared" ca="1" si="470"/>
        <v>575</v>
      </c>
      <c r="GA164">
        <f t="shared" ca="1" si="471"/>
        <v>560595</v>
      </c>
      <c r="GB164">
        <f t="shared" si="472"/>
        <v>75000</v>
      </c>
      <c r="GC164">
        <f t="shared" ca="1" si="473"/>
        <v>485595</v>
      </c>
      <c r="GD164">
        <f t="shared" ca="1" si="474"/>
        <v>0</v>
      </c>
      <c r="GE164">
        <f t="shared" ca="1" si="475"/>
        <v>0</v>
      </c>
      <c r="GF164">
        <f t="shared" ca="1" si="476"/>
        <v>0</v>
      </c>
      <c r="GG164">
        <f t="shared" ca="1" si="477"/>
        <v>0</v>
      </c>
      <c r="GH164">
        <f t="shared" ca="1" si="478"/>
        <v>0</v>
      </c>
      <c r="GI164">
        <f t="shared" ca="1" si="479"/>
        <v>0</v>
      </c>
      <c r="GJ164">
        <f t="shared" ca="1" si="404"/>
        <v>0</v>
      </c>
      <c r="GK164">
        <f t="shared" ca="1" si="480"/>
        <v>0</v>
      </c>
      <c r="GL164">
        <f t="shared" ca="1" si="481"/>
        <v>0</v>
      </c>
      <c r="GM164">
        <f t="shared" ca="1" si="482"/>
        <v>0</v>
      </c>
      <c r="GN164">
        <f t="shared" ca="1" si="483"/>
        <v>85595</v>
      </c>
      <c r="GO164">
        <f t="shared" ca="1" si="484"/>
        <v>4279.75</v>
      </c>
      <c r="GP164">
        <f t="shared" ca="1" si="485"/>
        <v>4280</v>
      </c>
      <c r="GQ164">
        <f t="shared" ca="1" si="486"/>
        <v>0</v>
      </c>
      <c r="GR164">
        <f t="shared" ca="1" si="487"/>
        <v>0</v>
      </c>
      <c r="GS164">
        <f t="shared" ca="1" si="488"/>
        <v>4280</v>
      </c>
      <c r="GT164">
        <f t="shared" ca="1" si="489"/>
        <v>0</v>
      </c>
      <c r="GU164" t="b">
        <f t="shared" ca="1" si="490"/>
        <v>0</v>
      </c>
      <c r="GV164">
        <f t="shared" ca="1" si="491"/>
        <v>0</v>
      </c>
      <c r="GW164">
        <f t="shared" ca="1" si="492"/>
        <v>4280</v>
      </c>
      <c r="GX164">
        <f t="shared" ca="1" si="493"/>
        <v>0</v>
      </c>
      <c r="GY164">
        <f t="shared" ca="1" si="494"/>
        <v>0</v>
      </c>
      <c r="GZ164">
        <f t="shared" ca="1" si="495"/>
        <v>0</v>
      </c>
    </row>
    <row r="165" spans="1:208" x14ac:dyDescent="0.3">
      <c r="A165">
        <f>_xlfn.AGGREGATE(3,5,$B$2:B165)</f>
        <v>164</v>
      </c>
      <c r="B165" t="s">
        <v>435</v>
      </c>
      <c r="C165" t="s">
        <v>436</v>
      </c>
      <c r="D165" t="s">
        <v>793</v>
      </c>
      <c r="E165" t="s">
        <v>830</v>
      </c>
      <c r="F165" t="s">
        <v>956</v>
      </c>
      <c r="G165" t="s">
        <v>877</v>
      </c>
      <c r="H165">
        <f t="shared" si="497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412"/>
        <v>4830.0000000000009</v>
      </c>
      <c r="L165">
        <f t="shared" si="413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389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496"/>
        <v>200</v>
      </c>
      <c r="S165">
        <f t="shared" si="405"/>
        <v>39770</v>
      </c>
      <c r="T165">
        <f>_xlfn.XLOOKUP(B165,'[2]april-2025'!$A:$A,'[2]april-2025'!$C:$C,0,0)</f>
        <v>34500</v>
      </c>
      <c r="U165">
        <f t="shared" si="414"/>
        <v>6210</v>
      </c>
      <c r="V165">
        <f t="shared" si="415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406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416"/>
        <v>200</v>
      </c>
      <c r="AC165">
        <f t="shared" si="417"/>
        <v>41150</v>
      </c>
      <c r="AD165">
        <f>_xlfn.XLOOKUP(B165,'[3]may-2025'!$A:$A,'[3]may-2025'!$C:$C,0,0)</f>
        <v>34500</v>
      </c>
      <c r="AE165">
        <f t="shared" si="418"/>
        <v>6210</v>
      </c>
      <c r="AF165">
        <f t="shared" si="419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407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420"/>
        <v>200</v>
      </c>
      <c r="AM165">
        <f t="shared" si="421"/>
        <v>41150</v>
      </c>
      <c r="AN165">
        <f>_xlfn.XLOOKUP(B165,'[4]june-2025'!$A:$A,'[4]june-2025'!$C:$C,0,0)</f>
        <v>34500</v>
      </c>
      <c r="AO165">
        <f t="shared" si="422"/>
        <v>6210</v>
      </c>
      <c r="AP165">
        <f t="shared" si="423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408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424"/>
        <v>200</v>
      </c>
      <c r="AW165">
        <f t="shared" si="425"/>
        <v>41150</v>
      </c>
      <c r="AX165">
        <f>_xlfn.XLOOKUP(B165,'[5]july-2025'!$A:$A,'[5]july-2025'!$C:$C,0,0)</f>
        <v>35500</v>
      </c>
      <c r="AY165">
        <f t="shared" si="426"/>
        <v>6390</v>
      </c>
      <c r="AZ165">
        <v>0</v>
      </c>
      <c r="BA165">
        <f t="shared" si="427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390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428"/>
        <v>200</v>
      </c>
      <c r="BH165">
        <f t="shared" si="429"/>
        <v>42450</v>
      </c>
      <c r="BI165">
        <f>_xlfn.XLOOKUP(B165,'[6]august-2025'!$A:$A,'[6]august-2025'!$C:$C,0,0)</f>
        <v>35500</v>
      </c>
      <c r="BJ165">
        <f t="shared" si="430"/>
        <v>6390</v>
      </c>
      <c r="BK165">
        <f t="shared" si="431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432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391"/>
        <v>200</v>
      </c>
      <c r="BR165">
        <f t="shared" si="392"/>
        <v>42450</v>
      </c>
      <c r="BS165">
        <f>_xlfn.XLOOKUP(B165,'[7]september-2025'!$A:$A,'[7]september-2025'!$C:$C,0,0)</f>
        <v>35500</v>
      </c>
      <c r="BT165">
        <f t="shared" si="433"/>
        <v>6390</v>
      </c>
      <c r="BU165">
        <f t="shared" si="434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393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435"/>
        <v>200</v>
      </c>
      <c r="CB165">
        <f t="shared" si="436"/>
        <v>42450</v>
      </c>
      <c r="CC165">
        <f>_xlfn.XLOOKUP(B165,'[8]october-2025'!$A:$A,'[8]october-2025'!$C:$C,0,0)</f>
        <v>35500</v>
      </c>
      <c r="CD165">
        <f t="shared" si="437"/>
        <v>6390</v>
      </c>
      <c r="CE165">
        <f t="shared" si="438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394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439"/>
        <v>200</v>
      </c>
      <c r="CL165">
        <f t="shared" si="440"/>
        <v>42450</v>
      </c>
      <c r="CM165">
        <f>_xlfn.XLOOKUP(B165,'[9]november-2025'!$A:$A,'[9]november-2025'!$C:$C,0,0)</f>
        <v>35500</v>
      </c>
      <c r="CN165">
        <f t="shared" si="441"/>
        <v>6390</v>
      </c>
      <c r="CO165">
        <f t="shared" si="442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395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443"/>
        <v>200</v>
      </c>
      <c r="CV165">
        <f t="shared" si="444"/>
        <v>42450</v>
      </c>
      <c r="CW165">
        <f>_xlfn.XLOOKUP(B165,'[10]december-2025'!$A:$A,'[10]december-2025'!$C:$C,0,0)</f>
        <v>35500</v>
      </c>
      <c r="CX165">
        <f t="shared" si="445"/>
        <v>6390</v>
      </c>
      <c r="CY165">
        <f t="shared" si="446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396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447"/>
        <v>200</v>
      </c>
      <c r="DF165">
        <f t="shared" si="448"/>
        <v>42450</v>
      </c>
      <c r="DG165">
        <f>_xlfn.XLOOKUP(B165,'[11]january-2026'!$A:$A,'[11]january-2026'!$C:$C,0,0)</f>
        <v>35500</v>
      </c>
      <c r="DH165">
        <f t="shared" si="449"/>
        <v>6390</v>
      </c>
      <c r="DI165">
        <f t="shared" si="450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397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51"/>
        <v>200</v>
      </c>
      <c r="DP165">
        <f t="shared" si="452"/>
        <v>42450</v>
      </c>
      <c r="DQ165">
        <f>_xlfn.XLOOKUP(B165,'[12]february-2026'!$A:$A,'[12]february-2026'!$C:$C,0,0)</f>
        <v>35500</v>
      </c>
      <c r="DR165">
        <f t="shared" si="453"/>
        <v>6390</v>
      </c>
      <c r="DS165">
        <f t="shared" si="454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398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55"/>
        <v>200</v>
      </c>
      <c r="DZ165">
        <f t="shared" si="456"/>
        <v>42450</v>
      </c>
      <c r="EA165">
        <f>_xlfn.XLOOKUP(B165,'[1]march-2025'!$A:$A,'[1]march-2025'!$J:$J,0,0)</f>
        <v>0</v>
      </c>
      <c r="EB165">
        <f>_xlfn.XLOOKUP(B165,'[2]april-2025'!$A:$A,'[2]april-2025'!$J:$J,0,0)</f>
        <v>0</v>
      </c>
      <c r="EC165">
        <f>_xlfn.XLOOKUP(B165,'[3]may-2025'!$A:$A,'[3]may-2025'!$J:$J,0,0)</f>
        <v>0</v>
      </c>
      <c r="ED165">
        <f>_xlfn.XLOOKUP(B165,'[4]june-2025'!$A:$A,'[4]june-2025'!$J:$J,0,0)</f>
        <v>0</v>
      </c>
      <c r="EE165">
        <f>_xlfn.XLOOKUP(B165,'[5]july-2025'!$A:$A,'[5]july-2025'!$J:$J,0,0)</f>
        <v>0</v>
      </c>
      <c r="EF165">
        <f>_xlfn.XLOOKUP(B165,'[6]august-2025'!$A:$A,'[6]august-2025'!$J:$J,0,0)</f>
        <v>0</v>
      </c>
      <c r="EG165">
        <f>_xlfn.XLOOKUP(B165,'[7]september-2025'!$A:$A,'[7]september-2025'!$J:$J,0,0)</f>
        <v>0</v>
      </c>
      <c r="EH165">
        <f>_xlfn.XLOOKUP(B165,'[8]october-2025'!$A:$A,'[8]october-2025'!$J:$J,0,0)</f>
        <v>0</v>
      </c>
      <c r="EI165">
        <f>_xlfn.XLOOKUP(C165,'[9]november-2025'!$A:$A,'[9]november-2025'!$J:$J,0,0)</f>
        <v>0</v>
      </c>
      <c r="EJ165">
        <f>_xlfn.XLOOKUP(B165,'[10]december-2025'!$A:$A,'[10]december-2025'!$J:$J,0,0)</f>
        <v>0</v>
      </c>
      <c r="EK165">
        <f>_xlfn.XLOOKUP(B165,'[11]january-2026'!$A:$A,'[11]january-2026'!$J:$J,0,0)</f>
        <v>0</v>
      </c>
      <c r="EL165">
        <f>_xlfn.XLOOKUP(B165,'[12]february-2026'!$A:$A,'[12]february-2026'!$J:$J,0,0)</f>
        <v>0</v>
      </c>
      <c r="EM165">
        <f t="shared" si="409"/>
        <v>0</v>
      </c>
      <c r="EN165">
        <f t="shared" si="399"/>
        <v>560020</v>
      </c>
      <c r="EO165">
        <f t="shared" si="400"/>
        <v>2400</v>
      </c>
      <c r="EP165">
        <f t="shared" si="457"/>
        <v>50000</v>
      </c>
      <c r="EQ165">
        <v>0</v>
      </c>
      <c r="ER165">
        <f t="shared" si="410"/>
        <v>507620</v>
      </c>
      <c r="ES165">
        <f t="shared" si="401"/>
        <v>48000</v>
      </c>
      <c r="ET165">
        <f t="shared" si="402"/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458"/>
        <v>48000</v>
      </c>
      <c r="FF165">
        <f t="shared" si="459"/>
        <v>48000</v>
      </c>
      <c r="FG165">
        <f t="shared" si="460"/>
        <v>459620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403"/>
        <v>0</v>
      </c>
      <c r="FP165">
        <f t="shared" si="461"/>
        <v>459620</v>
      </c>
      <c r="FQ165">
        <f t="shared" si="462"/>
        <v>10481</v>
      </c>
      <c r="FR165">
        <f t="shared" si="463"/>
        <v>0</v>
      </c>
      <c r="FS165">
        <f t="shared" si="464"/>
        <v>10481</v>
      </c>
      <c r="FT165">
        <f t="shared" si="465"/>
        <v>0</v>
      </c>
      <c r="FU165">
        <f t="shared" si="466"/>
        <v>0</v>
      </c>
      <c r="FV165">
        <f t="shared" si="467"/>
        <v>0</v>
      </c>
      <c r="FW165">
        <v>0</v>
      </c>
      <c r="FX165">
        <f t="shared" si="468"/>
        <v>0</v>
      </c>
      <c r="FY165" t="b">
        <f t="shared" si="469"/>
        <v>1</v>
      </c>
      <c r="FZ165">
        <f t="shared" ca="1" si="470"/>
        <v>619</v>
      </c>
      <c r="GA165">
        <f t="shared" ca="1" si="471"/>
        <v>560639</v>
      </c>
      <c r="GB165">
        <f t="shared" si="472"/>
        <v>75000</v>
      </c>
      <c r="GC165">
        <f t="shared" ca="1" si="473"/>
        <v>485639</v>
      </c>
      <c r="GD165">
        <f t="shared" ca="1" si="474"/>
        <v>0</v>
      </c>
      <c r="GE165">
        <f t="shared" ca="1" si="475"/>
        <v>0</v>
      </c>
      <c r="GF165">
        <f t="shared" ca="1" si="476"/>
        <v>0</v>
      </c>
      <c r="GG165">
        <f t="shared" ca="1" si="477"/>
        <v>0</v>
      </c>
      <c r="GH165">
        <f t="shared" ca="1" si="478"/>
        <v>0</v>
      </c>
      <c r="GI165">
        <f t="shared" ca="1" si="479"/>
        <v>0</v>
      </c>
      <c r="GJ165">
        <f t="shared" ca="1" si="404"/>
        <v>0</v>
      </c>
      <c r="GK165">
        <f t="shared" ca="1" si="480"/>
        <v>0</v>
      </c>
      <c r="GL165">
        <f t="shared" ca="1" si="481"/>
        <v>0</v>
      </c>
      <c r="GM165">
        <f t="shared" ca="1" si="482"/>
        <v>0</v>
      </c>
      <c r="GN165">
        <f t="shared" ca="1" si="483"/>
        <v>85639</v>
      </c>
      <c r="GO165">
        <f t="shared" ca="1" si="484"/>
        <v>4281.95</v>
      </c>
      <c r="GP165">
        <f t="shared" ca="1" si="485"/>
        <v>4282</v>
      </c>
      <c r="GQ165">
        <f t="shared" ca="1" si="486"/>
        <v>0</v>
      </c>
      <c r="GR165">
        <f t="shared" ca="1" si="487"/>
        <v>0</v>
      </c>
      <c r="GS165">
        <f t="shared" ca="1" si="488"/>
        <v>4282</v>
      </c>
      <c r="GT165">
        <f t="shared" ca="1" si="489"/>
        <v>0</v>
      </c>
      <c r="GU165" t="b">
        <f t="shared" ca="1" si="490"/>
        <v>0</v>
      </c>
      <c r="GV165">
        <f t="shared" ca="1" si="491"/>
        <v>0</v>
      </c>
      <c r="GW165">
        <f t="shared" ca="1" si="492"/>
        <v>4282</v>
      </c>
      <c r="GX165">
        <f t="shared" ca="1" si="493"/>
        <v>0</v>
      </c>
      <c r="GY165">
        <f t="shared" ca="1" si="494"/>
        <v>0</v>
      </c>
      <c r="GZ165">
        <f t="shared" ca="1" si="495"/>
        <v>0</v>
      </c>
    </row>
    <row r="166" spans="1:208" x14ac:dyDescent="0.3">
      <c r="A166">
        <f>_xlfn.AGGREGATE(3,5,$B$2:B166)</f>
        <v>165</v>
      </c>
      <c r="B166" t="s">
        <v>437</v>
      </c>
      <c r="C166" t="s">
        <v>438</v>
      </c>
      <c r="D166" t="s">
        <v>793</v>
      </c>
      <c r="E166" t="s">
        <v>830</v>
      </c>
      <c r="F166" t="s">
        <v>956</v>
      </c>
      <c r="G166" t="s">
        <v>877</v>
      </c>
      <c r="H166">
        <f t="shared" si="497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412"/>
        <v>4830.0000000000009</v>
      </c>
      <c r="L166">
        <f t="shared" si="413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389"/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496"/>
        <v>200</v>
      </c>
      <c r="S166">
        <f t="shared" si="405"/>
        <v>39770</v>
      </c>
      <c r="T166">
        <f>_xlfn.XLOOKUP(B166,'[2]april-2025'!$A:$A,'[2]april-2025'!$C:$C,0,0)</f>
        <v>34500</v>
      </c>
      <c r="U166">
        <f t="shared" si="414"/>
        <v>6210</v>
      </c>
      <c r="V166">
        <f t="shared" si="415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406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416"/>
        <v>200</v>
      </c>
      <c r="AC166">
        <f t="shared" si="417"/>
        <v>41150</v>
      </c>
      <c r="AD166">
        <f>_xlfn.XLOOKUP(B166,'[3]may-2025'!$A:$A,'[3]may-2025'!$C:$C,0,0)</f>
        <v>34500</v>
      </c>
      <c r="AE166">
        <f t="shared" si="418"/>
        <v>6210</v>
      </c>
      <c r="AF166">
        <f t="shared" si="419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407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420"/>
        <v>200</v>
      </c>
      <c r="AM166">
        <f t="shared" si="421"/>
        <v>41150</v>
      </c>
      <c r="AN166">
        <f>_xlfn.XLOOKUP(B166,'[4]june-2025'!$A:$A,'[4]june-2025'!$C:$C,0,0)</f>
        <v>34500</v>
      </c>
      <c r="AO166">
        <f t="shared" si="422"/>
        <v>6210</v>
      </c>
      <c r="AP166">
        <f t="shared" si="423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408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424"/>
        <v>200</v>
      </c>
      <c r="AW166">
        <f t="shared" si="425"/>
        <v>41150</v>
      </c>
      <c r="AX166">
        <f>_xlfn.XLOOKUP(B166,'[5]july-2025'!$A:$A,'[5]july-2025'!$C:$C,0,0)</f>
        <v>35500</v>
      </c>
      <c r="AY166">
        <f t="shared" si="426"/>
        <v>6390</v>
      </c>
      <c r="AZ166">
        <v>0</v>
      </c>
      <c r="BA166">
        <f t="shared" si="427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390"/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428"/>
        <v>200</v>
      </c>
      <c r="BH166">
        <f t="shared" si="429"/>
        <v>42450</v>
      </c>
      <c r="BI166">
        <f>_xlfn.XLOOKUP(B166,'[6]august-2025'!$A:$A,'[6]august-2025'!$C:$C,0,0)</f>
        <v>35500</v>
      </c>
      <c r="BJ166">
        <f t="shared" si="430"/>
        <v>6390</v>
      </c>
      <c r="BK166">
        <f t="shared" si="431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432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 t="shared" si="391"/>
        <v>200</v>
      </c>
      <c r="BR166">
        <f t="shared" si="392"/>
        <v>42450</v>
      </c>
      <c r="BS166">
        <f>_xlfn.XLOOKUP(B166,'[7]september-2025'!$A:$A,'[7]september-2025'!$C:$C,0,0)</f>
        <v>35500</v>
      </c>
      <c r="BT166">
        <f t="shared" si="433"/>
        <v>6390</v>
      </c>
      <c r="BU166">
        <f t="shared" si="434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393"/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435"/>
        <v>200</v>
      </c>
      <c r="CB166">
        <f t="shared" si="436"/>
        <v>42450</v>
      </c>
      <c r="CC166">
        <f>_xlfn.XLOOKUP(B166,'[8]october-2025'!$A:$A,'[8]october-2025'!$C:$C,0,0)</f>
        <v>35500</v>
      </c>
      <c r="CD166">
        <f t="shared" si="437"/>
        <v>6390</v>
      </c>
      <c r="CE166">
        <f t="shared" si="438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394"/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439"/>
        <v>200</v>
      </c>
      <c r="CL166">
        <f t="shared" si="440"/>
        <v>42450</v>
      </c>
      <c r="CM166">
        <f>_xlfn.XLOOKUP(B166,'[9]november-2025'!$A:$A,'[9]november-2025'!$C:$C,0,0)</f>
        <v>35500</v>
      </c>
      <c r="CN166">
        <f t="shared" si="441"/>
        <v>6390</v>
      </c>
      <c r="CO166">
        <f t="shared" si="442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395"/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443"/>
        <v>200</v>
      </c>
      <c r="CV166">
        <f t="shared" si="444"/>
        <v>42450</v>
      </c>
      <c r="CW166">
        <f>_xlfn.XLOOKUP(B166,'[10]december-2025'!$A:$A,'[10]december-2025'!$C:$C,0,0)</f>
        <v>35500</v>
      </c>
      <c r="CX166">
        <f t="shared" si="445"/>
        <v>6390</v>
      </c>
      <c r="CY166">
        <f t="shared" si="446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396"/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447"/>
        <v>200</v>
      </c>
      <c r="DF166">
        <f t="shared" si="448"/>
        <v>42450</v>
      </c>
      <c r="DG166">
        <f>_xlfn.XLOOKUP(B166,'[11]january-2026'!$A:$A,'[11]january-2026'!$C:$C,0,0)</f>
        <v>35500</v>
      </c>
      <c r="DH166">
        <f t="shared" si="449"/>
        <v>6390</v>
      </c>
      <c r="DI166">
        <f t="shared" si="450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397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51"/>
        <v>200</v>
      </c>
      <c r="DP166">
        <f t="shared" si="452"/>
        <v>42450</v>
      </c>
      <c r="DQ166">
        <f>_xlfn.XLOOKUP(B166,'[12]february-2026'!$A:$A,'[12]february-2026'!$C:$C,0,0)</f>
        <v>35500</v>
      </c>
      <c r="DR166">
        <f t="shared" si="453"/>
        <v>6390</v>
      </c>
      <c r="DS166">
        <f t="shared" si="454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398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55"/>
        <v>200</v>
      </c>
      <c r="DZ166">
        <f t="shared" si="456"/>
        <v>42450</v>
      </c>
      <c r="EA166">
        <f>_xlfn.XLOOKUP(B166,'[1]march-2025'!$A:$A,'[1]march-2025'!$J:$J,0,0)</f>
        <v>0</v>
      </c>
      <c r="EB166">
        <f>_xlfn.XLOOKUP(B166,'[2]april-2025'!$A:$A,'[2]april-2025'!$J:$J,0,0)</f>
        <v>0</v>
      </c>
      <c r="EC166">
        <f>_xlfn.XLOOKUP(B166,'[3]may-2025'!$A:$A,'[3]may-2025'!$J:$J,0,0)</f>
        <v>0</v>
      </c>
      <c r="ED166">
        <f>_xlfn.XLOOKUP(B166,'[4]june-2025'!$A:$A,'[4]june-2025'!$J:$J,0,0)</f>
        <v>0</v>
      </c>
      <c r="EE166">
        <f>_xlfn.XLOOKUP(B166,'[5]july-2025'!$A:$A,'[5]july-2025'!$J:$J,0,0)</f>
        <v>0</v>
      </c>
      <c r="EF166">
        <f>_xlfn.XLOOKUP(B166,'[6]august-2025'!$A:$A,'[6]august-2025'!$J:$J,0,0)</f>
        <v>0</v>
      </c>
      <c r="EG166">
        <f>_xlfn.XLOOKUP(B166,'[7]september-2025'!$A:$A,'[7]september-2025'!$J:$J,0,0)</f>
        <v>0</v>
      </c>
      <c r="EH166">
        <f>_xlfn.XLOOKUP(B166,'[8]october-2025'!$A:$A,'[8]october-2025'!$J:$J,0,0)</f>
        <v>0</v>
      </c>
      <c r="EI166">
        <f>_xlfn.XLOOKUP(C166,'[9]november-2025'!$A:$A,'[9]november-2025'!$J:$J,0,0)</f>
        <v>0</v>
      </c>
      <c r="EJ166">
        <f>_xlfn.XLOOKUP(B166,'[10]december-2025'!$A:$A,'[10]december-2025'!$J:$J,0,0)</f>
        <v>0</v>
      </c>
      <c r="EK166">
        <f>_xlfn.XLOOKUP(B166,'[11]january-2026'!$A:$A,'[11]january-2026'!$J:$J,0,0)</f>
        <v>0</v>
      </c>
      <c r="EL166">
        <f>_xlfn.XLOOKUP(B166,'[12]february-2026'!$A:$A,'[12]february-2026'!$J:$J,0,0)</f>
        <v>0</v>
      </c>
      <c r="EM166">
        <f t="shared" si="409"/>
        <v>0</v>
      </c>
      <c r="EN166">
        <f t="shared" si="399"/>
        <v>560020</v>
      </c>
      <c r="EO166">
        <f t="shared" si="400"/>
        <v>2400</v>
      </c>
      <c r="EP166">
        <f t="shared" si="457"/>
        <v>50000</v>
      </c>
      <c r="EQ166">
        <v>0</v>
      </c>
      <c r="ER166">
        <f t="shared" si="410"/>
        <v>507620</v>
      </c>
      <c r="ES166">
        <f t="shared" si="401"/>
        <v>48000</v>
      </c>
      <c r="ET166">
        <f t="shared" si="402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458"/>
        <v>48000</v>
      </c>
      <c r="FF166">
        <f t="shared" si="459"/>
        <v>48000</v>
      </c>
      <c r="FG166">
        <f t="shared" si="460"/>
        <v>459620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403"/>
        <v>0</v>
      </c>
      <c r="FP166">
        <f t="shared" si="461"/>
        <v>459620</v>
      </c>
      <c r="FQ166">
        <f t="shared" si="462"/>
        <v>10481</v>
      </c>
      <c r="FR166">
        <f t="shared" si="463"/>
        <v>0</v>
      </c>
      <c r="FS166">
        <f t="shared" si="464"/>
        <v>10481</v>
      </c>
      <c r="FT166">
        <f t="shared" si="465"/>
        <v>0</v>
      </c>
      <c r="FU166">
        <f t="shared" si="466"/>
        <v>0</v>
      </c>
      <c r="FV166">
        <f t="shared" si="467"/>
        <v>0</v>
      </c>
      <c r="FW166">
        <v>0</v>
      </c>
      <c r="FX166">
        <f t="shared" si="468"/>
        <v>0</v>
      </c>
      <c r="FY166" t="b">
        <f t="shared" si="469"/>
        <v>1</v>
      </c>
      <c r="FZ166">
        <f t="shared" ca="1" si="470"/>
        <v>648</v>
      </c>
      <c r="GA166">
        <f t="shared" ca="1" si="471"/>
        <v>560668</v>
      </c>
      <c r="GB166">
        <f t="shared" si="472"/>
        <v>75000</v>
      </c>
      <c r="GC166">
        <f t="shared" ca="1" si="473"/>
        <v>485668</v>
      </c>
      <c r="GD166">
        <f t="shared" ca="1" si="474"/>
        <v>0</v>
      </c>
      <c r="GE166">
        <f t="shared" ca="1" si="475"/>
        <v>0</v>
      </c>
      <c r="GF166">
        <f t="shared" ca="1" si="476"/>
        <v>0</v>
      </c>
      <c r="GG166">
        <f t="shared" ca="1" si="477"/>
        <v>0</v>
      </c>
      <c r="GH166">
        <f t="shared" ca="1" si="478"/>
        <v>0</v>
      </c>
      <c r="GI166">
        <f t="shared" ca="1" si="479"/>
        <v>0</v>
      </c>
      <c r="GJ166">
        <f t="shared" ca="1" si="404"/>
        <v>0</v>
      </c>
      <c r="GK166">
        <f t="shared" ca="1" si="480"/>
        <v>0</v>
      </c>
      <c r="GL166">
        <f t="shared" ca="1" si="481"/>
        <v>0</v>
      </c>
      <c r="GM166">
        <f t="shared" ca="1" si="482"/>
        <v>0</v>
      </c>
      <c r="GN166">
        <f t="shared" ca="1" si="483"/>
        <v>85668</v>
      </c>
      <c r="GO166">
        <f t="shared" ca="1" si="484"/>
        <v>4283.4000000000005</v>
      </c>
      <c r="GP166">
        <f t="shared" ca="1" si="485"/>
        <v>4283</v>
      </c>
      <c r="GQ166">
        <f t="shared" ca="1" si="486"/>
        <v>0</v>
      </c>
      <c r="GR166">
        <f t="shared" ca="1" si="487"/>
        <v>0</v>
      </c>
      <c r="GS166">
        <f t="shared" ca="1" si="488"/>
        <v>4283</v>
      </c>
      <c r="GT166">
        <f t="shared" ca="1" si="489"/>
        <v>0</v>
      </c>
      <c r="GU166" t="b">
        <f t="shared" ca="1" si="490"/>
        <v>0</v>
      </c>
      <c r="GV166">
        <f t="shared" ca="1" si="491"/>
        <v>0</v>
      </c>
      <c r="GW166">
        <f t="shared" ca="1" si="492"/>
        <v>4283</v>
      </c>
      <c r="GX166">
        <f t="shared" ca="1" si="493"/>
        <v>0</v>
      </c>
      <c r="GY166">
        <f t="shared" ca="1" si="494"/>
        <v>0</v>
      </c>
      <c r="GZ166">
        <f t="shared" ca="1" si="495"/>
        <v>0</v>
      </c>
    </row>
    <row r="167" spans="1:208" x14ac:dyDescent="0.3">
      <c r="A167">
        <f>_xlfn.AGGREGATE(3,5,$B$2:B167)</f>
        <v>166</v>
      </c>
      <c r="B167" t="s">
        <v>439</v>
      </c>
      <c r="C167" t="s">
        <v>440</v>
      </c>
      <c r="D167" t="s">
        <v>793</v>
      </c>
      <c r="E167" t="s">
        <v>830</v>
      </c>
      <c r="F167" t="s">
        <v>956</v>
      </c>
      <c r="G167" t="s">
        <v>885</v>
      </c>
      <c r="H167">
        <f t="shared" ref="H167:H198" si="498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412"/>
        <v>4690</v>
      </c>
      <c r="L167">
        <f t="shared" si="413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 t="shared" si="389"/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496"/>
        <v>200</v>
      </c>
      <c r="S167">
        <f t="shared" si="405"/>
        <v>39510</v>
      </c>
      <c r="T167">
        <f>_xlfn.XLOOKUP(B167,'[2]april-2025'!$A:$A,'[2]april-2025'!$C:$C,0,0)</f>
        <v>33500</v>
      </c>
      <c r="U167">
        <f t="shared" si="414"/>
        <v>6030</v>
      </c>
      <c r="V167">
        <f t="shared" si="415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406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416"/>
        <v>200</v>
      </c>
      <c r="AC167">
        <f t="shared" si="417"/>
        <v>40850</v>
      </c>
      <c r="AD167">
        <f>_xlfn.XLOOKUP(B167,'[3]may-2025'!$A:$A,'[3]may-2025'!$C:$C,0,0)</f>
        <v>33500</v>
      </c>
      <c r="AE167">
        <f t="shared" si="418"/>
        <v>6030</v>
      </c>
      <c r="AF167">
        <f t="shared" si="419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407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420"/>
        <v>200</v>
      </c>
      <c r="AM167">
        <f t="shared" si="421"/>
        <v>40850</v>
      </c>
      <c r="AN167">
        <f>_xlfn.XLOOKUP(B167,'[4]june-2025'!$A:$A,'[4]june-2025'!$C:$C,0,0)</f>
        <v>33500</v>
      </c>
      <c r="AO167">
        <f t="shared" si="422"/>
        <v>6030</v>
      </c>
      <c r="AP167">
        <f t="shared" si="423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408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424"/>
        <v>200</v>
      </c>
      <c r="AW167">
        <f t="shared" si="425"/>
        <v>40850</v>
      </c>
      <c r="AX167">
        <f>_xlfn.XLOOKUP(B167,'[5]july-2025'!$A:$A,'[5]july-2025'!$C:$C,0,0)</f>
        <v>34500</v>
      </c>
      <c r="AY167">
        <f t="shared" si="426"/>
        <v>6210</v>
      </c>
      <c r="AZ167">
        <v>0</v>
      </c>
      <c r="BA167">
        <f t="shared" si="427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 t="shared" si="390"/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428"/>
        <v>200</v>
      </c>
      <c r="BH167">
        <f t="shared" si="429"/>
        <v>42150</v>
      </c>
      <c r="BI167">
        <f>_xlfn.XLOOKUP(B167,'[6]august-2025'!$A:$A,'[6]august-2025'!$C:$C,0,0)</f>
        <v>34500</v>
      </c>
      <c r="BJ167">
        <f t="shared" si="430"/>
        <v>6210</v>
      </c>
      <c r="BK167">
        <f t="shared" si="431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432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391"/>
        <v>200</v>
      </c>
      <c r="BR167">
        <f t="shared" si="392"/>
        <v>42150</v>
      </c>
      <c r="BS167">
        <f>_xlfn.XLOOKUP(B167,'[7]september-2025'!$A:$A,'[7]september-2025'!$C:$C,0,0)</f>
        <v>34500</v>
      </c>
      <c r="BT167">
        <f t="shared" si="433"/>
        <v>6210</v>
      </c>
      <c r="BU167">
        <f t="shared" si="434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 t="shared" si="393"/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435"/>
        <v>200</v>
      </c>
      <c r="CB167">
        <f t="shared" si="436"/>
        <v>42150</v>
      </c>
      <c r="CC167">
        <f>_xlfn.XLOOKUP(B167,'[8]october-2025'!$A:$A,'[8]october-2025'!$C:$C,0,0)</f>
        <v>34500</v>
      </c>
      <c r="CD167">
        <f t="shared" si="437"/>
        <v>6210</v>
      </c>
      <c r="CE167">
        <f t="shared" si="438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 t="shared" si="394"/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439"/>
        <v>200</v>
      </c>
      <c r="CL167">
        <f t="shared" si="440"/>
        <v>42150</v>
      </c>
      <c r="CM167">
        <f>_xlfn.XLOOKUP(B167,'[9]november-2025'!$A:$A,'[9]november-2025'!$C:$C,0,0)</f>
        <v>34500</v>
      </c>
      <c r="CN167">
        <f t="shared" si="441"/>
        <v>6210</v>
      </c>
      <c r="CO167">
        <f t="shared" si="442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 t="shared" si="395"/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443"/>
        <v>200</v>
      </c>
      <c r="CV167">
        <f t="shared" si="444"/>
        <v>42150</v>
      </c>
      <c r="CW167">
        <f>_xlfn.XLOOKUP(B167,'[10]december-2025'!$A:$A,'[10]december-2025'!$C:$C,0,0)</f>
        <v>34500</v>
      </c>
      <c r="CX167">
        <f t="shared" si="445"/>
        <v>6210</v>
      </c>
      <c r="CY167">
        <f t="shared" si="446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 t="shared" si="396"/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447"/>
        <v>200</v>
      </c>
      <c r="DF167">
        <f t="shared" si="448"/>
        <v>42150</v>
      </c>
      <c r="DG167">
        <f>_xlfn.XLOOKUP(B167,'[11]january-2026'!$A:$A,'[11]january-2026'!$C:$C,0,0)</f>
        <v>34500</v>
      </c>
      <c r="DH167">
        <f t="shared" si="449"/>
        <v>6210</v>
      </c>
      <c r="DI167">
        <f t="shared" si="450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397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51"/>
        <v>200</v>
      </c>
      <c r="DP167">
        <f t="shared" si="452"/>
        <v>42150</v>
      </c>
      <c r="DQ167">
        <f>_xlfn.XLOOKUP(B167,'[12]february-2026'!$A:$A,'[12]february-2026'!$C:$C,0,0)</f>
        <v>34500</v>
      </c>
      <c r="DR167">
        <f t="shared" si="453"/>
        <v>6210</v>
      </c>
      <c r="DS167">
        <f t="shared" si="454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398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55"/>
        <v>200</v>
      </c>
      <c r="DZ167">
        <f t="shared" si="456"/>
        <v>42150</v>
      </c>
      <c r="EA167">
        <f>_xlfn.XLOOKUP(B167,'[1]march-2025'!$A:$A,'[1]march-2025'!$J:$J,0,0)</f>
        <v>0</v>
      </c>
      <c r="EB167">
        <f>_xlfn.XLOOKUP(B167,'[2]april-2025'!$A:$A,'[2]april-2025'!$J:$J,0,0)</f>
        <v>0</v>
      </c>
      <c r="EC167">
        <f>_xlfn.XLOOKUP(B167,'[3]may-2025'!$A:$A,'[3]may-2025'!$J:$J,0,0)</f>
        <v>0</v>
      </c>
      <c r="ED167">
        <f>_xlfn.XLOOKUP(B167,'[4]june-2025'!$A:$A,'[4]june-2025'!$J:$J,0,0)</f>
        <v>0</v>
      </c>
      <c r="EE167">
        <f>_xlfn.XLOOKUP(B167,'[5]july-2025'!$A:$A,'[5]july-2025'!$J:$J,0,0)</f>
        <v>0</v>
      </c>
      <c r="EF167">
        <f>_xlfn.XLOOKUP(B167,'[6]august-2025'!$A:$A,'[6]august-2025'!$J:$J,0,0)</f>
        <v>0</v>
      </c>
      <c r="EG167">
        <f>_xlfn.XLOOKUP(B167,'[7]september-2025'!$A:$A,'[7]september-2025'!$J:$J,0,0)</f>
        <v>0</v>
      </c>
      <c r="EH167">
        <f>_xlfn.XLOOKUP(B167,'[8]october-2025'!$A:$A,'[8]october-2025'!$J:$J,0,0)</f>
        <v>0</v>
      </c>
      <c r="EI167">
        <f>_xlfn.XLOOKUP(C167,'[9]november-2025'!$A:$A,'[9]november-2025'!$J:$J,0,0)</f>
        <v>0</v>
      </c>
      <c r="EJ167">
        <f>_xlfn.XLOOKUP(B167,'[10]december-2025'!$A:$A,'[10]december-2025'!$J:$J,0,0)</f>
        <v>0</v>
      </c>
      <c r="EK167">
        <f>_xlfn.XLOOKUP(B167,'[11]january-2026'!$A:$A,'[11]january-2026'!$J:$J,0,0)</f>
        <v>0</v>
      </c>
      <c r="EL167">
        <f>_xlfn.XLOOKUP(B167,'[12]february-2026'!$A:$A,'[12]february-2026'!$J:$J,0,0)</f>
        <v>0</v>
      </c>
      <c r="EM167">
        <f t="shared" si="409"/>
        <v>0</v>
      </c>
      <c r="EN167">
        <f t="shared" si="399"/>
        <v>544460</v>
      </c>
      <c r="EO167">
        <f t="shared" si="400"/>
        <v>2400</v>
      </c>
      <c r="EP167">
        <f t="shared" si="457"/>
        <v>50000</v>
      </c>
      <c r="EQ167">
        <v>0</v>
      </c>
      <c r="ER167">
        <f t="shared" si="410"/>
        <v>492060</v>
      </c>
      <c r="ES167">
        <f t="shared" si="401"/>
        <v>36000</v>
      </c>
      <c r="ET167">
        <f t="shared" si="402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458"/>
        <v>36000</v>
      </c>
      <c r="FF167">
        <f t="shared" si="459"/>
        <v>36000</v>
      </c>
      <c r="FG167">
        <f t="shared" si="460"/>
        <v>456060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403"/>
        <v>0</v>
      </c>
      <c r="FP167">
        <f t="shared" si="461"/>
        <v>456060</v>
      </c>
      <c r="FQ167">
        <f t="shared" si="462"/>
        <v>10303</v>
      </c>
      <c r="FR167">
        <f t="shared" si="463"/>
        <v>0</v>
      </c>
      <c r="FS167">
        <f t="shared" si="464"/>
        <v>10303</v>
      </c>
      <c r="FT167">
        <f t="shared" si="465"/>
        <v>0</v>
      </c>
      <c r="FU167">
        <f t="shared" si="466"/>
        <v>0</v>
      </c>
      <c r="FV167">
        <f t="shared" si="467"/>
        <v>0</v>
      </c>
      <c r="FW167">
        <v>0</v>
      </c>
      <c r="FX167">
        <f t="shared" si="468"/>
        <v>0</v>
      </c>
      <c r="FY167" t="b">
        <f t="shared" si="469"/>
        <v>1</v>
      </c>
      <c r="FZ167">
        <f t="shared" ca="1" si="470"/>
        <v>500</v>
      </c>
      <c r="GA167">
        <f t="shared" ca="1" si="471"/>
        <v>544960</v>
      </c>
      <c r="GB167">
        <f t="shared" si="472"/>
        <v>75000</v>
      </c>
      <c r="GC167">
        <f t="shared" ca="1" si="473"/>
        <v>469960</v>
      </c>
      <c r="GD167">
        <f t="shared" ca="1" si="474"/>
        <v>0</v>
      </c>
      <c r="GE167">
        <f t="shared" ca="1" si="475"/>
        <v>0</v>
      </c>
      <c r="GF167">
        <f t="shared" ca="1" si="476"/>
        <v>0</v>
      </c>
      <c r="GG167">
        <f t="shared" ca="1" si="477"/>
        <v>0</v>
      </c>
      <c r="GH167">
        <f t="shared" ca="1" si="478"/>
        <v>0</v>
      </c>
      <c r="GI167">
        <f t="shared" ca="1" si="479"/>
        <v>0</v>
      </c>
      <c r="GJ167">
        <f t="shared" ca="1" si="404"/>
        <v>0</v>
      </c>
      <c r="GK167">
        <f t="shared" ca="1" si="480"/>
        <v>0</v>
      </c>
      <c r="GL167">
        <f t="shared" ca="1" si="481"/>
        <v>0</v>
      </c>
      <c r="GM167">
        <f t="shared" ca="1" si="482"/>
        <v>0</v>
      </c>
      <c r="GN167">
        <f t="shared" ca="1" si="483"/>
        <v>69960</v>
      </c>
      <c r="GO167">
        <f t="shared" ca="1" si="484"/>
        <v>3498</v>
      </c>
      <c r="GP167">
        <f t="shared" ca="1" si="485"/>
        <v>3498</v>
      </c>
      <c r="GQ167">
        <f t="shared" ca="1" si="486"/>
        <v>0</v>
      </c>
      <c r="GR167">
        <f t="shared" ca="1" si="487"/>
        <v>0</v>
      </c>
      <c r="GS167">
        <f t="shared" ca="1" si="488"/>
        <v>3498</v>
      </c>
      <c r="GT167">
        <f t="shared" ca="1" si="489"/>
        <v>0</v>
      </c>
      <c r="GU167" t="b">
        <f t="shared" ca="1" si="490"/>
        <v>0</v>
      </c>
      <c r="GV167">
        <f t="shared" ca="1" si="491"/>
        <v>0</v>
      </c>
      <c r="GW167">
        <f t="shared" ca="1" si="492"/>
        <v>3498</v>
      </c>
      <c r="GX167">
        <f t="shared" ca="1" si="493"/>
        <v>0</v>
      </c>
      <c r="GY167">
        <f t="shared" ca="1" si="494"/>
        <v>0</v>
      </c>
      <c r="GZ167">
        <f t="shared" ca="1" si="495"/>
        <v>0</v>
      </c>
    </row>
    <row r="168" spans="1:208" x14ac:dyDescent="0.3">
      <c r="A168">
        <f>_xlfn.AGGREGATE(3,5,$B$2:B168)</f>
        <v>167</v>
      </c>
      <c r="B168" t="s">
        <v>441</v>
      </c>
      <c r="C168" t="s">
        <v>442</v>
      </c>
      <c r="D168" t="s">
        <v>794</v>
      </c>
      <c r="E168" t="s">
        <v>830</v>
      </c>
      <c r="F168" t="s">
        <v>956</v>
      </c>
      <c r="G168" t="s">
        <v>875</v>
      </c>
      <c r="H168">
        <f t="shared" si="498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412"/>
        <v>6622.0000000000009</v>
      </c>
      <c r="L168">
        <f t="shared" si="413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 t="shared" si="389"/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496"/>
        <v>200</v>
      </c>
      <c r="S168">
        <f t="shared" si="405"/>
        <v>56798</v>
      </c>
      <c r="T168">
        <f>_xlfn.XLOOKUP(B168,'[2]april-2025'!$A:$A,'[2]april-2025'!$C:$C,0,0)</f>
        <v>47300</v>
      </c>
      <c r="U168">
        <f t="shared" si="414"/>
        <v>8514</v>
      </c>
      <c r="V168">
        <f t="shared" si="415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406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416"/>
        <v>200</v>
      </c>
      <c r="AC168">
        <f t="shared" si="417"/>
        <v>58690</v>
      </c>
      <c r="AD168">
        <f>_xlfn.XLOOKUP(B168,'[3]may-2025'!$A:$A,'[3]may-2025'!$C:$C,0,0)</f>
        <v>47300</v>
      </c>
      <c r="AE168">
        <f t="shared" si="418"/>
        <v>8514</v>
      </c>
      <c r="AF168">
        <f t="shared" si="419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407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420"/>
        <v>200</v>
      </c>
      <c r="AM168">
        <f t="shared" si="421"/>
        <v>58690</v>
      </c>
      <c r="AN168">
        <f>_xlfn.XLOOKUP(B168,'[4]june-2025'!$A:$A,'[4]june-2025'!$C:$C,0,0)</f>
        <v>47300</v>
      </c>
      <c r="AO168">
        <f t="shared" si="422"/>
        <v>8514</v>
      </c>
      <c r="AP168">
        <f t="shared" si="423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408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424"/>
        <v>200</v>
      </c>
      <c r="AW168">
        <f t="shared" si="425"/>
        <v>58690</v>
      </c>
      <c r="AX168">
        <f>_xlfn.XLOOKUP(B168,'[5]july-2025'!$A:$A,'[5]july-2025'!$C:$C,0,0)</f>
        <v>48700</v>
      </c>
      <c r="AY168">
        <f t="shared" si="426"/>
        <v>8766</v>
      </c>
      <c r="AZ168">
        <v>0</v>
      </c>
      <c r="BA168">
        <f t="shared" si="427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 t="shared" si="390"/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428"/>
        <v>200</v>
      </c>
      <c r="BH168">
        <f t="shared" si="429"/>
        <v>60510</v>
      </c>
      <c r="BI168">
        <f>_xlfn.XLOOKUP(B168,'[6]august-2025'!$A:$A,'[6]august-2025'!$C:$C,0,0)</f>
        <v>48700</v>
      </c>
      <c r="BJ168">
        <f t="shared" si="430"/>
        <v>8766</v>
      </c>
      <c r="BK168">
        <f t="shared" si="431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432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391"/>
        <v>200</v>
      </c>
      <c r="BR168">
        <f t="shared" si="392"/>
        <v>60510</v>
      </c>
      <c r="BS168">
        <f>_xlfn.XLOOKUP(B168,'[7]september-2025'!$A:$A,'[7]september-2025'!$C:$C,0,0)</f>
        <v>48700</v>
      </c>
      <c r="BT168">
        <f t="shared" si="433"/>
        <v>8766</v>
      </c>
      <c r="BU168">
        <f t="shared" si="434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 t="shared" si="393"/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435"/>
        <v>200</v>
      </c>
      <c r="CB168">
        <f t="shared" si="436"/>
        <v>60510</v>
      </c>
      <c r="CC168">
        <f>_xlfn.XLOOKUP(B168,'[8]october-2025'!$A:$A,'[8]october-2025'!$C:$C,0,0)</f>
        <v>48700</v>
      </c>
      <c r="CD168">
        <f t="shared" si="437"/>
        <v>8766</v>
      </c>
      <c r="CE168">
        <f t="shared" si="438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 t="shared" si="394"/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439"/>
        <v>200</v>
      </c>
      <c r="CL168">
        <f t="shared" si="440"/>
        <v>60510</v>
      </c>
      <c r="CM168">
        <f>_xlfn.XLOOKUP(B168,'[9]november-2025'!$A:$A,'[9]november-2025'!$C:$C,0,0)</f>
        <v>48700</v>
      </c>
      <c r="CN168">
        <f t="shared" si="441"/>
        <v>8766</v>
      </c>
      <c r="CO168">
        <f t="shared" si="442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 t="shared" si="395"/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443"/>
        <v>200</v>
      </c>
      <c r="CV168">
        <f t="shared" si="444"/>
        <v>60510</v>
      </c>
      <c r="CW168">
        <f>_xlfn.XLOOKUP(B168,'[10]december-2025'!$A:$A,'[10]december-2025'!$C:$C,0,0)</f>
        <v>48700</v>
      </c>
      <c r="CX168">
        <f t="shared" si="445"/>
        <v>8766</v>
      </c>
      <c r="CY168">
        <f t="shared" si="446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 t="shared" si="396"/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447"/>
        <v>200</v>
      </c>
      <c r="DF168">
        <f t="shared" si="448"/>
        <v>60510</v>
      </c>
      <c r="DG168">
        <f>_xlfn.XLOOKUP(B168,'[11]january-2026'!$A:$A,'[11]january-2026'!$C:$C,0,0)</f>
        <v>48700</v>
      </c>
      <c r="DH168">
        <f t="shared" si="449"/>
        <v>8766</v>
      </c>
      <c r="DI168">
        <f t="shared" si="450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397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51"/>
        <v>200</v>
      </c>
      <c r="DP168">
        <f t="shared" si="452"/>
        <v>60510</v>
      </c>
      <c r="DQ168">
        <f>_xlfn.XLOOKUP(B168,'[12]february-2026'!$A:$A,'[12]february-2026'!$C:$C,0,0)</f>
        <v>48700</v>
      </c>
      <c r="DR168">
        <f t="shared" si="453"/>
        <v>8766</v>
      </c>
      <c r="DS168">
        <f t="shared" si="454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398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55"/>
        <v>200</v>
      </c>
      <c r="DZ168">
        <f t="shared" si="456"/>
        <v>60510</v>
      </c>
      <c r="EA168">
        <f>_xlfn.XLOOKUP(B168,'[1]march-2025'!$A:$A,'[1]march-2025'!$J:$J,0,0)</f>
        <v>0</v>
      </c>
      <c r="EB168">
        <f>_xlfn.XLOOKUP(B168,'[2]april-2025'!$A:$A,'[2]april-2025'!$J:$J,0,0)</f>
        <v>0</v>
      </c>
      <c r="EC168">
        <f>_xlfn.XLOOKUP(B168,'[3]may-2025'!$A:$A,'[3]may-2025'!$J:$J,0,0)</f>
        <v>0</v>
      </c>
      <c r="ED168">
        <f>_xlfn.XLOOKUP(B168,'[4]june-2025'!$A:$A,'[4]june-2025'!$J:$J,0,0)</f>
        <v>0</v>
      </c>
      <c r="EE168">
        <f>_xlfn.XLOOKUP(B168,'[5]july-2025'!$A:$A,'[5]july-2025'!$J:$J,0,0)</f>
        <v>0</v>
      </c>
      <c r="EF168">
        <f>_xlfn.XLOOKUP(B168,'[6]august-2025'!$A:$A,'[6]august-2025'!$J:$J,0,0)</f>
        <v>0</v>
      </c>
      <c r="EG168">
        <f>_xlfn.XLOOKUP(B168,'[7]september-2025'!$A:$A,'[7]september-2025'!$J:$J,0,0)</f>
        <v>0</v>
      </c>
      <c r="EH168">
        <f>_xlfn.XLOOKUP(B168,'[8]october-2025'!$A:$A,'[8]october-2025'!$J:$J,0,0)</f>
        <v>0</v>
      </c>
      <c r="EI168">
        <f>_xlfn.XLOOKUP(C168,'[9]november-2025'!$A:$A,'[9]november-2025'!$J:$J,0,0)</f>
        <v>0</v>
      </c>
      <c r="EJ168">
        <f>_xlfn.XLOOKUP(B168,'[10]december-2025'!$A:$A,'[10]december-2025'!$J:$J,0,0)</f>
        <v>0</v>
      </c>
      <c r="EK168">
        <f>_xlfn.XLOOKUP(B168,'[11]january-2026'!$A:$A,'[11]january-2026'!$J:$J,0,0)</f>
        <v>0</v>
      </c>
      <c r="EL168">
        <f>_xlfn.XLOOKUP(B168,'[12]february-2026'!$A:$A,'[12]february-2026'!$J:$J,0,0)</f>
        <v>0</v>
      </c>
      <c r="EM168">
        <f t="shared" si="409"/>
        <v>0</v>
      </c>
      <c r="EN168">
        <f t="shared" si="399"/>
        <v>762148</v>
      </c>
      <c r="EO168">
        <f t="shared" si="400"/>
        <v>2400</v>
      </c>
      <c r="EP168">
        <f t="shared" si="457"/>
        <v>50000</v>
      </c>
      <c r="EQ168">
        <v>0</v>
      </c>
      <c r="ER168">
        <f t="shared" si="410"/>
        <v>709748</v>
      </c>
      <c r="ES168">
        <f t="shared" si="401"/>
        <v>36000</v>
      </c>
      <c r="ET168">
        <f t="shared" si="402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458"/>
        <v>36000</v>
      </c>
      <c r="FF168">
        <f t="shared" si="459"/>
        <v>36000</v>
      </c>
      <c r="FG168">
        <f t="shared" si="460"/>
        <v>673748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403"/>
        <v>0</v>
      </c>
      <c r="FP168">
        <f t="shared" si="461"/>
        <v>673748</v>
      </c>
      <c r="FQ168">
        <f t="shared" si="462"/>
        <v>12500</v>
      </c>
      <c r="FR168">
        <f t="shared" si="463"/>
        <v>34750</v>
      </c>
      <c r="FS168">
        <f t="shared" si="464"/>
        <v>47250</v>
      </c>
      <c r="FT168">
        <f t="shared" si="465"/>
        <v>47250</v>
      </c>
      <c r="FU168">
        <f t="shared" si="466"/>
        <v>1890</v>
      </c>
      <c r="FV168">
        <f t="shared" si="467"/>
        <v>49140</v>
      </c>
      <c r="FW168">
        <v>0</v>
      </c>
      <c r="FX168">
        <f t="shared" si="468"/>
        <v>49140</v>
      </c>
      <c r="FY168" t="b">
        <f t="shared" si="469"/>
        <v>1</v>
      </c>
      <c r="FZ168">
        <f t="shared" ca="1" si="470"/>
        <v>764</v>
      </c>
      <c r="GA168">
        <f t="shared" ca="1" si="471"/>
        <v>762912</v>
      </c>
      <c r="GB168">
        <f t="shared" si="472"/>
        <v>75000</v>
      </c>
      <c r="GC168">
        <f t="shared" ca="1" si="473"/>
        <v>687912</v>
      </c>
      <c r="GD168">
        <f t="shared" ca="1" si="474"/>
        <v>0</v>
      </c>
      <c r="GE168">
        <f t="shared" ca="1" si="475"/>
        <v>0</v>
      </c>
      <c r="GF168">
        <f t="shared" ca="1" si="476"/>
        <v>0</v>
      </c>
      <c r="GG168">
        <f t="shared" ca="1" si="477"/>
        <v>0</v>
      </c>
      <c r="GH168">
        <f t="shared" ca="1" si="478"/>
        <v>0</v>
      </c>
      <c r="GI168">
        <f t="shared" ca="1" si="479"/>
        <v>0</v>
      </c>
      <c r="GJ168">
        <f t="shared" ca="1" si="404"/>
        <v>0</v>
      </c>
      <c r="GK168">
        <f t="shared" ca="1" si="480"/>
        <v>0</v>
      </c>
      <c r="GL168">
        <f t="shared" ca="1" si="481"/>
        <v>0</v>
      </c>
      <c r="GM168">
        <f t="shared" ca="1" si="482"/>
        <v>0</v>
      </c>
      <c r="GN168">
        <f t="shared" ca="1" si="483"/>
        <v>287912</v>
      </c>
      <c r="GO168">
        <f t="shared" ca="1" si="484"/>
        <v>14395.6</v>
      </c>
      <c r="GP168">
        <f t="shared" ca="1" si="485"/>
        <v>14396</v>
      </c>
      <c r="GQ168">
        <f t="shared" ca="1" si="486"/>
        <v>0</v>
      </c>
      <c r="GR168">
        <f t="shared" ca="1" si="487"/>
        <v>0</v>
      </c>
      <c r="GS168">
        <f t="shared" ca="1" si="488"/>
        <v>14396</v>
      </c>
      <c r="GT168">
        <f t="shared" ca="1" si="489"/>
        <v>0</v>
      </c>
      <c r="GU168" t="b">
        <f t="shared" ca="1" si="490"/>
        <v>0</v>
      </c>
      <c r="GV168">
        <f t="shared" ca="1" si="491"/>
        <v>0</v>
      </c>
      <c r="GW168">
        <f t="shared" ca="1" si="492"/>
        <v>14396</v>
      </c>
      <c r="GX168">
        <f t="shared" ca="1" si="493"/>
        <v>0</v>
      </c>
      <c r="GY168">
        <f t="shared" ca="1" si="494"/>
        <v>0</v>
      </c>
      <c r="GZ168">
        <f t="shared" ca="1" si="495"/>
        <v>0</v>
      </c>
    </row>
    <row r="169" spans="1:208" x14ac:dyDescent="0.3">
      <c r="A169">
        <f>_xlfn.AGGREGATE(3,5,$B$2:B169)</f>
        <v>168</v>
      </c>
      <c r="B169" t="s">
        <v>443</v>
      </c>
      <c r="C169" t="s">
        <v>444</v>
      </c>
      <c r="D169" t="s">
        <v>794</v>
      </c>
      <c r="E169" t="s">
        <v>830</v>
      </c>
      <c r="F169" t="s">
        <v>956</v>
      </c>
      <c r="G169" t="s">
        <v>877</v>
      </c>
      <c r="H169">
        <f t="shared" si="498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412"/>
        <v>4830.0000000000009</v>
      </c>
      <c r="L169">
        <f t="shared" si="413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 t="shared" si="389"/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496"/>
        <v>200</v>
      </c>
      <c r="S169">
        <f t="shared" si="405"/>
        <v>40270</v>
      </c>
      <c r="T169">
        <f>_xlfn.XLOOKUP(B169,'[2]april-2025'!$A:$A,'[2]april-2025'!$C:$C,0,0)</f>
        <v>34500</v>
      </c>
      <c r="U169">
        <f t="shared" si="414"/>
        <v>6210</v>
      </c>
      <c r="V169">
        <f t="shared" si="415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406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416"/>
        <v>200</v>
      </c>
      <c r="AC169">
        <f t="shared" si="417"/>
        <v>41650</v>
      </c>
      <c r="AD169">
        <f>_xlfn.XLOOKUP(B169,'[3]may-2025'!$A:$A,'[3]may-2025'!$C:$C,0,0)</f>
        <v>34500</v>
      </c>
      <c r="AE169">
        <f t="shared" si="418"/>
        <v>6210</v>
      </c>
      <c r="AF169">
        <f t="shared" si="419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407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420"/>
        <v>200</v>
      </c>
      <c r="AM169">
        <f t="shared" si="421"/>
        <v>41650</v>
      </c>
      <c r="AN169">
        <f>_xlfn.XLOOKUP(B169,'[4]june-2025'!$A:$A,'[4]june-2025'!$C:$C,0,0)</f>
        <v>34500</v>
      </c>
      <c r="AO169">
        <f t="shared" si="422"/>
        <v>6210</v>
      </c>
      <c r="AP169">
        <f t="shared" si="423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408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424"/>
        <v>200</v>
      </c>
      <c r="AW169">
        <f t="shared" si="425"/>
        <v>41650</v>
      </c>
      <c r="AX169">
        <f>_xlfn.XLOOKUP(B169,'[5]july-2025'!$A:$A,'[5]july-2025'!$C:$C,0,0)</f>
        <v>35500</v>
      </c>
      <c r="AY169">
        <f t="shared" si="426"/>
        <v>6390</v>
      </c>
      <c r="AZ169">
        <v>0</v>
      </c>
      <c r="BA169">
        <f t="shared" si="427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390"/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428"/>
        <v>200</v>
      </c>
      <c r="BH169">
        <f t="shared" si="429"/>
        <v>42950</v>
      </c>
      <c r="BI169">
        <f>_xlfn.XLOOKUP(B169,'[6]august-2025'!$A:$A,'[6]august-2025'!$C:$C,0,0)</f>
        <v>35500</v>
      </c>
      <c r="BJ169">
        <f t="shared" si="430"/>
        <v>6390</v>
      </c>
      <c r="BK169">
        <f t="shared" si="431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432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391"/>
        <v>200</v>
      </c>
      <c r="BR169">
        <f t="shared" si="392"/>
        <v>42950</v>
      </c>
      <c r="BS169">
        <f>_xlfn.XLOOKUP(B169,'[7]september-2025'!$A:$A,'[7]september-2025'!$C:$C,0,0)</f>
        <v>35500</v>
      </c>
      <c r="BT169">
        <f t="shared" si="433"/>
        <v>6390</v>
      </c>
      <c r="BU169">
        <f t="shared" si="434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393"/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435"/>
        <v>200</v>
      </c>
      <c r="CB169">
        <f t="shared" si="436"/>
        <v>42950</v>
      </c>
      <c r="CC169">
        <f>_xlfn.XLOOKUP(B169,'[8]october-2025'!$A:$A,'[8]october-2025'!$C:$C,0,0)</f>
        <v>35500</v>
      </c>
      <c r="CD169">
        <f t="shared" si="437"/>
        <v>6390</v>
      </c>
      <c r="CE169">
        <f t="shared" si="438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394"/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439"/>
        <v>200</v>
      </c>
      <c r="CL169">
        <f t="shared" si="440"/>
        <v>42950</v>
      </c>
      <c r="CM169">
        <f>_xlfn.XLOOKUP(B169,'[9]november-2025'!$A:$A,'[9]november-2025'!$C:$C,0,0)</f>
        <v>35500</v>
      </c>
      <c r="CN169">
        <f t="shared" si="441"/>
        <v>6390</v>
      </c>
      <c r="CO169">
        <f t="shared" si="442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395"/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443"/>
        <v>200</v>
      </c>
      <c r="CV169">
        <f t="shared" si="444"/>
        <v>42950</v>
      </c>
      <c r="CW169">
        <f>_xlfn.XLOOKUP(B169,'[10]december-2025'!$A:$A,'[10]december-2025'!$C:$C,0,0)</f>
        <v>35500</v>
      </c>
      <c r="CX169">
        <f t="shared" si="445"/>
        <v>6390</v>
      </c>
      <c r="CY169">
        <f t="shared" si="446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396"/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447"/>
        <v>200</v>
      </c>
      <c r="DF169">
        <f t="shared" si="448"/>
        <v>42950</v>
      </c>
      <c r="DG169">
        <f>_xlfn.XLOOKUP(B169,'[11]january-2026'!$A:$A,'[11]january-2026'!$C:$C,0,0)</f>
        <v>35500</v>
      </c>
      <c r="DH169">
        <f t="shared" si="449"/>
        <v>6390</v>
      </c>
      <c r="DI169">
        <f t="shared" si="450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397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51"/>
        <v>200</v>
      </c>
      <c r="DP169">
        <f t="shared" si="452"/>
        <v>42950</v>
      </c>
      <c r="DQ169">
        <f>_xlfn.XLOOKUP(B169,'[12]february-2026'!$A:$A,'[12]february-2026'!$C:$C,0,0)</f>
        <v>35500</v>
      </c>
      <c r="DR169">
        <f t="shared" si="453"/>
        <v>6390</v>
      </c>
      <c r="DS169">
        <f t="shared" si="454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398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55"/>
        <v>200</v>
      </c>
      <c r="DZ169">
        <f t="shared" si="456"/>
        <v>42950</v>
      </c>
      <c r="EA169">
        <f>_xlfn.XLOOKUP(B169,'[1]march-2025'!$A:$A,'[1]march-2025'!$J:$J,0,0)</f>
        <v>0</v>
      </c>
      <c r="EB169">
        <f>_xlfn.XLOOKUP(B169,'[2]april-2025'!$A:$A,'[2]april-2025'!$J:$J,0,0)</f>
        <v>0</v>
      </c>
      <c r="EC169">
        <f>_xlfn.XLOOKUP(B169,'[3]may-2025'!$A:$A,'[3]may-2025'!$J:$J,0,0)</f>
        <v>0</v>
      </c>
      <c r="ED169">
        <f>_xlfn.XLOOKUP(B169,'[4]june-2025'!$A:$A,'[4]june-2025'!$J:$J,0,0)</f>
        <v>0</v>
      </c>
      <c r="EE169">
        <f>_xlfn.XLOOKUP(B169,'[5]july-2025'!$A:$A,'[5]july-2025'!$J:$J,0,0)</f>
        <v>0</v>
      </c>
      <c r="EF169">
        <f>_xlfn.XLOOKUP(B169,'[6]august-2025'!$A:$A,'[6]august-2025'!$J:$J,0,0)</f>
        <v>0</v>
      </c>
      <c r="EG169">
        <f>_xlfn.XLOOKUP(B169,'[7]september-2025'!$A:$A,'[7]september-2025'!$J:$J,0,0)</f>
        <v>0</v>
      </c>
      <c r="EH169">
        <f>_xlfn.XLOOKUP(B169,'[8]october-2025'!$A:$A,'[8]october-2025'!$J:$J,0,0)</f>
        <v>0</v>
      </c>
      <c r="EI169">
        <f>_xlfn.XLOOKUP(C169,'[9]november-2025'!$A:$A,'[9]november-2025'!$J:$J,0,0)</f>
        <v>0</v>
      </c>
      <c r="EJ169">
        <f>_xlfn.XLOOKUP(B169,'[10]december-2025'!$A:$A,'[10]december-2025'!$J:$J,0,0)</f>
        <v>0</v>
      </c>
      <c r="EK169">
        <f>_xlfn.XLOOKUP(B169,'[11]january-2026'!$A:$A,'[11]january-2026'!$J:$J,0,0)</f>
        <v>0</v>
      </c>
      <c r="EL169">
        <f>_xlfn.XLOOKUP(B169,'[12]february-2026'!$A:$A,'[12]february-2026'!$J:$J,0,0)</f>
        <v>0</v>
      </c>
      <c r="EM169">
        <f t="shared" si="409"/>
        <v>0</v>
      </c>
      <c r="EN169">
        <f t="shared" si="399"/>
        <v>554020</v>
      </c>
      <c r="EO169">
        <f t="shared" si="400"/>
        <v>2400</v>
      </c>
      <c r="EP169">
        <f t="shared" si="457"/>
        <v>50000</v>
      </c>
      <c r="EQ169">
        <v>0</v>
      </c>
      <c r="ER169">
        <f t="shared" si="410"/>
        <v>501620</v>
      </c>
      <c r="ES169">
        <f t="shared" si="401"/>
        <v>36000</v>
      </c>
      <c r="ET169">
        <f t="shared" si="402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458"/>
        <v>36000</v>
      </c>
      <c r="FF169">
        <f t="shared" si="459"/>
        <v>36000</v>
      </c>
      <c r="FG169">
        <f t="shared" si="460"/>
        <v>465620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403"/>
        <v>0</v>
      </c>
      <c r="FP169">
        <f t="shared" si="461"/>
        <v>465620</v>
      </c>
      <c r="FQ169">
        <f t="shared" si="462"/>
        <v>10781</v>
      </c>
      <c r="FR169">
        <f t="shared" si="463"/>
        <v>0</v>
      </c>
      <c r="FS169">
        <f t="shared" si="464"/>
        <v>10781</v>
      </c>
      <c r="FT169">
        <f t="shared" si="465"/>
        <v>0</v>
      </c>
      <c r="FU169">
        <f t="shared" si="466"/>
        <v>0</v>
      </c>
      <c r="FV169">
        <f t="shared" si="467"/>
        <v>0</v>
      </c>
      <c r="FW169">
        <v>0</v>
      </c>
      <c r="FX169">
        <f t="shared" si="468"/>
        <v>0</v>
      </c>
      <c r="FY169" t="b">
        <f t="shared" si="469"/>
        <v>1</v>
      </c>
      <c r="FZ169">
        <f t="shared" ca="1" si="470"/>
        <v>531</v>
      </c>
      <c r="GA169">
        <f t="shared" ca="1" si="471"/>
        <v>554551</v>
      </c>
      <c r="GB169">
        <f t="shared" si="472"/>
        <v>75000</v>
      </c>
      <c r="GC169">
        <f t="shared" ca="1" si="473"/>
        <v>479551</v>
      </c>
      <c r="GD169">
        <f t="shared" ca="1" si="474"/>
        <v>0</v>
      </c>
      <c r="GE169">
        <f t="shared" ca="1" si="475"/>
        <v>0</v>
      </c>
      <c r="GF169">
        <f t="shared" ca="1" si="476"/>
        <v>0</v>
      </c>
      <c r="GG169">
        <f t="shared" ca="1" si="477"/>
        <v>0</v>
      </c>
      <c r="GH169">
        <f t="shared" ca="1" si="478"/>
        <v>0</v>
      </c>
      <c r="GI169">
        <f t="shared" ca="1" si="479"/>
        <v>0</v>
      </c>
      <c r="GJ169">
        <f t="shared" ca="1" si="404"/>
        <v>0</v>
      </c>
      <c r="GK169">
        <f t="shared" ca="1" si="480"/>
        <v>0</v>
      </c>
      <c r="GL169">
        <f t="shared" ca="1" si="481"/>
        <v>0</v>
      </c>
      <c r="GM169">
        <f t="shared" ca="1" si="482"/>
        <v>0</v>
      </c>
      <c r="GN169">
        <f t="shared" ca="1" si="483"/>
        <v>79551</v>
      </c>
      <c r="GO169">
        <f t="shared" ca="1" si="484"/>
        <v>3977.55</v>
      </c>
      <c r="GP169">
        <f t="shared" ca="1" si="485"/>
        <v>3978</v>
      </c>
      <c r="GQ169">
        <f t="shared" ca="1" si="486"/>
        <v>0</v>
      </c>
      <c r="GR169">
        <f t="shared" ca="1" si="487"/>
        <v>0</v>
      </c>
      <c r="GS169">
        <f t="shared" ca="1" si="488"/>
        <v>3978</v>
      </c>
      <c r="GT169">
        <f t="shared" ca="1" si="489"/>
        <v>0</v>
      </c>
      <c r="GU169" t="b">
        <f t="shared" ca="1" si="490"/>
        <v>0</v>
      </c>
      <c r="GV169">
        <f t="shared" ca="1" si="491"/>
        <v>0</v>
      </c>
      <c r="GW169">
        <f t="shared" ca="1" si="492"/>
        <v>3978</v>
      </c>
      <c r="GX169">
        <f t="shared" ca="1" si="493"/>
        <v>0</v>
      </c>
      <c r="GY169">
        <f t="shared" ca="1" si="494"/>
        <v>0</v>
      </c>
      <c r="GZ169">
        <f t="shared" ca="1" si="495"/>
        <v>0</v>
      </c>
    </row>
    <row r="170" spans="1:208" x14ac:dyDescent="0.3">
      <c r="A170">
        <f>_xlfn.AGGREGATE(3,5,$B$2:B170)</f>
        <v>169</v>
      </c>
      <c r="B170" t="s">
        <v>445</v>
      </c>
      <c r="C170" t="s">
        <v>446</v>
      </c>
      <c r="D170" t="s">
        <v>794</v>
      </c>
      <c r="E170" t="s">
        <v>830</v>
      </c>
      <c r="F170" t="s">
        <v>956</v>
      </c>
      <c r="G170" t="s">
        <v>892</v>
      </c>
      <c r="H170">
        <f t="shared" si="498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412"/>
        <v>4830.0000000000009</v>
      </c>
      <c r="L170">
        <f t="shared" si="413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389"/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496"/>
        <v>200</v>
      </c>
      <c r="S170">
        <f t="shared" si="405"/>
        <v>40770</v>
      </c>
      <c r="T170">
        <f>_xlfn.XLOOKUP(B170,'[2]april-2025'!$A:$A,'[2]april-2025'!$C:$C,0,0)</f>
        <v>34500</v>
      </c>
      <c r="U170">
        <f t="shared" si="414"/>
        <v>6210</v>
      </c>
      <c r="V170">
        <f t="shared" si="415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406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416"/>
        <v>200</v>
      </c>
      <c r="AC170">
        <f t="shared" si="417"/>
        <v>42150</v>
      </c>
      <c r="AD170">
        <f>_xlfn.XLOOKUP(B170,'[3]may-2025'!$A:$A,'[3]may-2025'!$C:$C,0,0)</f>
        <v>34500</v>
      </c>
      <c r="AE170">
        <f t="shared" si="418"/>
        <v>6210</v>
      </c>
      <c r="AF170">
        <f t="shared" si="419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407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420"/>
        <v>200</v>
      </c>
      <c r="AM170">
        <f t="shared" si="421"/>
        <v>42150</v>
      </c>
      <c r="AN170">
        <f>_xlfn.XLOOKUP(B170,'[4]june-2025'!$A:$A,'[4]june-2025'!$C:$C,0,0)</f>
        <v>34500</v>
      </c>
      <c r="AO170">
        <f t="shared" si="422"/>
        <v>6210</v>
      </c>
      <c r="AP170">
        <f t="shared" si="423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408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424"/>
        <v>200</v>
      </c>
      <c r="AW170">
        <f t="shared" si="425"/>
        <v>42150</v>
      </c>
      <c r="AX170">
        <f>_xlfn.XLOOKUP(B170,'[5]july-2025'!$A:$A,'[5]july-2025'!$C:$C,0,0)</f>
        <v>35500</v>
      </c>
      <c r="AY170">
        <f t="shared" si="426"/>
        <v>6390</v>
      </c>
      <c r="AZ170">
        <v>0</v>
      </c>
      <c r="BA170">
        <f t="shared" si="427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390"/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428"/>
        <v>200</v>
      </c>
      <c r="BH170">
        <f t="shared" si="429"/>
        <v>43450</v>
      </c>
      <c r="BI170">
        <f>_xlfn.XLOOKUP(B170,'[6]august-2025'!$A:$A,'[6]august-2025'!$C:$C,0,0)</f>
        <v>35500</v>
      </c>
      <c r="BJ170">
        <f t="shared" si="430"/>
        <v>6390</v>
      </c>
      <c r="BK170">
        <f t="shared" si="431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432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 t="shared" si="391"/>
        <v>200</v>
      </c>
      <c r="BR170">
        <f t="shared" si="392"/>
        <v>43450</v>
      </c>
      <c r="BS170">
        <f>_xlfn.XLOOKUP(B170,'[7]september-2025'!$A:$A,'[7]september-2025'!$C:$C,0,0)</f>
        <v>35500</v>
      </c>
      <c r="BT170">
        <f t="shared" si="433"/>
        <v>6390</v>
      </c>
      <c r="BU170">
        <f t="shared" si="434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393"/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435"/>
        <v>200</v>
      </c>
      <c r="CB170">
        <f t="shared" si="436"/>
        <v>43450</v>
      </c>
      <c r="CC170">
        <f>_xlfn.XLOOKUP(B170,'[8]october-2025'!$A:$A,'[8]october-2025'!$C:$C,0,0)</f>
        <v>35500</v>
      </c>
      <c r="CD170">
        <f t="shared" si="437"/>
        <v>6390</v>
      </c>
      <c r="CE170">
        <f t="shared" si="438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394"/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439"/>
        <v>200</v>
      </c>
      <c r="CL170">
        <f t="shared" si="440"/>
        <v>43450</v>
      </c>
      <c r="CM170">
        <f>_xlfn.XLOOKUP(B170,'[9]november-2025'!$A:$A,'[9]november-2025'!$C:$C,0,0)</f>
        <v>35500</v>
      </c>
      <c r="CN170">
        <f t="shared" si="441"/>
        <v>6390</v>
      </c>
      <c r="CO170">
        <f t="shared" si="442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395"/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443"/>
        <v>200</v>
      </c>
      <c r="CV170">
        <f t="shared" si="444"/>
        <v>43450</v>
      </c>
      <c r="CW170">
        <f>_xlfn.XLOOKUP(B170,'[10]december-2025'!$A:$A,'[10]december-2025'!$C:$C,0,0)</f>
        <v>35500</v>
      </c>
      <c r="CX170">
        <f t="shared" si="445"/>
        <v>6390</v>
      </c>
      <c r="CY170">
        <f t="shared" si="446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396"/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447"/>
        <v>200</v>
      </c>
      <c r="DF170">
        <f t="shared" si="448"/>
        <v>43450</v>
      </c>
      <c r="DG170">
        <f>_xlfn.XLOOKUP(B170,'[11]january-2026'!$A:$A,'[11]january-2026'!$C:$C,0,0)</f>
        <v>35500</v>
      </c>
      <c r="DH170">
        <f t="shared" si="449"/>
        <v>6390</v>
      </c>
      <c r="DI170">
        <f t="shared" si="450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397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51"/>
        <v>200</v>
      </c>
      <c r="DP170">
        <f t="shared" si="452"/>
        <v>43450</v>
      </c>
      <c r="DQ170">
        <f>_xlfn.XLOOKUP(B170,'[12]february-2026'!$A:$A,'[12]february-2026'!$C:$C,0,0)</f>
        <v>35500</v>
      </c>
      <c r="DR170">
        <f t="shared" si="453"/>
        <v>6390</v>
      </c>
      <c r="DS170">
        <f t="shared" si="454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398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55"/>
        <v>200</v>
      </c>
      <c r="DZ170">
        <f t="shared" si="456"/>
        <v>43450</v>
      </c>
      <c r="EA170">
        <f>_xlfn.XLOOKUP(B170,'[1]march-2025'!$A:$A,'[1]march-2025'!$J:$J,0,0)</f>
        <v>0</v>
      </c>
      <c r="EB170">
        <f>_xlfn.XLOOKUP(B170,'[2]april-2025'!$A:$A,'[2]april-2025'!$J:$J,0,0)</f>
        <v>0</v>
      </c>
      <c r="EC170">
        <f>_xlfn.XLOOKUP(B170,'[3]may-2025'!$A:$A,'[3]may-2025'!$J:$J,0,0)</f>
        <v>0</v>
      </c>
      <c r="ED170">
        <f>_xlfn.XLOOKUP(B170,'[4]june-2025'!$A:$A,'[4]june-2025'!$J:$J,0,0)</f>
        <v>0</v>
      </c>
      <c r="EE170">
        <f>_xlfn.XLOOKUP(B170,'[5]july-2025'!$A:$A,'[5]july-2025'!$J:$J,0,0)</f>
        <v>0</v>
      </c>
      <c r="EF170">
        <f>_xlfn.XLOOKUP(B170,'[6]august-2025'!$A:$A,'[6]august-2025'!$J:$J,0,0)</f>
        <v>0</v>
      </c>
      <c r="EG170">
        <f>_xlfn.XLOOKUP(B170,'[7]september-2025'!$A:$A,'[7]september-2025'!$J:$J,0,0)</f>
        <v>0</v>
      </c>
      <c r="EH170">
        <f>_xlfn.XLOOKUP(B170,'[8]october-2025'!$A:$A,'[8]october-2025'!$J:$J,0,0)</f>
        <v>0</v>
      </c>
      <c r="EI170">
        <f>_xlfn.XLOOKUP(C170,'[9]november-2025'!$A:$A,'[9]november-2025'!$J:$J,0,0)</f>
        <v>0</v>
      </c>
      <c r="EJ170">
        <f>_xlfn.XLOOKUP(B170,'[10]december-2025'!$A:$A,'[10]december-2025'!$J:$J,0,0)</f>
        <v>0</v>
      </c>
      <c r="EK170">
        <f>_xlfn.XLOOKUP(B170,'[11]january-2026'!$A:$A,'[11]january-2026'!$J:$J,0,0)</f>
        <v>0</v>
      </c>
      <c r="EL170">
        <f>_xlfn.XLOOKUP(B170,'[12]february-2026'!$A:$A,'[12]february-2026'!$J:$J,0,0)</f>
        <v>0</v>
      </c>
      <c r="EM170">
        <f t="shared" si="409"/>
        <v>0</v>
      </c>
      <c r="EN170">
        <f t="shared" si="399"/>
        <v>560020</v>
      </c>
      <c r="EO170">
        <f t="shared" si="400"/>
        <v>2400</v>
      </c>
      <c r="EP170">
        <f t="shared" si="457"/>
        <v>50000</v>
      </c>
      <c r="EQ170">
        <v>0</v>
      </c>
      <c r="ER170">
        <f t="shared" si="410"/>
        <v>507620</v>
      </c>
      <c r="ES170">
        <f t="shared" si="401"/>
        <v>36000</v>
      </c>
      <c r="ET170">
        <f t="shared" si="402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458"/>
        <v>36000</v>
      </c>
      <c r="FF170">
        <f t="shared" si="459"/>
        <v>36000</v>
      </c>
      <c r="FG170">
        <f t="shared" si="460"/>
        <v>471620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403"/>
        <v>0</v>
      </c>
      <c r="FP170">
        <f t="shared" si="461"/>
        <v>471620</v>
      </c>
      <c r="FQ170">
        <f t="shared" si="462"/>
        <v>11081</v>
      </c>
      <c r="FR170">
        <f t="shared" si="463"/>
        <v>0</v>
      </c>
      <c r="FS170">
        <f t="shared" si="464"/>
        <v>11081</v>
      </c>
      <c r="FT170">
        <f t="shared" si="465"/>
        <v>0</v>
      </c>
      <c r="FU170">
        <f t="shared" si="466"/>
        <v>0</v>
      </c>
      <c r="FV170">
        <f t="shared" si="467"/>
        <v>0</v>
      </c>
      <c r="FW170">
        <v>0</v>
      </c>
      <c r="FX170">
        <f t="shared" si="468"/>
        <v>0</v>
      </c>
      <c r="FY170" t="b">
        <f t="shared" si="469"/>
        <v>1</v>
      </c>
      <c r="FZ170">
        <f t="shared" ca="1" si="470"/>
        <v>737</v>
      </c>
      <c r="GA170">
        <f t="shared" ca="1" si="471"/>
        <v>560757</v>
      </c>
      <c r="GB170">
        <f t="shared" si="472"/>
        <v>75000</v>
      </c>
      <c r="GC170">
        <f t="shared" ca="1" si="473"/>
        <v>485757</v>
      </c>
      <c r="GD170">
        <f t="shared" ca="1" si="474"/>
        <v>0</v>
      </c>
      <c r="GE170">
        <f t="shared" ca="1" si="475"/>
        <v>0</v>
      </c>
      <c r="GF170">
        <f t="shared" ca="1" si="476"/>
        <v>0</v>
      </c>
      <c r="GG170">
        <f t="shared" ca="1" si="477"/>
        <v>0</v>
      </c>
      <c r="GH170">
        <f t="shared" ca="1" si="478"/>
        <v>0</v>
      </c>
      <c r="GI170">
        <f t="shared" ca="1" si="479"/>
        <v>0</v>
      </c>
      <c r="GJ170">
        <f t="shared" ca="1" si="404"/>
        <v>0</v>
      </c>
      <c r="GK170">
        <f t="shared" ca="1" si="480"/>
        <v>0</v>
      </c>
      <c r="GL170">
        <f t="shared" ca="1" si="481"/>
        <v>0</v>
      </c>
      <c r="GM170">
        <f t="shared" ca="1" si="482"/>
        <v>0</v>
      </c>
      <c r="GN170">
        <f t="shared" ca="1" si="483"/>
        <v>85757</v>
      </c>
      <c r="GO170">
        <f t="shared" ca="1" si="484"/>
        <v>4287.8500000000004</v>
      </c>
      <c r="GP170">
        <f t="shared" ca="1" si="485"/>
        <v>4288</v>
      </c>
      <c r="GQ170">
        <f t="shared" ca="1" si="486"/>
        <v>0</v>
      </c>
      <c r="GR170">
        <f t="shared" ca="1" si="487"/>
        <v>0</v>
      </c>
      <c r="GS170">
        <f t="shared" ca="1" si="488"/>
        <v>4288</v>
      </c>
      <c r="GT170">
        <f t="shared" ca="1" si="489"/>
        <v>0</v>
      </c>
      <c r="GU170" t="b">
        <f t="shared" ca="1" si="490"/>
        <v>0</v>
      </c>
      <c r="GV170">
        <f t="shared" ca="1" si="491"/>
        <v>0</v>
      </c>
      <c r="GW170">
        <f t="shared" ca="1" si="492"/>
        <v>4288</v>
      </c>
      <c r="GX170">
        <f t="shared" ca="1" si="493"/>
        <v>0</v>
      </c>
      <c r="GY170">
        <f t="shared" ca="1" si="494"/>
        <v>0</v>
      </c>
      <c r="GZ170">
        <f t="shared" ca="1" si="495"/>
        <v>0</v>
      </c>
    </row>
    <row r="171" spans="1:208" x14ac:dyDescent="0.3">
      <c r="A171">
        <f>_xlfn.AGGREGATE(3,5,$B$2:B171)</f>
        <v>170</v>
      </c>
      <c r="B171" t="s">
        <v>447</v>
      </c>
      <c r="C171" t="s">
        <v>448</v>
      </c>
      <c r="D171" t="s">
        <v>794</v>
      </c>
      <c r="E171" t="s">
        <v>830</v>
      </c>
      <c r="F171" t="s">
        <v>956</v>
      </c>
      <c r="G171" t="s">
        <v>878</v>
      </c>
      <c r="H171">
        <f t="shared" si="498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412"/>
        <v>3780.0000000000005</v>
      </c>
      <c r="L171">
        <f t="shared" si="413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389"/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496"/>
        <v>150</v>
      </c>
      <c r="S171">
        <f t="shared" si="405"/>
        <v>32370</v>
      </c>
      <c r="T171">
        <f>_xlfn.XLOOKUP(B171,'[2]april-2025'!$A:$A,'[2]april-2025'!$C:$C,0,0)</f>
        <v>27000</v>
      </c>
      <c r="U171">
        <f t="shared" si="414"/>
        <v>4860</v>
      </c>
      <c r="V171">
        <f t="shared" si="415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406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416"/>
        <v>150</v>
      </c>
      <c r="AC171">
        <f t="shared" si="417"/>
        <v>33450</v>
      </c>
      <c r="AD171">
        <f>_xlfn.XLOOKUP(B171,'[3]may-2025'!$A:$A,'[3]may-2025'!$C:$C,0,0)</f>
        <v>27000</v>
      </c>
      <c r="AE171">
        <f t="shared" si="418"/>
        <v>4860</v>
      </c>
      <c r="AF171">
        <f t="shared" si="419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407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420"/>
        <v>150</v>
      </c>
      <c r="AM171">
        <f t="shared" si="421"/>
        <v>33450</v>
      </c>
      <c r="AN171">
        <f>_xlfn.XLOOKUP(B171,'[4]june-2025'!$A:$A,'[4]june-2025'!$C:$C,0,0)</f>
        <v>27000</v>
      </c>
      <c r="AO171">
        <f t="shared" si="422"/>
        <v>4860</v>
      </c>
      <c r="AP171">
        <f t="shared" si="423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408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424"/>
        <v>150</v>
      </c>
      <c r="AW171">
        <f t="shared" si="425"/>
        <v>33450</v>
      </c>
      <c r="AX171">
        <f>_xlfn.XLOOKUP(B171,'[5]july-2025'!$A:$A,'[5]july-2025'!$C:$C,0,0)</f>
        <v>0</v>
      </c>
      <c r="AY171">
        <f t="shared" si="426"/>
        <v>0</v>
      </c>
      <c r="AZ171">
        <v>0</v>
      </c>
      <c r="BA171">
        <f t="shared" si="427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390"/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428"/>
        <v>0</v>
      </c>
      <c r="BH171">
        <f t="shared" si="429"/>
        <v>0</v>
      </c>
      <c r="BI171">
        <f>_xlfn.XLOOKUP(B171,'[6]august-2025'!$A:$A,'[6]august-2025'!$C:$C,0,0)</f>
        <v>0</v>
      </c>
      <c r="BJ171">
        <f t="shared" si="430"/>
        <v>0</v>
      </c>
      <c r="BK171">
        <f t="shared" si="431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432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 t="shared" si="391"/>
        <v>0</v>
      </c>
      <c r="BR171">
        <f t="shared" si="392"/>
        <v>0</v>
      </c>
      <c r="BS171">
        <f>_xlfn.XLOOKUP(B171,'[7]september-2025'!$A:$A,'[7]september-2025'!$C:$C,0,0)</f>
        <v>0</v>
      </c>
      <c r="BT171">
        <f t="shared" si="433"/>
        <v>0</v>
      </c>
      <c r="BU171">
        <f t="shared" si="434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393"/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435"/>
        <v>0</v>
      </c>
      <c r="CB171">
        <f t="shared" si="436"/>
        <v>0</v>
      </c>
      <c r="CC171">
        <f>_xlfn.XLOOKUP(B171,'[8]october-2025'!$A:$A,'[8]october-2025'!$C:$C,0,0)</f>
        <v>0</v>
      </c>
      <c r="CD171">
        <f t="shared" si="437"/>
        <v>0</v>
      </c>
      <c r="CE171">
        <f t="shared" si="438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394"/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439"/>
        <v>0</v>
      </c>
      <c r="CL171">
        <f t="shared" si="440"/>
        <v>0</v>
      </c>
      <c r="CM171">
        <f>_xlfn.XLOOKUP(B171,'[9]november-2025'!$A:$A,'[9]november-2025'!$C:$C,0,0)</f>
        <v>0</v>
      </c>
      <c r="CN171">
        <f t="shared" si="441"/>
        <v>0</v>
      </c>
      <c r="CO171">
        <f t="shared" si="442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395"/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443"/>
        <v>0</v>
      </c>
      <c r="CV171">
        <f t="shared" si="444"/>
        <v>0</v>
      </c>
      <c r="CW171">
        <f>_xlfn.XLOOKUP(B171,'[10]december-2025'!$A:$A,'[10]december-2025'!$C:$C,0,0)</f>
        <v>0</v>
      </c>
      <c r="CX171">
        <f t="shared" si="445"/>
        <v>0</v>
      </c>
      <c r="CY171">
        <f t="shared" si="446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396"/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447"/>
        <v>0</v>
      </c>
      <c r="DF171">
        <f t="shared" si="448"/>
        <v>0</v>
      </c>
      <c r="DG171">
        <f>_xlfn.XLOOKUP(B171,'[11]january-2026'!$A:$A,'[11]january-2026'!$C:$C,0,0)</f>
        <v>0</v>
      </c>
      <c r="DH171">
        <f t="shared" si="449"/>
        <v>0</v>
      </c>
      <c r="DI171">
        <f t="shared" si="450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397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51"/>
        <v>0</v>
      </c>
      <c r="DP171">
        <f t="shared" si="452"/>
        <v>0</v>
      </c>
      <c r="DQ171">
        <f>_xlfn.XLOOKUP(B171,'[12]february-2026'!$A:$A,'[12]february-2026'!$C:$C,0,0)</f>
        <v>0</v>
      </c>
      <c r="DR171">
        <f t="shared" si="453"/>
        <v>0</v>
      </c>
      <c r="DS171">
        <f t="shared" si="454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398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55"/>
        <v>0</v>
      </c>
      <c r="DZ171">
        <f t="shared" si="456"/>
        <v>0</v>
      </c>
      <c r="EA171">
        <f>_xlfn.XLOOKUP(B171,'[1]march-2025'!$A:$A,'[1]march-2025'!$J:$J,0,0)</f>
        <v>0</v>
      </c>
      <c r="EB171">
        <f>_xlfn.XLOOKUP(B171,'[2]april-2025'!$A:$A,'[2]april-2025'!$J:$J,0,0)</f>
        <v>0</v>
      </c>
      <c r="EC171">
        <f>_xlfn.XLOOKUP(B171,'[3]may-2025'!$A:$A,'[3]may-2025'!$J:$J,0,0)</f>
        <v>0</v>
      </c>
      <c r="ED171">
        <f>_xlfn.XLOOKUP(B171,'[4]june-2025'!$A:$A,'[4]june-2025'!$J:$J,0,0)</f>
        <v>0</v>
      </c>
      <c r="EE171">
        <f>_xlfn.XLOOKUP(B171,'[5]july-2025'!$A:$A,'[5]july-2025'!$J:$J,0,0)</f>
        <v>0</v>
      </c>
      <c r="EF171">
        <f>_xlfn.XLOOKUP(B171,'[6]august-2025'!$A:$A,'[6]august-2025'!$J:$J,0,0)</f>
        <v>0</v>
      </c>
      <c r="EG171">
        <f>_xlfn.XLOOKUP(B171,'[7]september-2025'!$A:$A,'[7]september-2025'!$J:$J,0,0)</f>
        <v>0</v>
      </c>
      <c r="EH171">
        <f>_xlfn.XLOOKUP(B171,'[8]october-2025'!$A:$A,'[8]october-2025'!$J:$J,0,0)</f>
        <v>0</v>
      </c>
      <c r="EI171">
        <f>_xlfn.XLOOKUP(C171,'[9]november-2025'!$A:$A,'[9]november-2025'!$J:$J,0,0)</f>
        <v>0</v>
      </c>
      <c r="EJ171">
        <f>_xlfn.XLOOKUP(B171,'[10]december-2025'!$A:$A,'[10]december-2025'!$J:$J,0,0)</f>
        <v>0</v>
      </c>
      <c r="EK171">
        <f>_xlfn.XLOOKUP(B171,'[11]january-2026'!$A:$A,'[11]january-2026'!$J:$J,0,0)</f>
        <v>0</v>
      </c>
      <c r="EL171">
        <f>_xlfn.XLOOKUP(B171,'[12]february-2026'!$A:$A,'[12]february-2026'!$J:$J,0,0)</f>
        <v>0</v>
      </c>
      <c r="EM171">
        <f t="shared" si="409"/>
        <v>0</v>
      </c>
      <c r="EN171">
        <f t="shared" si="399"/>
        <v>148120</v>
      </c>
      <c r="EO171">
        <f t="shared" si="400"/>
        <v>600</v>
      </c>
      <c r="EP171">
        <f t="shared" si="457"/>
        <v>50000</v>
      </c>
      <c r="EQ171">
        <v>0</v>
      </c>
      <c r="ER171">
        <f t="shared" si="410"/>
        <v>97520</v>
      </c>
      <c r="ES171">
        <f t="shared" si="401"/>
        <v>8000</v>
      </c>
      <c r="ET171">
        <f t="shared" si="402"/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si="458"/>
        <v>8000</v>
      </c>
      <c r="FF171">
        <f t="shared" si="459"/>
        <v>8000</v>
      </c>
      <c r="FG171">
        <f t="shared" si="460"/>
        <v>89520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si="403"/>
        <v>0</v>
      </c>
      <c r="FP171">
        <f t="shared" si="461"/>
        <v>89520</v>
      </c>
      <c r="FQ171">
        <f t="shared" si="462"/>
        <v>-8024</v>
      </c>
      <c r="FR171">
        <f t="shared" si="463"/>
        <v>0</v>
      </c>
      <c r="FS171">
        <f t="shared" si="464"/>
        <v>-8024</v>
      </c>
      <c r="FT171">
        <f t="shared" si="465"/>
        <v>0</v>
      </c>
      <c r="FU171">
        <f t="shared" si="466"/>
        <v>0</v>
      </c>
      <c r="FV171">
        <f t="shared" si="467"/>
        <v>0</v>
      </c>
      <c r="FW171">
        <v>0</v>
      </c>
      <c r="FX171">
        <f t="shared" si="468"/>
        <v>0</v>
      </c>
      <c r="FY171" t="b">
        <f t="shared" si="469"/>
        <v>0</v>
      </c>
      <c r="FZ171">
        <f t="shared" ca="1" si="470"/>
        <v>2078</v>
      </c>
      <c r="GA171">
        <f t="shared" ca="1" si="471"/>
        <v>150198</v>
      </c>
      <c r="GB171">
        <f t="shared" si="472"/>
        <v>75000</v>
      </c>
      <c r="GC171">
        <f t="shared" ca="1" si="473"/>
        <v>75198</v>
      </c>
      <c r="GD171">
        <f t="shared" ca="1" si="474"/>
        <v>0</v>
      </c>
      <c r="GE171">
        <f t="shared" ca="1" si="475"/>
        <v>0</v>
      </c>
      <c r="GF171">
        <f t="shared" ca="1" si="476"/>
        <v>0</v>
      </c>
      <c r="GG171">
        <f t="shared" ca="1" si="477"/>
        <v>0</v>
      </c>
      <c r="GH171">
        <f t="shared" ca="1" si="478"/>
        <v>0</v>
      </c>
      <c r="GI171">
        <f t="shared" ca="1" si="479"/>
        <v>0</v>
      </c>
      <c r="GJ171">
        <f t="shared" ca="1" si="404"/>
        <v>0</v>
      </c>
      <c r="GK171">
        <f t="shared" ca="1" si="480"/>
        <v>0</v>
      </c>
      <c r="GL171">
        <f t="shared" ca="1" si="481"/>
        <v>0</v>
      </c>
      <c r="GM171">
        <f t="shared" ca="1" si="482"/>
        <v>0</v>
      </c>
      <c r="GN171">
        <f t="shared" ca="1" si="483"/>
        <v>0</v>
      </c>
      <c r="GO171">
        <f t="shared" ca="1" si="484"/>
        <v>0</v>
      </c>
      <c r="GP171">
        <f t="shared" ca="1" si="485"/>
        <v>0</v>
      </c>
      <c r="GQ171">
        <f t="shared" ca="1" si="486"/>
        <v>0</v>
      </c>
      <c r="GR171">
        <f t="shared" ca="1" si="487"/>
        <v>0</v>
      </c>
      <c r="GS171">
        <f t="shared" ca="1" si="488"/>
        <v>0</v>
      </c>
      <c r="GT171">
        <f t="shared" ca="1" si="489"/>
        <v>0</v>
      </c>
      <c r="GU171" t="b">
        <f t="shared" ca="1" si="490"/>
        <v>0</v>
      </c>
      <c r="GV171">
        <f t="shared" ca="1" si="491"/>
        <v>0</v>
      </c>
      <c r="GW171">
        <f t="shared" ca="1" si="492"/>
        <v>0</v>
      </c>
      <c r="GX171">
        <f t="shared" ca="1" si="493"/>
        <v>0</v>
      </c>
      <c r="GY171">
        <f t="shared" ca="1" si="494"/>
        <v>0</v>
      </c>
      <c r="GZ171">
        <f t="shared" ca="1" si="495"/>
        <v>0</v>
      </c>
    </row>
    <row r="172" spans="1:208" x14ac:dyDescent="0.3">
      <c r="A172">
        <f>_xlfn.AGGREGATE(3,5,$B$2:B172)</f>
        <v>171</v>
      </c>
      <c r="B172" t="s">
        <v>449</v>
      </c>
      <c r="C172" t="s">
        <v>450</v>
      </c>
      <c r="D172" t="s">
        <v>794</v>
      </c>
      <c r="E172" t="s">
        <v>830</v>
      </c>
      <c r="F172" t="s">
        <v>956</v>
      </c>
      <c r="G172" t="s">
        <v>878</v>
      </c>
      <c r="H172">
        <f t="shared" si="498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412"/>
        <v>4424</v>
      </c>
      <c r="L172">
        <f t="shared" si="413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 t="shared" si="389"/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496"/>
        <v>200</v>
      </c>
      <c r="S172">
        <f t="shared" si="405"/>
        <v>38116</v>
      </c>
      <c r="T172">
        <f>_xlfn.XLOOKUP(B172,'[2]april-2025'!$A:$A,'[2]april-2025'!$C:$C,0,0)</f>
        <v>31600</v>
      </c>
      <c r="U172">
        <f t="shared" si="414"/>
        <v>5688</v>
      </c>
      <c r="V172">
        <f t="shared" si="415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406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416"/>
        <v>200</v>
      </c>
      <c r="AC172">
        <f t="shared" si="417"/>
        <v>39380</v>
      </c>
      <c r="AD172">
        <f>_xlfn.XLOOKUP(B172,'[3]may-2025'!$A:$A,'[3]may-2025'!$C:$C,0,0)</f>
        <v>31600</v>
      </c>
      <c r="AE172">
        <f t="shared" si="418"/>
        <v>5688</v>
      </c>
      <c r="AF172">
        <f t="shared" si="419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407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420"/>
        <v>200</v>
      </c>
      <c r="AM172">
        <f t="shared" si="421"/>
        <v>39380</v>
      </c>
      <c r="AN172">
        <f>_xlfn.XLOOKUP(B172,'[4]june-2025'!$A:$A,'[4]june-2025'!$C:$C,0,0)</f>
        <v>31600</v>
      </c>
      <c r="AO172">
        <f t="shared" si="422"/>
        <v>5688</v>
      </c>
      <c r="AP172">
        <f t="shared" si="423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408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424"/>
        <v>200</v>
      </c>
      <c r="AW172">
        <f t="shared" si="425"/>
        <v>39380</v>
      </c>
      <c r="AX172">
        <f>_xlfn.XLOOKUP(B172,'[5]july-2025'!$A:$A,'[5]july-2025'!$C:$C,0,0)</f>
        <v>32500</v>
      </c>
      <c r="AY172">
        <f t="shared" si="426"/>
        <v>5850</v>
      </c>
      <c r="AZ172">
        <v>0</v>
      </c>
      <c r="BA172">
        <f t="shared" si="427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 t="shared" si="390"/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428"/>
        <v>200</v>
      </c>
      <c r="BH172">
        <f t="shared" si="429"/>
        <v>40550</v>
      </c>
      <c r="BI172">
        <f>_xlfn.XLOOKUP(B172,'[6]august-2025'!$A:$A,'[6]august-2025'!$C:$C,0,0)</f>
        <v>32500</v>
      </c>
      <c r="BJ172">
        <f t="shared" si="430"/>
        <v>5850</v>
      </c>
      <c r="BK172">
        <f t="shared" si="431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432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 t="shared" si="391"/>
        <v>200</v>
      </c>
      <c r="BR172">
        <f t="shared" si="392"/>
        <v>40550</v>
      </c>
      <c r="BS172">
        <f>_xlfn.XLOOKUP(B172,'[7]september-2025'!$A:$A,'[7]september-2025'!$C:$C,0,0)</f>
        <v>32500</v>
      </c>
      <c r="BT172">
        <f t="shared" si="433"/>
        <v>5850</v>
      </c>
      <c r="BU172">
        <f t="shared" si="434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 t="shared" si="393"/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435"/>
        <v>200</v>
      </c>
      <c r="CB172">
        <f t="shared" si="436"/>
        <v>40550</v>
      </c>
      <c r="CC172">
        <f>_xlfn.XLOOKUP(B172,'[8]october-2025'!$A:$A,'[8]october-2025'!$C:$C,0,0)</f>
        <v>32500</v>
      </c>
      <c r="CD172">
        <f t="shared" si="437"/>
        <v>5850</v>
      </c>
      <c r="CE172">
        <f t="shared" si="438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 t="shared" si="394"/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439"/>
        <v>200</v>
      </c>
      <c r="CL172">
        <f t="shared" si="440"/>
        <v>40550</v>
      </c>
      <c r="CM172">
        <f>_xlfn.XLOOKUP(B172,'[9]november-2025'!$A:$A,'[9]november-2025'!$C:$C,0,0)</f>
        <v>32500</v>
      </c>
      <c r="CN172">
        <f t="shared" si="441"/>
        <v>5850</v>
      </c>
      <c r="CO172">
        <f t="shared" si="442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 t="shared" si="395"/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443"/>
        <v>200</v>
      </c>
      <c r="CV172">
        <f t="shared" si="444"/>
        <v>40550</v>
      </c>
      <c r="CW172">
        <f>_xlfn.XLOOKUP(B172,'[10]december-2025'!$A:$A,'[10]december-2025'!$C:$C,0,0)</f>
        <v>32500</v>
      </c>
      <c r="CX172">
        <f t="shared" si="445"/>
        <v>5850</v>
      </c>
      <c r="CY172">
        <f t="shared" si="446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 t="shared" si="396"/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447"/>
        <v>200</v>
      </c>
      <c r="DF172">
        <f t="shared" si="448"/>
        <v>40550</v>
      </c>
      <c r="DG172">
        <f>_xlfn.XLOOKUP(B172,'[11]january-2026'!$A:$A,'[11]january-2026'!$C:$C,0,0)</f>
        <v>32500</v>
      </c>
      <c r="DH172">
        <f t="shared" si="449"/>
        <v>5850</v>
      </c>
      <c r="DI172">
        <f t="shared" si="450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397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51"/>
        <v>200</v>
      </c>
      <c r="DP172">
        <f t="shared" si="452"/>
        <v>40550</v>
      </c>
      <c r="DQ172">
        <f>_xlfn.XLOOKUP(B172,'[12]february-2026'!$A:$A,'[12]february-2026'!$C:$C,0,0)</f>
        <v>32500</v>
      </c>
      <c r="DR172">
        <f t="shared" si="453"/>
        <v>5850</v>
      </c>
      <c r="DS172">
        <f t="shared" si="454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398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55"/>
        <v>200</v>
      </c>
      <c r="DZ172">
        <f t="shared" si="456"/>
        <v>40550</v>
      </c>
      <c r="EA172">
        <f>_xlfn.XLOOKUP(B172,'[1]march-2025'!$A:$A,'[1]march-2025'!$J:$J,0,0)</f>
        <v>0</v>
      </c>
      <c r="EB172">
        <f>_xlfn.XLOOKUP(B172,'[2]april-2025'!$A:$A,'[2]april-2025'!$J:$J,0,0)</f>
        <v>0</v>
      </c>
      <c r="EC172">
        <f>_xlfn.XLOOKUP(B172,'[3]may-2025'!$A:$A,'[3]may-2025'!$J:$J,0,0)</f>
        <v>0</v>
      </c>
      <c r="ED172">
        <f>_xlfn.XLOOKUP(B172,'[4]june-2025'!$A:$A,'[4]june-2025'!$J:$J,0,0)</f>
        <v>0</v>
      </c>
      <c r="EE172">
        <f>_xlfn.XLOOKUP(B172,'[5]july-2025'!$A:$A,'[5]july-2025'!$J:$J,0,0)</f>
        <v>0</v>
      </c>
      <c r="EF172">
        <f>_xlfn.XLOOKUP(B172,'[6]august-2025'!$A:$A,'[6]august-2025'!$J:$J,0,0)</f>
        <v>0</v>
      </c>
      <c r="EG172">
        <f>_xlfn.XLOOKUP(B172,'[7]september-2025'!$A:$A,'[7]september-2025'!$J:$J,0,0)</f>
        <v>0</v>
      </c>
      <c r="EH172">
        <f>_xlfn.XLOOKUP(B172,'[8]october-2025'!$A:$A,'[8]october-2025'!$J:$J,0,0)</f>
        <v>0</v>
      </c>
      <c r="EI172">
        <f>_xlfn.XLOOKUP(C172,'[9]november-2025'!$A:$A,'[9]november-2025'!$J:$J,0,0)</f>
        <v>0</v>
      </c>
      <c r="EJ172">
        <f>_xlfn.XLOOKUP(B172,'[10]december-2025'!$A:$A,'[10]december-2025'!$J:$J,0,0)</f>
        <v>0</v>
      </c>
      <c r="EK172">
        <f>_xlfn.XLOOKUP(B172,'[11]january-2026'!$A:$A,'[11]january-2026'!$J:$J,0,0)</f>
        <v>0</v>
      </c>
      <c r="EL172">
        <f>_xlfn.XLOOKUP(B172,'[12]february-2026'!$A:$A,'[12]february-2026'!$J:$J,0,0)</f>
        <v>0</v>
      </c>
      <c r="EM172">
        <f t="shared" si="409"/>
        <v>0</v>
      </c>
      <c r="EN172">
        <f t="shared" si="399"/>
        <v>513856</v>
      </c>
      <c r="EO172">
        <f t="shared" si="400"/>
        <v>2400</v>
      </c>
      <c r="EP172">
        <f t="shared" si="457"/>
        <v>50000</v>
      </c>
      <c r="EQ172">
        <v>0</v>
      </c>
      <c r="ER172">
        <f t="shared" si="410"/>
        <v>461456</v>
      </c>
      <c r="ES172">
        <f t="shared" si="401"/>
        <v>24000</v>
      </c>
      <c r="ET172">
        <f t="shared" si="402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458"/>
        <v>24000</v>
      </c>
      <c r="FF172">
        <f t="shared" si="459"/>
        <v>24000</v>
      </c>
      <c r="FG172">
        <f t="shared" si="460"/>
        <v>437456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403"/>
        <v>0</v>
      </c>
      <c r="FP172">
        <f t="shared" si="461"/>
        <v>437456</v>
      </c>
      <c r="FQ172">
        <f t="shared" si="462"/>
        <v>9373</v>
      </c>
      <c r="FR172">
        <f t="shared" si="463"/>
        <v>0</v>
      </c>
      <c r="FS172">
        <f t="shared" si="464"/>
        <v>9373</v>
      </c>
      <c r="FT172">
        <f t="shared" si="465"/>
        <v>0</v>
      </c>
      <c r="FU172">
        <f t="shared" si="466"/>
        <v>0</v>
      </c>
      <c r="FV172">
        <f t="shared" si="467"/>
        <v>0</v>
      </c>
      <c r="FW172">
        <v>0</v>
      </c>
      <c r="FX172">
        <f t="shared" si="468"/>
        <v>0</v>
      </c>
      <c r="FY172" t="b">
        <f t="shared" si="469"/>
        <v>1</v>
      </c>
      <c r="FZ172">
        <f t="shared" ca="1" si="470"/>
        <v>708</v>
      </c>
      <c r="GA172">
        <f t="shared" ca="1" si="471"/>
        <v>514564</v>
      </c>
      <c r="GB172">
        <f t="shared" si="472"/>
        <v>75000</v>
      </c>
      <c r="GC172">
        <f t="shared" ca="1" si="473"/>
        <v>439564</v>
      </c>
      <c r="GD172">
        <f t="shared" ca="1" si="474"/>
        <v>0</v>
      </c>
      <c r="GE172">
        <f t="shared" ca="1" si="475"/>
        <v>0</v>
      </c>
      <c r="GF172">
        <f t="shared" ca="1" si="476"/>
        <v>0</v>
      </c>
      <c r="GG172">
        <f t="shared" ca="1" si="477"/>
        <v>0</v>
      </c>
      <c r="GH172">
        <f t="shared" ca="1" si="478"/>
        <v>0</v>
      </c>
      <c r="GI172">
        <f t="shared" ca="1" si="479"/>
        <v>0</v>
      </c>
      <c r="GJ172">
        <f t="shared" ca="1" si="404"/>
        <v>0</v>
      </c>
      <c r="GK172">
        <f t="shared" ca="1" si="480"/>
        <v>0</v>
      </c>
      <c r="GL172">
        <f t="shared" ca="1" si="481"/>
        <v>0</v>
      </c>
      <c r="GM172">
        <f t="shared" ca="1" si="482"/>
        <v>0</v>
      </c>
      <c r="GN172">
        <f t="shared" ca="1" si="483"/>
        <v>39564</v>
      </c>
      <c r="GO172">
        <f t="shared" ca="1" si="484"/>
        <v>1978.2</v>
      </c>
      <c r="GP172">
        <f t="shared" ca="1" si="485"/>
        <v>1978</v>
      </c>
      <c r="GQ172">
        <f t="shared" ca="1" si="486"/>
        <v>0</v>
      </c>
      <c r="GR172">
        <f t="shared" ca="1" si="487"/>
        <v>0</v>
      </c>
      <c r="GS172">
        <f t="shared" ca="1" si="488"/>
        <v>1978</v>
      </c>
      <c r="GT172">
        <f t="shared" ca="1" si="489"/>
        <v>0</v>
      </c>
      <c r="GU172" t="b">
        <f t="shared" ca="1" si="490"/>
        <v>0</v>
      </c>
      <c r="GV172">
        <f t="shared" ca="1" si="491"/>
        <v>0</v>
      </c>
      <c r="GW172">
        <f t="shared" ca="1" si="492"/>
        <v>1978</v>
      </c>
      <c r="GX172">
        <f t="shared" ca="1" si="493"/>
        <v>0</v>
      </c>
      <c r="GY172">
        <f t="shared" ca="1" si="494"/>
        <v>0</v>
      </c>
      <c r="GZ172">
        <f t="shared" ca="1" si="495"/>
        <v>0</v>
      </c>
    </row>
    <row r="173" spans="1:208" x14ac:dyDescent="0.3">
      <c r="A173">
        <f>_xlfn.AGGREGATE(3,5,$B$2:B173)</f>
        <v>172</v>
      </c>
      <c r="B173" t="s">
        <v>451</v>
      </c>
      <c r="C173" t="s">
        <v>452</v>
      </c>
      <c r="D173" t="s">
        <v>794</v>
      </c>
      <c r="E173" t="s">
        <v>830</v>
      </c>
      <c r="F173" t="s">
        <v>956</v>
      </c>
      <c r="G173" t="s">
        <v>892</v>
      </c>
      <c r="H173">
        <f t="shared" si="498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412"/>
        <v>4830.0000000000009</v>
      </c>
      <c r="L173">
        <f t="shared" si="413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 t="shared" si="389"/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496"/>
        <v>200</v>
      </c>
      <c r="S173">
        <f t="shared" si="405"/>
        <v>40270</v>
      </c>
      <c r="T173">
        <f>_xlfn.XLOOKUP(B173,'[2]april-2025'!$A:$A,'[2]april-2025'!$C:$C,0,0)</f>
        <v>34500</v>
      </c>
      <c r="U173">
        <f t="shared" si="414"/>
        <v>6210</v>
      </c>
      <c r="V173">
        <f t="shared" si="415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406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416"/>
        <v>200</v>
      </c>
      <c r="AC173">
        <f t="shared" si="417"/>
        <v>41650</v>
      </c>
      <c r="AD173">
        <f>_xlfn.XLOOKUP(B173,'[3]may-2025'!$A:$A,'[3]may-2025'!$C:$C,0,0)</f>
        <v>34500</v>
      </c>
      <c r="AE173">
        <f t="shared" si="418"/>
        <v>6210</v>
      </c>
      <c r="AF173">
        <f t="shared" si="419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407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420"/>
        <v>200</v>
      </c>
      <c r="AM173">
        <f t="shared" si="421"/>
        <v>41650</v>
      </c>
      <c r="AN173">
        <f>_xlfn.XLOOKUP(B173,'[4]june-2025'!$A:$A,'[4]june-2025'!$C:$C,0,0)</f>
        <v>34500</v>
      </c>
      <c r="AO173">
        <f t="shared" si="422"/>
        <v>6210</v>
      </c>
      <c r="AP173">
        <f t="shared" si="423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408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424"/>
        <v>200</v>
      </c>
      <c r="AW173">
        <f t="shared" si="425"/>
        <v>41650</v>
      </c>
      <c r="AX173">
        <f>_xlfn.XLOOKUP(B173,'[5]july-2025'!$A:$A,'[5]july-2025'!$C:$C,0,0)</f>
        <v>35500</v>
      </c>
      <c r="AY173">
        <f t="shared" si="426"/>
        <v>6390</v>
      </c>
      <c r="AZ173">
        <v>0</v>
      </c>
      <c r="BA173">
        <f t="shared" si="427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 t="shared" si="390"/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428"/>
        <v>200</v>
      </c>
      <c r="BH173">
        <f t="shared" si="429"/>
        <v>42950</v>
      </c>
      <c r="BI173">
        <f>_xlfn.XLOOKUP(B173,'[6]august-2025'!$A:$A,'[6]august-2025'!$C:$C,0,0)</f>
        <v>35500</v>
      </c>
      <c r="BJ173">
        <f t="shared" si="430"/>
        <v>6390</v>
      </c>
      <c r="BK173">
        <f t="shared" si="431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432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 t="shared" si="391"/>
        <v>200</v>
      </c>
      <c r="BR173">
        <f t="shared" si="392"/>
        <v>42950</v>
      </c>
      <c r="BS173">
        <f>_xlfn.XLOOKUP(B173,'[7]september-2025'!$A:$A,'[7]september-2025'!$C:$C,0,0)</f>
        <v>35500</v>
      </c>
      <c r="BT173">
        <f t="shared" si="433"/>
        <v>6390</v>
      </c>
      <c r="BU173">
        <f t="shared" si="434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 t="shared" si="393"/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435"/>
        <v>200</v>
      </c>
      <c r="CB173">
        <f t="shared" si="436"/>
        <v>42950</v>
      </c>
      <c r="CC173">
        <f>_xlfn.XLOOKUP(B173,'[8]october-2025'!$A:$A,'[8]october-2025'!$C:$C,0,0)</f>
        <v>35500</v>
      </c>
      <c r="CD173">
        <f t="shared" si="437"/>
        <v>6390</v>
      </c>
      <c r="CE173">
        <f t="shared" si="438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 t="shared" si="394"/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439"/>
        <v>200</v>
      </c>
      <c r="CL173">
        <f t="shared" si="440"/>
        <v>42950</v>
      </c>
      <c r="CM173">
        <f>_xlfn.XLOOKUP(B173,'[9]november-2025'!$A:$A,'[9]november-2025'!$C:$C,0,0)</f>
        <v>35500</v>
      </c>
      <c r="CN173">
        <f t="shared" si="441"/>
        <v>6390</v>
      </c>
      <c r="CO173">
        <f t="shared" si="442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 t="shared" si="395"/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443"/>
        <v>200</v>
      </c>
      <c r="CV173">
        <f t="shared" si="444"/>
        <v>42950</v>
      </c>
      <c r="CW173">
        <f>_xlfn.XLOOKUP(B173,'[10]december-2025'!$A:$A,'[10]december-2025'!$C:$C,0,0)</f>
        <v>35500</v>
      </c>
      <c r="CX173">
        <f t="shared" si="445"/>
        <v>6390</v>
      </c>
      <c r="CY173">
        <f t="shared" si="446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 t="shared" si="396"/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447"/>
        <v>200</v>
      </c>
      <c r="DF173">
        <f t="shared" si="448"/>
        <v>42950</v>
      </c>
      <c r="DG173">
        <f>_xlfn.XLOOKUP(B173,'[11]january-2026'!$A:$A,'[11]january-2026'!$C:$C,0,0)</f>
        <v>35500</v>
      </c>
      <c r="DH173">
        <f t="shared" si="449"/>
        <v>6390</v>
      </c>
      <c r="DI173">
        <f t="shared" si="450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397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51"/>
        <v>200</v>
      </c>
      <c r="DP173">
        <f t="shared" si="452"/>
        <v>42950</v>
      </c>
      <c r="DQ173">
        <f>_xlfn.XLOOKUP(B173,'[12]february-2026'!$A:$A,'[12]february-2026'!$C:$C,0,0)</f>
        <v>35500</v>
      </c>
      <c r="DR173">
        <f t="shared" si="453"/>
        <v>6390</v>
      </c>
      <c r="DS173">
        <f t="shared" si="454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398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55"/>
        <v>200</v>
      </c>
      <c r="DZ173">
        <f t="shared" si="456"/>
        <v>42950</v>
      </c>
      <c r="EA173">
        <f>_xlfn.XLOOKUP(B173,'[1]march-2025'!$A:$A,'[1]march-2025'!$J:$J,0,0)</f>
        <v>0</v>
      </c>
      <c r="EB173">
        <f>_xlfn.XLOOKUP(B173,'[2]april-2025'!$A:$A,'[2]april-2025'!$J:$J,0,0)</f>
        <v>0</v>
      </c>
      <c r="EC173">
        <f>_xlfn.XLOOKUP(B173,'[3]may-2025'!$A:$A,'[3]may-2025'!$J:$J,0,0)</f>
        <v>0</v>
      </c>
      <c r="ED173">
        <f>_xlfn.XLOOKUP(B173,'[4]june-2025'!$A:$A,'[4]june-2025'!$J:$J,0,0)</f>
        <v>0</v>
      </c>
      <c r="EE173">
        <f>_xlfn.XLOOKUP(B173,'[5]july-2025'!$A:$A,'[5]july-2025'!$J:$J,0,0)</f>
        <v>0</v>
      </c>
      <c r="EF173">
        <f>_xlfn.XLOOKUP(B173,'[6]august-2025'!$A:$A,'[6]august-2025'!$J:$J,0,0)</f>
        <v>0</v>
      </c>
      <c r="EG173">
        <f>_xlfn.XLOOKUP(B173,'[7]september-2025'!$A:$A,'[7]september-2025'!$J:$J,0,0)</f>
        <v>0</v>
      </c>
      <c r="EH173">
        <f>_xlfn.XLOOKUP(B173,'[8]october-2025'!$A:$A,'[8]october-2025'!$J:$J,0,0)</f>
        <v>0</v>
      </c>
      <c r="EI173">
        <f>_xlfn.XLOOKUP(C173,'[9]november-2025'!$A:$A,'[9]november-2025'!$J:$J,0,0)</f>
        <v>0</v>
      </c>
      <c r="EJ173">
        <f>_xlfn.XLOOKUP(B173,'[10]december-2025'!$A:$A,'[10]december-2025'!$J:$J,0,0)</f>
        <v>0</v>
      </c>
      <c r="EK173">
        <f>_xlfn.XLOOKUP(B173,'[11]january-2026'!$A:$A,'[11]january-2026'!$J:$J,0,0)</f>
        <v>0</v>
      </c>
      <c r="EL173">
        <f>_xlfn.XLOOKUP(B173,'[12]february-2026'!$A:$A,'[12]february-2026'!$J:$J,0,0)</f>
        <v>0</v>
      </c>
      <c r="EM173">
        <f t="shared" si="409"/>
        <v>0</v>
      </c>
      <c r="EN173">
        <f t="shared" si="399"/>
        <v>554020</v>
      </c>
      <c r="EO173">
        <f t="shared" si="400"/>
        <v>2400</v>
      </c>
      <c r="EP173">
        <f t="shared" si="457"/>
        <v>50000</v>
      </c>
      <c r="EQ173">
        <v>0</v>
      </c>
      <c r="ER173">
        <f t="shared" si="410"/>
        <v>501620</v>
      </c>
      <c r="ES173">
        <f t="shared" si="401"/>
        <v>36000</v>
      </c>
      <c r="ET173">
        <f t="shared" si="402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458"/>
        <v>36000</v>
      </c>
      <c r="FF173">
        <f t="shared" si="459"/>
        <v>36000</v>
      </c>
      <c r="FG173">
        <f t="shared" si="460"/>
        <v>465620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403"/>
        <v>0</v>
      </c>
      <c r="FP173">
        <f t="shared" si="461"/>
        <v>465620</v>
      </c>
      <c r="FQ173">
        <f t="shared" si="462"/>
        <v>10781</v>
      </c>
      <c r="FR173">
        <f t="shared" si="463"/>
        <v>0</v>
      </c>
      <c r="FS173">
        <f t="shared" si="464"/>
        <v>10781</v>
      </c>
      <c r="FT173">
        <f t="shared" si="465"/>
        <v>0</v>
      </c>
      <c r="FU173">
        <f t="shared" si="466"/>
        <v>0</v>
      </c>
      <c r="FV173">
        <f t="shared" si="467"/>
        <v>0</v>
      </c>
      <c r="FW173">
        <v>0</v>
      </c>
      <c r="FX173">
        <f t="shared" si="468"/>
        <v>0</v>
      </c>
      <c r="FY173" t="b">
        <f t="shared" si="469"/>
        <v>1</v>
      </c>
      <c r="FZ173">
        <f t="shared" ca="1" si="470"/>
        <v>788</v>
      </c>
      <c r="GA173">
        <f t="shared" ca="1" si="471"/>
        <v>554808</v>
      </c>
      <c r="GB173">
        <f t="shared" si="472"/>
        <v>75000</v>
      </c>
      <c r="GC173">
        <f t="shared" ca="1" si="473"/>
        <v>479808</v>
      </c>
      <c r="GD173">
        <f t="shared" ca="1" si="474"/>
        <v>0</v>
      </c>
      <c r="GE173">
        <f t="shared" ca="1" si="475"/>
        <v>0</v>
      </c>
      <c r="GF173">
        <f t="shared" ca="1" si="476"/>
        <v>0</v>
      </c>
      <c r="GG173">
        <f t="shared" ca="1" si="477"/>
        <v>0</v>
      </c>
      <c r="GH173">
        <f t="shared" ca="1" si="478"/>
        <v>0</v>
      </c>
      <c r="GI173">
        <f t="shared" ca="1" si="479"/>
        <v>0</v>
      </c>
      <c r="GJ173">
        <f t="shared" ca="1" si="404"/>
        <v>0</v>
      </c>
      <c r="GK173">
        <f t="shared" ca="1" si="480"/>
        <v>0</v>
      </c>
      <c r="GL173">
        <f t="shared" ca="1" si="481"/>
        <v>0</v>
      </c>
      <c r="GM173">
        <f t="shared" ca="1" si="482"/>
        <v>0</v>
      </c>
      <c r="GN173">
        <f t="shared" ca="1" si="483"/>
        <v>79808</v>
      </c>
      <c r="GO173">
        <f t="shared" ca="1" si="484"/>
        <v>3990.4</v>
      </c>
      <c r="GP173">
        <f t="shared" ca="1" si="485"/>
        <v>3990</v>
      </c>
      <c r="GQ173">
        <f t="shared" ca="1" si="486"/>
        <v>0</v>
      </c>
      <c r="GR173">
        <f t="shared" ca="1" si="487"/>
        <v>0</v>
      </c>
      <c r="GS173">
        <f t="shared" ca="1" si="488"/>
        <v>3990</v>
      </c>
      <c r="GT173">
        <f t="shared" ca="1" si="489"/>
        <v>0</v>
      </c>
      <c r="GU173" t="b">
        <f t="shared" ca="1" si="490"/>
        <v>0</v>
      </c>
      <c r="GV173">
        <f t="shared" ca="1" si="491"/>
        <v>0</v>
      </c>
      <c r="GW173">
        <f t="shared" ca="1" si="492"/>
        <v>3990</v>
      </c>
      <c r="GX173">
        <f t="shared" ca="1" si="493"/>
        <v>0</v>
      </c>
      <c r="GY173">
        <f t="shared" ca="1" si="494"/>
        <v>0</v>
      </c>
      <c r="GZ173">
        <f t="shared" ca="1" si="495"/>
        <v>0</v>
      </c>
    </row>
    <row r="174" spans="1:208" x14ac:dyDescent="0.3">
      <c r="A174">
        <f>_xlfn.AGGREGATE(3,5,$B$2:B174)</f>
        <v>173</v>
      </c>
      <c r="B174" t="s">
        <v>453</v>
      </c>
      <c r="C174" t="s">
        <v>454</v>
      </c>
      <c r="D174" t="s">
        <v>795</v>
      </c>
      <c r="E174" t="s">
        <v>830</v>
      </c>
      <c r="F174" t="s">
        <v>956</v>
      </c>
      <c r="G174" t="s">
        <v>923</v>
      </c>
      <c r="H174">
        <f t="shared" si="498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412"/>
        <v>4690</v>
      </c>
      <c r="L174">
        <f t="shared" si="413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 t="shared" si="389"/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496"/>
        <v>200</v>
      </c>
      <c r="S174">
        <f t="shared" si="405"/>
        <v>40410</v>
      </c>
      <c r="T174">
        <f>_xlfn.XLOOKUP(B174,'[2]april-2025'!$A:$A,'[2]april-2025'!$C:$C,0,0)</f>
        <v>33500</v>
      </c>
      <c r="U174">
        <f t="shared" si="414"/>
        <v>6030</v>
      </c>
      <c r="V174">
        <f t="shared" si="415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406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416"/>
        <v>200</v>
      </c>
      <c r="AC174">
        <f t="shared" si="417"/>
        <v>41750</v>
      </c>
      <c r="AD174">
        <f>_xlfn.XLOOKUP(B174,'[3]may-2025'!$A:$A,'[3]may-2025'!$C:$C,0,0)</f>
        <v>33500</v>
      </c>
      <c r="AE174">
        <f t="shared" si="418"/>
        <v>6030</v>
      </c>
      <c r="AF174">
        <f t="shared" si="419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407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420"/>
        <v>200</v>
      </c>
      <c r="AM174">
        <f t="shared" si="421"/>
        <v>41750</v>
      </c>
      <c r="AN174">
        <f>_xlfn.XLOOKUP(B174,'[4]june-2025'!$A:$A,'[4]june-2025'!$C:$C,0,0)</f>
        <v>33500</v>
      </c>
      <c r="AO174">
        <f t="shared" si="422"/>
        <v>6030</v>
      </c>
      <c r="AP174">
        <f t="shared" si="423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408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424"/>
        <v>200</v>
      </c>
      <c r="AW174">
        <f t="shared" si="425"/>
        <v>41750</v>
      </c>
      <c r="AX174">
        <f>_xlfn.XLOOKUP(B174,'[5]july-2025'!$A:$A,'[5]july-2025'!$C:$C,0,0)</f>
        <v>34500</v>
      </c>
      <c r="AY174">
        <f t="shared" si="426"/>
        <v>6210</v>
      </c>
      <c r="AZ174">
        <v>0</v>
      </c>
      <c r="BA174">
        <f t="shared" si="427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 t="shared" si="390"/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428"/>
        <v>200</v>
      </c>
      <c r="BH174">
        <f t="shared" si="429"/>
        <v>43050</v>
      </c>
      <c r="BI174">
        <f>_xlfn.XLOOKUP(B174,'[6]august-2025'!$A:$A,'[6]august-2025'!$C:$C,0,0)</f>
        <v>34500</v>
      </c>
      <c r="BJ174">
        <f t="shared" si="430"/>
        <v>6210</v>
      </c>
      <c r="BK174">
        <f t="shared" si="431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432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391"/>
        <v>200</v>
      </c>
      <c r="BR174">
        <f t="shared" si="392"/>
        <v>43050</v>
      </c>
      <c r="BS174">
        <f>_xlfn.XLOOKUP(B174,'[7]september-2025'!$A:$A,'[7]september-2025'!$C:$C,0,0)</f>
        <v>34500</v>
      </c>
      <c r="BT174">
        <f t="shared" si="433"/>
        <v>6210</v>
      </c>
      <c r="BU174">
        <f t="shared" si="434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 t="shared" si="393"/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435"/>
        <v>200</v>
      </c>
      <c r="CB174">
        <f t="shared" si="436"/>
        <v>43050</v>
      </c>
      <c r="CC174">
        <f>_xlfn.XLOOKUP(B174,'[8]october-2025'!$A:$A,'[8]october-2025'!$C:$C,0,0)</f>
        <v>34500</v>
      </c>
      <c r="CD174">
        <f t="shared" si="437"/>
        <v>6210</v>
      </c>
      <c r="CE174">
        <f t="shared" si="438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 t="shared" si="394"/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439"/>
        <v>200</v>
      </c>
      <c r="CL174">
        <f t="shared" si="440"/>
        <v>43050</v>
      </c>
      <c r="CM174">
        <f>_xlfn.XLOOKUP(B174,'[9]november-2025'!$A:$A,'[9]november-2025'!$C:$C,0,0)</f>
        <v>34500</v>
      </c>
      <c r="CN174">
        <f t="shared" si="441"/>
        <v>6210</v>
      </c>
      <c r="CO174">
        <f t="shared" si="442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 t="shared" si="395"/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443"/>
        <v>200</v>
      </c>
      <c r="CV174">
        <f t="shared" si="444"/>
        <v>43050</v>
      </c>
      <c r="CW174">
        <f>_xlfn.XLOOKUP(B174,'[10]december-2025'!$A:$A,'[10]december-2025'!$C:$C,0,0)</f>
        <v>34500</v>
      </c>
      <c r="CX174">
        <f t="shared" si="445"/>
        <v>6210</v>
      </c>
      <c r="CY174">
        <f t="shared" si="446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 t="shared" si="396"/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447"/>
        <v>200</v>
      </c>
      <c r="DF174">
        <f t="shared" si="448"/>
        <v>43050</v>
      </c>
      <c r="DG174">
        <f>_xlfn.XLOOKUP(B174,'[11]january-2026'!$A:$A,'[11]january-2026'!$C:$C,0,0)</f>
        <v>34500</v>
      </c>
      <c r="DH174">
        <f t="shared" si="449"/>
        <v>6210</v>
      </c>
      <c r="DI174">
        <f t="shared" si="450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397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51"/>
        <v>200</v>
      </c>
      <c r="DP174">
        <f t="shared" si="452"/>
        <v>43050</v>
      </c>
      <c r="DQ174">
        <f>_xlfn.XLOOKUP(B174,'[12]february-2026'!$A:$A,'[12]february-2026'!$C:$C,0,0)</f>
        <v>34500</v>
      </c>
      <c r="DR174">
        <f t="shared" si="453"/>
        <v>6210</v>
      </c>
      <c r="DS174">
        <f t="shared" si="454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398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55"/>
        <v>200</v>
      </c>
      <c r="DZ174">
        <f t="shared" si="456"/>
        <v>43050</v>
      </c>
      <c r="EA174">
        <f>_xlfn.XLOOKUP(B174,'[1]march-2025'!$A:$A,'[1]march-2025'!$J:$J,0,0)</f>
        <v>0</v>
      </c>
      <c r="EB174">
        <f>_xlfn.XLOOKUP(B174,'[2]april-2025'!$A:$A,'[2]april-2025'!$J:$J,0,0)</f>
        <v>0</v>
      </c>
      <c r="EC174">
        <f>_xlfn.XLOOKUP(B174,'[3]may-2025'!$A:$A,'[3]may-2025'!$J:$J,0,0)</f>
        <v>0</v>
      </c>
      <c r="ED174">
        <f>_xlfn.XLOOKUP(B174,'[4]june-2025'!$A:$A,'[4]june-2025'!$J:$J,0,0)</f>
        <v>0</v>
      </c>
      <c r="EE174">
        <f>_xlfn.XLOOKUP(B174,'[5]july-2025'!$A:$A,'[5]july-2025'!$J:$J,0,0)</f>
        <v>0</v>
      </c>
      <c r="EF174">
        <f>_xlfn.XLOOKUP(B174,'[6]august-2025'!$A:$A,'[6]august-2025'!$J:$J,0,0)</f>
        <v>0</v>
      </c>
      <c r="EG174">
        <f>_xlfn.XLOOKUP(B174,'[7]september-2025'!$A:$A,'[7]september-2025'!$J:$J,0,0)</f>
        <v>0</v>
      </c>
      <c r="EH174">
        <f>_xlfn.XLOOKUP(B174,'[8]october-2025'!$A:$A,'[8]october-2025'!$J:$J,0,0)</f>
        <v>0</v>
      </c>
      <c r="EI174">
        <f>_xlfn.XLOOKUP(C174,'[9]november-2025'!$A:$A,'[9]november-2025'!$J:$J,0,0)</f>
        <v>0</v>
      </c>
      <c r="EJ174">
        <f>_xlfn.XLOOKUP(B174,'[10]december-2025'!$A:$A,'[10]december-2025'!$J:$J,0,0)</f>
        <v>0</v>
      </c>
      <c r="EK174">
        <f>_xlfn.XLOOKUP(B174,'[11]january-2026'!$A:$A,'[11]january-2026'!$J:$J,0,0)</f>
        <v>0</v>
      </c>
      <c r="EL174">
        <f>_xlfn.XLOOKUP(B174,'[12]february-2026'!$A:$A,'[12]february-2026'!$J:$J,0,0)</f>
        <v>0</v>
      </c>
      <c r="EM174">
        <f t="shared" si="409"/>
        <v>0</v>
      </c>
      <c r="EN174">
        <f t="shared" si="399"/>
        <v>549260</v>
      </c>
      <c r="EO174">
        <f t="shared" si="400"/>
        <v>2400</v>
      </c>
      <c r="EP174">
        <f t="shared" si="457"/>
        <v>50000</v>
      </c>
      <c r="EQ174">
        <v>0</v>
      </c>
      <c r="ER174">
        <f t="shared" si="410"/>
        <v>496860</v>
      </c>
      <c r="ES174">
        <f t="shared" si="401"/>
        <v>30000</v>
      </c>
      <c r="ET174">
        <f t="shared" si="402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458"/>
        <v>30000</v>
      </c>
      <c r="FF174">
        <f t="shared" si="459"/>
        <v>30000</v>
      </c>
      <c r="FG174">
        <f t="shared" si="460"/>
        <v>466860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403"/>
        <v>0</v>
      </c>
      <c r="FP174">
        <f t="shared" si="461"/>
        <v>466860</v>
      </c>
      <c r="FQ174">
        <f t="shared" si="462"/>
        <v>10843</v>
      </c>
      <c r="FR174">
        <f t="shared" si="463"/>
        <v>0</v>
      </c>
      <c r="FS174">
        <f t="shared" si="464"/>
        <v>10843</v>
      </c>
      <c r="FT174">
        <f t="shared" si="465"/>
        <v>0</v>
      </c>
      <c r="FU174">
        <f t="shared" si="466"/>
        <v>0</v>
      </c>
      <c r="FV174">
        <f t="shared" si="467"/>
        <v>0</v>
      </c>
      <c r="FW174">
        <v>0</v>
      </c>
      <c r="FX174">
        <f t="shared" si="468"/>
        <v>0</v>
      </c>
      <c r="FY174" t="b">
        <f t="shared" si="469"/>
        <v>1</v>
      </c>
      <c r="FZ174">
        <f t="shared" ca="1" si="470"/>
        <v>949</v>
      </c>
      <c r="GA174">
        <f t="shared" ca="1" si="471"/>
        <v>550209</v>
      </c>
      <c r="GB174">
        <f t="shared" si="472"/>
        <v>75000</v>
      </c>
      <c r="GC174">
        <f t="shared" ca="1" si="473"/>
        <v>475209</v>
      </c>
      <c r="GD174">
        <f t="shared" ca="1" si="474"/>
        <v>0</v>
      </c>
      <c r="GE174">
        <f t="shared" ca="1" si="475"/>
        <v>0</v>
      </c>
      <c r="GF174">
        <f t="shared" ca="1" si="476"/>
        <v>0</v>
      </c>
      <c r="GG174">
        <f t="shared" ca="1" si="477"/>
        <v>0</v>
      </c>
      <c r="GH174">
        <f t="shared" ca="1" si="478"/>
        <v>0</v>
      </c>
      <c r="GI174">
        <f t="shared" ca="1" si="479"/>
        <v>0</v>
      </c>
      <c r="GJ174">
        <f t="shared" ca="1" si="404"/>
        <v>0</v>
      </c>
      <c r="GK174">
        <f t="shared" ca="1" si="480"/>
        <v>0</v>
      </c>
      <c r="GL174">
        <f t="shared" ca="1" si="481"/>
        <v>0</v>
      </c>
      <c r="GM174">
        <f t="shared" ca="1" si="482"/>
        <v>0</v>
      </c>
      <c r="GN174">
        <f t="shared" ca="1" si="483"/>
        <v>75209</v>
      </c>
      <c r="GO174">
        <f t="shared" ca="1" si="484"/>
        <v>3760.4500000000003</v>
      </c>
      <c r="GP174">
        <f t="shared" ca="1" si="485"/>
        <v>3760</v>
      </c>
      <c r="GQ174">
        <f t="shared" ca="1" si="486"/>
        <v>0</v>
      </c>
      <c r="GR174">
        <f t="shared" ca="1" si="487"/>
        <v>0</v>
      </c>
      <c r="GS174">
        <f t="shared" ca="1" si="488"/>
        <v>3760</v>
      </c>
      <c r="GT174">
        <f t="shared" ca="1" si="489"/>
        <v>0</v>
      </c>
      <c r="GU174" t="b">
        <f t="shared" ca="1" si="490"/>
        <v>0</v>
      </c>
      <c r="GV174">
        <f t="shared" ca="1" si="491"/>
        <v>0</v>
      </c>
      <c r="GW174">
        <f t="shared" ca="1" si="492"/>
        <v>3760</v>
      </c>
      <c r="GX174">
        <f t="shared" ca="1" si="493"/>
        <v>0</v>
      </c>
      <c r="GY174">
        <f t="shared" ca="1" si="494"/>
        <v>0</v>
      </c>
      <c r="GZ174">
        <f t="shared" ca="1" si="495"/>
        <v>0</v>
      </c>
    </row>
    <row r="175" spans="1:208" x14ac:dyDescent="0.3">
      <c r="A175">
        <f>_xlfn.AGGREGATE(3,5,$B$2:B175)</f>
        <v>174</v>
      </c>
      <c r="B175" t="s">
        <v>455</v>
      </c>
      <c r="C175" t="s">
        <v>456</v>
      </c>
      <c r="D175" t="s">
        <v>795</v>
      </c>
      <c r="E175" t="s">
        <v>830</v>
      </c>
      <c r="F175" t="s">
        <v>956</v>
      </c>
      <c r="G175" t="s">
        <v>879</v>
      </c>
      <c r="H175">
        <f t="shared" si="498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412"/>
        <v>7028.0000000000009</v>
      </c>
      <c r="L175">
        <f t="shared" si="413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389"/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496"/>
        <v>200</v>
      </c>
      <c r="S175">
        <f t="shared" si="405"/>
        <v>48552</v>
      </c>
      <c r="T175">
        <f>_xlfn.XLOOKUP(B175,'[2]april-2025'!$A:$A,'[2]april-2025'!$C:$C,0,0)</f>
        <v>50200</v>
      </c>
      <c r="U175">
        <f t="shared" si="414"/>
        <v>9036</v>
      </c>
      <c r="V175">
        <f t="shared" si="415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406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416"/>
        <v>200</v>
      </c>
      <c r="AC175">
        <f t="shared" si="417"/>
        <v>50560</v>
      </c>
      <c r="AD175">
        <f>_xlfn.XLOOKUP(B175,'[3]may-2025'!$A:$A,'[3]may-2025'!$C:$C,0,0)</f>
        <v>50200</v>
      </c>
      <c r="AE175">
        <f t="shared" si="418"/>
        <v>9036</v>
      </c>
      <c r="AF175">
        <f t="shared" si="419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407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420"/>
        <v>200</v>
      </c>
      <c r="AM175">
        <f t="shared" si="421"/>
        <v>50560</v>
      </c>
      <c r="AN175">
        <f>_xlfn.XLOOKUP(B175,'[4]june-2025'!$A:$A,'[4]june-2025'!$C:$C,0,0)</f>
        <v>50200</v>
      </c>
      <c r="AO175">
        <f t="shared" si="422"/>
        <v>9036</v>
      </c>
      <c r="AP175">
        <f t="shared" si="423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408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424"/>
        <v>200</v>
      </c>
      <c r="AW175">
        <f t="shared" si="425"/>
        <v>50560</v>
      </c>
      <c r="AX175">
        <f>_xlfn.XLOOKUP(B175,'[5]july-2025'!$A:$A,'[5]july-2025'!$C:$C,0,0)</f>
        <v>51700</v>
      </c>
      <c r="AY175">
        <f t="shared" si="426"/>
        <v>9306</v>
      </c>
      <c r="AZ175">
        <v>0</v>
      </c>
      <c r="BA175">
        <f t="shared" si="427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390"/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428"/>
        <v>200</v>
      </c>
      <c r="BH175">
        <f t="shared" si="429"/>
        <v>52510</v>
      </c>
      <c r="BI175">
        <f>_xlfn.XLOOKUP(B175,'[6]august-2025'!$A:$A,'[6]august-2025'!$C:$C,0,0)</f>
        <v>51700</v>
      </c>
      <c r="BJ175">
        <f t="shared" si="430"/>
        <v>9306</v>
      </c>
      <c r="BK175">
        <f t="shared" si="431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432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 t="shared" si="391"/>
        <v>200</v>
      </c>
      <c r="BR175">
        <f t="shared" si="392"/>
        <v>52510</v>
      </c>
      <c r="BS175">
        <f>_xlfn.XLOOKUP(B175,'[7]september-2025'!$A:$A,'[7]september-2025'!$C:$C,0,0)</f>
        <v>51700</v>
      </c>
      <c r="BT175">
        <f t="shared" si="433"/>
        <v>9306</v>
      </c>
      <c r="BU175">
        <f t="shared" si="434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393"/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435"/>
        <v>200</v>
      </c>
      <c r="CB175">
        <f t="shared" si="436"/>
        <v>52510</v>
      </c>
      <c r="CC175">
        <f>_xlfn.XLOOKUP(B175,'[8]october-2025'!$A:$A,'[8]october-2025'!$C:$C,0,0)</f>
        <v>51700</v>
      </c>
      <c r="CD175">
        <f t="shared" si="437"/>
        <v>9306</v>
      </c>
      <c r="CE175">
        <f t="shared" si="438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394"/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439"/>
        <v>200</v>
      </c>
      <c r="CL175">
        <f t="shared" si="440"/>
        <v>52510</v>
      </c>
      <c r="CM175">
        <f>_xlfn.XLOOKUP(B175,'[9]november-2025'!$A:$A,'[9]november-2025'!$C:$C,0,0)</f>
        <v>51700</v>
      </c>
      <c r="CN175">
        <f t="shared" si="441"/>
        <v>9306</v>
      </c>
      <c r="CO175">
        <f t="shared" si="442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395"/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443"/>
        <v>200</v>
      </c>
      <c r="CV175">
        <f t="shared" si="444"/>
        <v>52510</v>
      </c>
      <c r="CW175">
        <f>_xlfn.XLOOKUP(B175,'[10]december-2025'!$A:$A,'[10]december-2025'!$C:$C,0,0)</f>
        <v>51700</v>
      </c>
      <c r="CX175">
        <f t="shared" si="445"/>
        <v>9306</v>
      </c>
      <c r="CY175">
        <f t="shared" si="446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396"/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447"/>
        <v>200</v>
      </c>
      <c r="DF175">
        <f t="shared" si="448"/>
        <v>52510</v>
      </c>
      <c r="DG175">
        <f>_xlfn.XLOOKUP(B175,'[11]january-2026'!$A:$A,'[11]january-2026'!$C:$C,0,0)</f>
        <v>51700</v>
      </c>
      <c r="DH175">
        <f t="shared" si="449"/>
        <v>9306</v>
      </c>
      <c r="DI175">
        <f t="shared" si="450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397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51"/>
        <v>200</v>
      </c>
      <c r="DP175">
        <f t="shared" si="452"/>
        <v>52510</v>
      </c>
      <c r="DQ175">
        <f>_xlfn.XLOOKUP(B175,'[12]february-2026'!$A:$A,'[12]february-2026'!$C:$C,0,0)</f>
        <v>51700</v>
      </c>
      <c r="DR175">
        <f t="shared" si="453"/>
        <v>9306</v>
      </c>
      <c r="DS175">
        <f t="shared" si="454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398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55"/>
        <v>200</v>
      </c>
      <c r="DZ175">
        <f t="shared" si="456"/>
        <v>52510</v>
      </c>
      <c r="EA175">
        <f>_xlfn.XLOOKUP(B175,'[1]march-2025'!$A:$A,'[1]march-2025'!$J:$J,0,0)</f>
        <v>0</v>
      </c>
      <c r="EB175">
        <f>_xlfn.XLOOKUP(B175,'[2]april-2025'!$A:$A,'[2]april-2025'!$J:$J,0,0)</f>
        <v>0</v>
      </c>
      <c r="EC175">
        <f>_xlfn.XLOOKUP(B175,'[3]may-2025'!$A:$A,'[3]may-2025'!$J:$J,0,0)</f>
        <v>0</v>
      </c>
      <c r="ED175">
        <f>_xlfn.XLOOKUP(B175,'[4]june-2025'!$A:$A,'[4]june-2025'!$J:$J,0,0)</f>
        <v>0</v>
      </c>
      <c r="EE175">
        <f>_xlfn.XLOOKUP(B175,'[5]july-2025'!$A:$A,'[5]july-2025'!$J:$J,0,0)</f>
        <v>0</v>
      </c>
      <c r="EF175">
        <f>_xlfn.XLOOKUP(B175,'[6]august-2025'!$A:$A,'[6]august-2025'!$J:$J,0,0)</f>
        <v>0</v>
      </c>
      <c r="EG175">
        <f>_xlfn.XLOOKUP(B175,'[7]september-2025'!$A:$A,'[7]september-2025'!$J:$J,0,0)</f>
        <v>0</v>
      </c>
      <c r="EH175">
        <f>_xlfn.XLOOKUP(B175,'[8]october-2025'!$A:$A,'[8]october-2025'!$J:$J,0,0)</f>
        <v>0</v>
      </c>
      <c r="EI175">
        <f>_xlfn.XLOOKUP(C175,'[9]november-2025'!$A:$A,'[9]november-2025'!$J:$J,0,0)</f>
        <v>0</v>
      </c>
      <c r="EJ175">
        <f>_xlfn.XLOOKUP(B175,'[10]december-2025'!$A:$A,'[10]december-2025'!$J:$J,0,0)</f>
        <v>0</v>
      </c>
      <c r="EK175">
        <f>_xlfn.XLOOKUP(B175,'[11]january-2026'!$A:$A,'[11]january-2026'!$J:$J,0,0)</f>
        <v>0</v>
      </c>
      <c r="EL175">
        <f>_xlfn.XLOOKUP(B175,'[12]february-2026'!$A:$A,'[12]february-2026'!$J:$J,0,0)</f>
        <v>0</v>
      </c>
      <c r="EM175">
        <f t="shared" si="409"/>
        <v>0</v>
      </c>
      <c r="EN175">
        <f t="shared" si="399"/>
        <v>809512</v>
      </c>
      <c r="EO175">
        <f t="shared" si="400"/>
        <v>2400</v>
      </c>
      <c r="EP175">
        <f t="shared" si="457"/>
        <v>50000</v>
      </c>
      <c r="EQ175">
        <v>0</v>
      </c>
      <c r="ER175">
        <f t="shared" si="410"/>
        <v>757112</v>
      </c>
      <c r="ES175">
        <f t="shared" si="401"/>
        <v>180000</v>
      </c>
      <c r="ET175">
        <f t="shared" si="402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458"/>
        <v>180000</v>
      </c>
      <c r="FF175">
        <f t="shared" si="459"/>
        <v>150000</v>
      </c>
      <c r="FG175">
        <f t="shared" si="460"/>
        <v>607112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403"/>
        <v>0</v>
      </c>
      <c r="FP175">
        <f t="shared" si="461"/>
        <v>607112</v>
      </c>
      <c r="FQ175">
        <f t="shared" si="462"/>
        <v>12500</v>
      </c>
      <c r="FR175">
        <f t="shared" si="463"/>
        <v>21422</v>
      </c>
      <c r="FS175">
        <f t="shared" si="464"/>
        <v>33922</v>
      </c>
      <c r="FT175">
        <f t="shared" si="465"/>
        <v>33922</v>
      </c>
      <c r="FU175">
        <f t="shared" si="466"/>
        <v>1356.88</v>
      </c>
      <c r="FV175">
        <f t="shared" si="467"/>
        <v>35279</v>
      </c>
      <c r="FW175">
        <v>0</v>
      </c>
      <c r="FX175">
        <f t="shared" si="468"/>
        <v>35279</v>
      </c>
      <c r="FY175" t="b">
        <f t="shared" si="469"/>
        <v>1</v>
      </c>
      <c r="FZ175">
        <f t="shared" ca="1" si="470"/>
        <v>614</v>
      </c>
      <c r="GA175">
        <f t="shared" ca="1" si="471"/>
        <v>810126</v>
      </c>
      <c r="GB175">
        <f t="shared" si="472"/>
        <v>75000</v>
      </c>
      <c r="GC175">
        <f t="shared" ca="1" si="473"/>
        <v>735126</v>
      </c>
      <c r="GD175">
        <f t="shared" ca="1" si="474"/>
        <v>0</v>
      </c>
      <c r="GE175">
        <f t="shared" ca="1" si="475"/>
        <v>0</v>
      </c>
      <c r="GF175">
        <f t="shared" ca="1" si="476"/>
        <v>0</v>
      </c>
      <c r="GG175">
        <f t="shared" ca="1" si="477"/>
        <v>0</v>
      </c>
      <c r="GH175">
        <f t="shared" ca="1" si="478"/>
        <v>0</v>
      </c>
      <c r="GI175">
        <f t="shared" ca="1" si="479"/>
        <v>0</v>
      </c>
      <c r="GJ175">
        <f t="shared" ca="1" si="404"/>
        <v>0</v>
      </c>
      <c r="GK175">
        <f t="shared" ca="1" si="480"/>
        <v>0</v>
      </c>
      <c r="GL175">
        <f t="shared" ca="1" si="481"/>
        <v>0</v>
      </c>
      <c r="GM175">
        <f t="shared" ca="1" si="482"/>
        <v>0</v>
      </c>
      <c r="GN175">
        <f t="shared" ca="1" si="483"/>
        <v>335126</v>
      </c>
      <c r="GO175">
        <f t="shared" ca="1" si="484"/>
        <v>16756.3</v>
      </c>
      <c r="GP175">
        <f t="shared" ca="1" si="485"/>
        <v>16756</v>
      </c>
      <c r="GQ175">
        <f t="shared" ca="1" si="486"/>
        <v>0</v>
      </c>
      <c r="GR175">
        <f t="shared" ca="1" si="487"/>
        <v>0</v>
      </c>
      <c r="GS175">
        <f t="shared" ca="1" si="488"/>
        <v>16756</v>
      </c>
      <c r="GT175">
        <f t="shared" ca="1" si="489"/>
        <v>0</v>
      </c>
      <c r="GU175" t="b">
        <f t="shared" ca="1" si="490"/>
        <v>0</v>
      </c>
      <c r="GV175">
        <f t="shared" ca="1" si="491"/>
        <v>0</v>
      </c>
      <c r="GW175">
        <f t="shared" ca="1" si="492"/>
        <v>16756</v>
      </c>
      <c r="GX175">
        <f t="shared" ca="1" si="493"/>
        <v>0</v>
      </c>
      <c r="GY175">
        <f t="shared" ca="1" si="494"/>
        <v>0</v>
      </c>
      <c r="GZ175">
        <f t="shared" ca="1" si="495"/>
        <v>0</v>
      </c>
    </row>
    <row r="176" spans="1:208" x14ac:dyDescent="0.3">
      <c r="A176">
        <f>_xlfn.AGGREGATE(3,5,$B$2:B176)</f>
        <v>175</v>
      </c>
      <c r="B176" t="s">
        <v>457</v>
      </c>
      <c r="C176" t="s">
        <v>458</v>
      </c>
      <c r="D176" t="s">
        <v>795</v>
      </c>
      <c r="E176" t="s">
        <v>830</v>
      </c>
      <c r="F176" t="s">
        <v>956</v>
      </c>
      <c r="G176" t="s">
        <v>923</v>
      </c>
      <c r="H176">
        <f t="shared" si="498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412"/>
        <v>4690</v>
      </c>
      <c r="L176">
        <f t="shared" si="413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389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496"/>
        <v>200</v>
      </c>
      <c r="S176">
        <f t="shared" si="405"/>
        <v>40010</v>
      </c>
      <c r="T176">
        <f>_xlfn.XLOOKUP(B176,'[2]april-2025'!$A:$A,'[2]april-2025'!$C:$C,0,0)</f>
        <v>33500</v>
      </c>
      <c r="U176">
        <f t="shared" si="414"/>
        <v>6030</v>
      </c>
      <c r="V176">
        <f t="shared" si="415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406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416"/>
        <v>200</v>
      </c>
      <c r="AC176">
        <f t="shared" si="417"/>
        <v>41350</v>
      </c>
      <c r="AD176">
        <f>_xlfn.XLOOKUP(B176,'[3]may-2025'!$A:$A,'[3]may-2025'!$C:$C,0,0)</f>
        <v>33500</v>
      </c>
      <c r="AE176">
        <f t="shared" si="418"/>
        <v>6030</v>
      </c>
      <c r="AF176">
        <f t="shared" si="419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407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420"/>
        <v>200</v>
      </c>
      <c r="AM176">
        <f t="shared" si="421"/>
        <v>41350</v>
      </c>
      <c r="AN176">
        <f>_xlfn.XLOOKUP(B176,'[4]june-2025'!$A:$A,'[4]june-2025'!$C:$C,0,0)</f>
        <v>33500</v>
      </c>
      <c r="AO176">
        <f t="shared" si="422"/>
        <v>6030</v>
      </c>
      <c r="AP176">
        <f t="shared" si="423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408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424"/>
        <v>200</v>
      </c>
      <c r="AW176">
        <f t="shared" si="425"/>
        <v>41350</v>
      </c>
      <c r="AX176">
        <f>_xlfn.XLOOKUP(B176,'[5]july-2025'!$A:$A,'[5]july-2025'!$C:$C,0,0)</f>
        <v>34500</v>
      </c>
      <c r="AY176">
        <f t="shared" si="426"/>
        <v>6210</v>
      </c>
      <c r="AZ176">
        <v>0</v>
      </c>
      <c r="BA176">
        <f t="shared" si="427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390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428"/>
        <v>200</v>
      </c>
      <c r="BH176">
        <f t="shared" si="429"/>
        <v>42650</v>
      </c>
      <c r="BI176">
        <f>_xlfn.XLOOKUP(B176,'[6]august-2025'!$A:$A,'[6]august-2025'!$C:$C,0,0)</f>
        <v>34500</v>
      </c>
      <c r="BJ176">
        <f t="shared" si="430"/>
        <v>6210</v>
      </c>
      <c r="BK176">
        <f t="shared" si="431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432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391"/>
        <v>200</v>
      </c>
      <c r="BR176">
        <f t="shared" si="392"/>
        <v>42650</v>
      </c>
      <c r="BS176">
        <f>_xlfn.XLOOKUP(B176,'[7]september-2025'!$A:$A,'[7]september-2025'!$C:$C,0,0)</f>
        <v>34500</v>
      </c>
      <c r="BT176">
        <f t="shared" si="433"/>
        <v>6210</v>
      </c>
      <c r="BU176">
        <f t="shared" si="434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393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435"/>
        <v>200</v>
      </c>
      <c r="CB176">
        <f t="shared" si="436"/>
        <v>42650</v>
      </c>
      <c r="CC176">
        <f>_xlfn.XLOOKUP(B176,'[8]october-2025'!$A:$A,'[8]october-2025'!$C:$C,0,0)</f>
        <v>34500</v>
      </c>
      <c r="CD176">
        <f t="shared" si="437"/>
        <v>6210</v>
      </c>
      <c r="CE176">
        <f t="shared" si="438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394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439"/>
        <v>200</v>
      </c>
      <c r="CL176">
        <f t="shared" si="440"/>
        <v>42650</v>
      </c>
      <c r="CM176">
        <f>_xlfn.XLOOKUP(B176,'[9]november-2025'!$A:$A,'[9]november-2025'!$C:$C,0,0)</f>
        <v>34500</v>
      </c>
      <c r="CN176">
        <f t="shared" si="441"/>
        <v>6210</v>
      </c>
      <c r="CO176">
        <f t="shared" si="442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395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443"/>
        <v>200</v>
      </c>
      <c r="CV176">
        <f t="shared" si="444"/>
        <v>42650</v>
      </c>
      <c r="CW176">
        <f>_xlfn.XLOOKUP(B176,'[10]december-2025'!$A:$A,'[10]december-2025'!$C:$C,0,0)</f>
        <v>34500</v>
      </c>
      <c r="CX176">
        <f t="shared" si="445"/>
        <v>6210</v>
      </c>
      <c r="CY176">
        <f t="shared" si="446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396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447"/>
        <v>200</v>
      </c>
      <c r="DF176">
        <f t="shared" si="448"/>
        <v>42650</v>
      </c>
      <c r="DG176">
        <f>_xlfn.XLOOKUP(B176,'[11]january-2026'!$A:$A,'[11]january-2026'!$C:$C,0,0)</f>
        <v>34500</v>
      </c>
      <c r="DH176">
        <f t="shared" si="449"/>
        <v>6210</v>
      </c>
      <c r="DI176">
        <f t="shared" si="450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397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51"/>
        <v>200</v>
      </c>
      <c r="DP176">
        <f t="shared" si="452"/>
        <v>42650</v>
      </c>
      <c r="DQ176">
        <f>_xlfn.XLOOKUP(B176,'[12]february-2026'!$A:$A,'[12]february-2026'!$C:$C,0,0)</f>
        <v>34500</v>
      </c>
      <c r="DR176">
        <f t="shared" si="453"/>
        <v>6210</v>
      </c>
      <c r="DS176">
        <f t="shared" si="454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398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55"/>
        <v>200</v>
      </c>
      <c r="DZ176">
        <f t="shared" si="456"/>
        <v>42650</v>
      </c>
      <c r="EA176">
        <f>_xlfn.XLOOKUP(B176,'[1]march-2025'!$A:$A,'[1]march-2025'!$J:$J,0,0)</f>
        <v>0</v>
      </c>
      <c r="EB176">
        <f>_xlfn.XLOOKUP(B176,'[2]april-2025'!$A:$A,'[2]april-2025'!$J:$J,0,0)</f>
        <v>0</v>
      </c>
      <c r="EC176">
        <f>_xlfn.XLOOKUP(B176,'[3]may-2025'!$A:$A,'[3]may-2025'!$J:$J,0,0)</f>
        <v>0</v>
      </c>
      <c r="ED176">
        <f>_xlfn.XLOOKUP(B176,'[4]june-2025'!$A:$A,'[4]june-2025'!$J:$J,0,0)</f>
        <v>0</v>
      </c>
      <c r="EE176">
        <f>_xlfn.XLOOKUP(B176,'[5]july-2025'!$A:$A,'[5]july-2025'!$J:$J,0,0)</f>
        <v>0</v>
      </c>
      <c r="EF176">
        <f>_xlfn.XLOOKUP(B176,'[6]august-2025'!$A:$A,'[6]august-2025'!$J:$J,0,0)</f>
        <v>0</v>
      </c>
      <c r="EG176">
        <f>_xlfn.XLOOKUP(B176,'[7]september-2025'!$A:$A,'[7]september-2025'!$J:$J,0,0)</f>
        <v>0</v>
      </c>
      <c r="EH176">
        <f>_xlfn.XLOOKUP(B176,'[8]october-2025'!$A:$A,'[8]october-2025'!$J:$J,0,0)</f>
        <v>0</v>
      </c>
      <c r="EI176">
        <f>_xlfn.XLOOKUP(C176,'[9]november-2025'!$A:$A,'[9]november-2025'!$J:$J,0,0)</f>
        <v>0</v>
      </c>
      <c r="EJ176">
        <f>_xlfn.XLOOKUP(B176,'[10]december-2025'!$A:$A,'[10]december-2025'!$J:$J,0,0)</f>
        <v>0</v>
      </c>
      <c r="EK176">
        <f>_xlfn.XLOOKUP(B176,'[11]january-2026'!$A:$A,'[11]january-2026'!$J:$J,0,0)</f>
        <v>0</v>
      </c>
      <c r="EL176">
        <f>_xlfn.XLOOKUP(B176,'[12]february-2026'!$A:$A,'[12]february-2026'!$J:$J,0,0)</f>
        <v>0</v>
      </c>
      <c r="EM176">
        <f t="shared" si="409"/>
        <v>0</v>
      </c>
      <c r="EN176">
        <f t="shared" si="399"/>
        <v>544460</v>
      </c>
      <c r="EO176">
        <f t="shared" si="400"/>
        <v>2400</v>
      </c>
      <c r="EP176">
        <f t="shared" si="457"/>
        <v>50000</v>
      </c>
      <c r="EQ176">
        <v>0</v>
      </c>
      <c r="ER176">
        <f t="shared" si="410"/>
        <v>492060</v>
      </c>
      <c r="ES176">
        <f t="shared" si="401"/>
        <v>30000</v>
      </c>
      <c r="ET176">
        <f t="shared" si="402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458"/>
        <v>30000</v>
      </c>
      <c r="FF176">
        <f t="shared" si="459"/>
        <v>30000</v>
      </c>
      <c r="FG176">
        <f t="shared" si="460"/>
        <v>462060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403"/>
        <v>0</v>
      </c>
      <c r="FP176">
        <f t="shared" si="461"/>
        <v>462060</v>
      </c>
      <c r="FQ176">
        <f t="shared" si="462"/>
        <v>10603</v>
      </c>
      <c r="FR176">
        <f t="shared" si="463"/>
        <v>0</v>
      </c>
      <c r="FS176">
        <f t="shared" si="464"/>
        <v>10603</v>
      </c>
      <c r="FT176">
        <f t="shared" si="465"/>
        <v>0</v>
      </c>
      <c r="FU176">
        <f t="shared" si="466"/>
        <v>0</v>
      </c>
      <c r="FV176">
        <f t="shared" si="467"/>
        <v>0</v>
      </c>
      <c r="FW176">
        <v>0</v>
      </c>
      <c r="FX176">
        <f t="shared" si="468"/>
        <v>0</v>
      </c>
      <c r="FY176" t="b">
        <f t="shared" si="469"/>
        <v>1</v>
      </c>
      <c r="FZ176">
        <f t="shared" ca="1" si="470"/>
        <v>583</v>
      </c>
      <c r="GA176">
        <f t="shared" ca="1" si="471"/>
        <v>545043</v>
      </c>
      <c r="GB176">
        <f t="shared" si="472"/>
        <v>75000</v>
      </c>
      <c r="GC176">
        <f t="shared" ca="1" si="473"/>
        <v>470043</v>
      </c>
      <c r="GD176">
        <f t="shared" ca="1" si="474"/>
        <v>0</v>
      </c>
      <c r="GE176">
        <f t="shared" ca="1" si="475"/>
        <v>0</v>
      </c>
      <c r="GF176">
        <f t="shared" ca="1" si="476"/>
        <v>0</v>
      </c>
      <c r="GG176">
        <f t="shared" ca="1" si="477"/>
        <v>0</v>
      </c>
      <c r="GH176">
        <f t="shared" ca="1" si="478"/>
        <v>0</v>
      </c>
      <c r="GI176">
        <f t="shared" ca="1" si="479"/>
        <v>0</v>
      </c>
      <c r="GJ176">
        <f t="shared" ca="1" si="404"/>
        <v>0</v>
      </c>
      <c r="GK176">
        <f t="shared" ca="1" si="480"/>
        <v>0</v>
      </c>
      <c r="GL176">
        <f t="shared" ca="1" si="481"/>
        <v>0</v>
      </c>
      <c r="GM176">
        <f t="shared" ca="1" si="482"/>
        <v>0</v>
      </c>
      <c r="GN176">
        <f t="shared" ca="1" si="483"/>
        <v>70043</v>
      </c>
      <c r="GO176">
        <f t="shared" ca="1" si="484"/>
        <v>3502.15</v>
      </c>
      <c r="GP176">
        <f t="shared" ca="1" si="485"/>
        <v>3502</v>
      </c>
      <c r="GQ176">
        <f t="shared" ca="1" si="486"/>
        <v>0</v>
      </c>
      <c r="GR176">
        <f t="shared" ca="1" si="487"/>
        <v>0</v>
      </c>
      <c r="GS176">
        <f t="shared" ca="1" si="488"/>
        <v>3502</v>
      </c>
      <c r="GT176">
        <f t="shared" ca="1" si="489"/>
        <v>0</v>
      </c>
      <c r="GU176" t="b">
        <f t="shared" ca="1" si="490"/>
        <v>0</v>
      </c>
      <c r="GV176">
        <f t="shared" ca="1" si="491"/>
        <v>0</v>
      </c>
      <c r="GW176">
        <f t="shared" ca="1" si="492"/>
        <v>3502</v>
      </c>
      <c r="GX176">
        <f t="shared" ca="1" si="493"/>
        <v>0</v>
      </c>
      <c r="GY176">
        <f t="shared" ca="1" si="494"/>
        <v>0</v>
      </c>
      <c r="GZ176">
        <f t="shared" ca="1" si="495"/>
        <v>0</v>
      </c>
    </row>
    <row r="177" spans="1:208" x14ac:dyDescent="0.3">
      <c r="A177">
        <f>_xlfn.AGGREGATE(3,5,$B$2:B177)</f>
        <v>176</v>
      </c>
      <c r="B177" t="s">
        <v>459</v>
      </c>
      <c r="C177" t="s">
        <v>460</v>
      </c>
      <c r="D177" t="s">
        <v>795</v>
      </c>
      <c r="E177" t="s">
        <v>830</v>
      </c>
      <c r="F177" t="s">
        <v>956</v>
      </c>
      <c r="G177" t="s">
        <v>923</v>
      </c>
      <c r="H177">
        <f t="shared" si="498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412"/>
        <v>4690</v>
      </c>
      <c r="L177">
        <f t="shared" si="413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389"/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496"/>
        <v>200</v>
      </c>
      <c r="S177">
        <f t="shared" si="405"/>
        <v>40010</v>
      </c>
      <c r="T177">
        <f>_xlfn.XLOOKUP(B177,'[2]april-2025'!$A:$A,'[2]april-2025'!$C:$C,0,0)</f>
        <v>33500</v>
      </c>
      <c r="U177">
        <f t="shared" si="414"/>
        <v>6030</v>
      </c>
      <c r="V177">
        <f t="shared" si="415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406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416"/>
        <v>200</v>
      </c>
      <c r="AC177">
        <f t="shared" si="417"/>
        <v>41350</v>
      </c>
      <c r="AD177">
        <f>_xlfn.XLOOKUP(B177,'[3]may-2025'!$A:$A,'[3]may-2025'!$C:$C,0,0)</f>
        <v>33500</v>
      </c>
      <c r="AE177">
        <f t="shared" si="418"/>
        <v>6030</v>
      </c>
      <c r="AF177">
        <f t="shared" si="419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407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420"/>
        <v>200</v>
      </c>
      <c r="AM177">
        <f t="shared" si="421"/>
        <v>41350</v>
      </c>
      <c r="AN177">
        <f>_xlfn.XLOOKUP(B177,'[4]june-2025'!$A:$A,'[4]june-2025'!$C:$C,0,0)</f>
        <v>33500</v>
      </c>
      <c r="AO177">
        <f t="shared" si="422"/>
        <v>6030</v>
      </c>
      <c r="AP177">
        <f t="shared" si="423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408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424"/>
        <v>200</v>
      </c>
      <c r="AW177">
        <f t="shared" si="425"/>
        <v>41350</v>
      </c>
      <c r="AX177">
        <f>_xlfn.XLOOKUP(B177,'[5]july-2025'!$A:$A,'[5]july-2025'!$C:$C,0,0)</f>
        <v>34500</v>
      </c>
      <c r="AY177">
        <f t="shared" si="426"/>
        <v>6210</v>
      </c>
      <c r="AZ177">
        <v>0</v>
      </c>
      <c r="BA177">
        <f t="shared" si="427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390"/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428"/>
        <v>200</v>
      </c>
      <c r="BH177">
        <f t="shared" si="429"/>
        <v>42650</v>
      </c>
      <c r="BI177">
        <f>_xlfn.XLOOKUP(B177,'[6]august-2025'!$A:$A,'[6]august-2025'!$C:$C,0,0)</f>
        <v>34500</v>
      </c>
      <c r="BJ177">
        <f t="shared" si="430"/>
        <v>6210</v>
      </c>
      <c r="BK177">
        <f t="shared" si="431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432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 t="shared" si="391"/>
        <v>200</v>
      </c>
      <c r="BR177">
        <f t="shared" si="392"/>
        <v>42650</v>
      </c>
      <c r="BS177">
        <f>_xlfn.XLOOKUP(B177,'[7]september-2025'!$A:$A,'[7]september-2025'!$C:$C,0,0)</f>
        <v>34500</v>
      </c>
      <c r="BT177">
        <f t="shared" si="433"/>
        <v>6210</v>
      </c>
      <c r="BU177">
        <f t="shared" si="434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393"/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435"/>
        <v>200</v>
      </c>
      <c r="CB177">
        <f t="shared" si="436"/>
        <v>42650</v>
      </c>
      <c r="CC177">
        <f>_xlfn.XLOOKUP(B177,'[8]october-2025'!$A:$A,'[8]october-2025'!$C:$C,0,0)</f>
        <v>34500</v>
      </c>
      <c r="CD177">
        <f t="shared" si="437"/>
        <v>6210</v>
      </c>
      <c r="CE177">
        <f t="shared" si="438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394"/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439"/>
        <v>200</v>
      </c>
      <c r="CL177">
        <f t="shared" si="440"/>
        <v>42650</v>
      </c>
      <c r="CM177">
        <f>_xlfn.XLOOKUP(B177,'[9]november-2025'!$A:$A,'[9]november-2025'!$C:$C,0,0)</f>
        <v>34500</v>
      </c>
      <c r="CN177">
        <f t="shared" si="441"/>
        <v>6210</v>
      </c>
      <c r="CO177">
        <f t="shared" si="442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395"/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443"/>
        <v>200</v>
      </c>
      <c r="CV177">
        <f t="shared" si="444"/>
        <v>42650</v>
      </c>
      <c r="CW177">
        <f>_xlfn.XLOOKUP(B177,'[10]december-2025'!$A:$A,'[10]december-2025'!$C:$C,0,0)</f>
        <v>34500</v>
      </c>
      <c r="CX177">
        <f t="shared" si="445"/>
        <v>6210</v>
      </c>
      <c r="CY177">
        <f t="shared" si="446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396"/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447"/>
        <v>200</v>
      </c>
      <c r="DF177">
        <f t="shared" si="448"/>
        <v>42650</v>
      </c>
      <c r="DG177">
        <f>_xlfn.XLOOKUP(B177,'[11]january-2026'!$A:$A,'[11]january-2026'!$C:$C,0,0)</f>
        <v>34500</v>
      </c>
      <c r="DH177">
        <f t="shared" si="449"/>
        <v>6210</v>
      </c>
      <c r="DI177">
        <f t="shared" si="450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397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51"/>
        <v>200</v>
      </c>
      <c r="DP177">
        <f t="shared" si="452"/>
        <v>42650</v>
      </c>
      <c r="DQ177">
        <f>_xlfn.XLOOKUP(B177,'[12]february-2026'!$A:$A,'[12]february-2026'!$C:$C,0,0)</f>
        <v>34500</v>
      </c>
      <c r="DR177">
        <f t="shared" si="453"/>
        <v>6210</v>
      </c>
      <c r="DS177">
        <f t="shared" si="454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398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55"/>
        <v>200</v>
      </c>
      <c r="DZ177">
        <f t="shared" si="456"/>
        <v>42650</v>
      </c>
      <c r="EA177">
        <f>_xlfn.XLOOKUP(B177,'[1]march-2025'!$A:$A,'[1]march-2025'!$J:$J,0,0)</f>
        <v>0</v>
      </c>
      <c r="EB177">
        <f>_xlfn.XLOOKUP(B177,'[2]april-2025'!$A:$A,'[2]april-2025'!$J:$J,0,0)</f>
        <v>0</v>
      </c>
      <c r="EC177">
        <f>_xlfn.XLOOKUP(B177,'[3]may-2025'!$A:$A,'[3]may-2025'!$J:$J,0,0)</f>
        <v>0</v>
      </c>
      <c r="ED177">
        <f>_xlfn.XLOOKUP(B177,'[4]june-2025'!$A:$A,'[4]june-2025'!$J:$J,0,0)</f>
        <v>0</v>
      </c>
      <c r="EE177">
        <f>_xlfn.XLOOKUP(B177,'[5]july-2025'!$A:$A,'[5]july-2025'!$J:$J,0,0)</f>
        <v>0</v>
      </c>
      <c r="EF177">
        <f>_xlfn.XLOOKUP(B177,'[6]august-2025'!$A:$A,'[6]august-2025'!$J:$J,0,0)</f>
        <v>0</v>
      </c>
      <c r="EG177">
        <f>_xlfn.XLOOKUP(B177,'[7]september-2025'!$A:$A,'[7]september-2025'!$J:$J,0,0)</f>
        <v>0</v>
      </c>
      <c r="EH177">
        <f>_xlfn.XLOOKUP(B177,'[8]october-2025'!$A:$A,'[8]october-2025'!$J:$J,0,0)</f>
        <v>0</v>
      </c>
      <c r="EI177">
        <f>_xlfn.XLOOKUP(C177,'[9]november-2025'!$A:$A,'[9]november-2025'!$J:$J,0,0)</f>
        <v>0</v>
      </c>
      <c r="EJ177">
        <f>_xlfn.XLOOKUP(B177,'[10]december-2025'!$A:$A,'[10]december-2025'!$J:$J,0,0)</f>
        <v>0</v>
      </c>
      <c r="EK177">
        <f>_xlfn.XLOOKUP(B177,'[11]january-2026'!$A:$A,'[11]january-2026'!$J:$J,0,0)</f>
        <v>0</v>
      </c>
      <c r="EL177">
        <f>_xlfn.XLOOKUP(B177,'[12]february-2026'!$A:$A,'[12]february-2026'!$J:$J,0,0)</f>
        <v>0</v>
      </c>
      <c r="EM177">
        <f t="shared" si="409"/>
        <v>0</v>
      </c>
      <c r="EN177">
        <f t="shared" si="399"/>
        <v>544460</v>
      </c>
      <c r="EO177">
        <f t="shared" si="400"/>
        <v>2400</v>
      </c>
      <c r="EP177">
        <f t="shared" si="457"/>
        <v>50000</v>
      </c>
      <c r="EQ177">
        <v>0</v>
      </c>
      <c r="ER177">
        <f t="shared" si="410"/>
        <v>492060</v>
      </c>
      <c r="ES177">
        <f t="shared" si="401"/>
        <v>30000</v>
      </c>
      <c r="ET177">
        <f t="shared" si="402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458"/>
        <v>30000</v>
      </c>
      <c r="FF177">
        <f t="shared" si="459"/>
        <v>30000</v>
      </c>
      <c r="FG177">
        <f t="shared" si="460"/>
        <v>462060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403"/>
        <v>0</v>
      </c>
      <c r="FP177">
        <f t="shared" si="461"/>
        <v>462060</v>
      </c>
      <c r="FQ177">
        <f t="shared" si="462"/>
        <v>10603</v>
      </c>
      <c r="FR177">
        <f t="shared" si="463"/>
        <v>0</v>
      </c>
      <c r="FS177">
        <f t="shared" si="464"/>
        <v>10603</v>
      </c>
      <c r="FT177">
        <f t="shared" si="465"/>
        <v>0</v>
      </c>
      <c r="FU177">
        <f t="shared" si="466"/>
        <v>0</v>
      </c>
      <c r="FV177">
        <f t="shared" si="467"/>
        <v>0</v>
      </c>
      <c r="FW177">
        <v>0</v>
      </c>
      <c r="FX177">
        <f t="shared" si="468"/>
        <v>0</v>
      </c>
      <c r="FY177" t="b">
        <f t="shared" si="469"/>
        <v>1</v>
      </c>
      <c r="FZ177">
        <f t="shared" ca="1" si="470"/>
        <v>857</v>
      </c>
      <c r="GA177">
        <f t="shared" ca="1" si="471"/>
        <v>545317</v>
      </c>
      <c r="GB177">
        <f t="shared" si="472"/>
        <v>75000</v>
      </c>
      <c r="GC177">
        <f t="shared" ca="1" si="473"/>
        <v>470317</v>
      </c>
      <c r="GD177">
        <f t="shared" ca="1" si="474"/>
        <v>0</v>
      </c>
      <c r="GE177">
        <f t="shared" ca="1" si="475"/>
        <v>0</v>
      </c>
      <c r="GF177">
        <f t="shared" ca="1" si="476"/>
        <v>0</v>
      </c>
      <c r="GG177">
        <f t="shared" ca="1" si="477"/>
        <v>0</v>
      </c>
      <c r="GH177">
        <f t="shared" ca="1" si="478"/>
        <v>0</v>
      </c>
      <c r="GI177">
        <f t="shared" ca="1" si="479"/>
        <v>0</v>
      </c>
      <c r="GJ177">
        <f t="shared" ca="1" si="404"/>
        <v>0</v>
      </c>
      <c r="GK177">
        <f t="shared" ca="1" si="480"/>
        <v>0</v>
      </c>
      <c r="GL177">
        <f t="shared" ca="1" si="481"/>
        <v>0</v>
      </c>
      <c r="GM177">
        <f t="shared" ca="1" si="482"/>
        <v>0</v>
      </c>
      <c r="GN177">
        <f t="shared" ca="1" si="483"/>
        <v>70317</v>
      </c>
      <c r="GO177">
        <f t="shared" ca="1" si="484"/>
        <v>3515.8500000000004</v>
      </c>
      <c r="GP177">
        <f t="shared" ca="1" si="485"/>
        <v>3516</v>
      </c>
      <c r="GQ177">
        <f t="shared" ca="1" si="486"/>
        <v>0</v>
      </c>
      <c r="GR177">
        <f t="shared" ca="1" si="487"/>
        <v>0</v>
      </c>
      <c r="GS177">
        <f t="shared" ca="1" si="488"/>
        <v>3516</v>
      </c>
      <c r="GT177">
        <f t="shared" ca="1" si="489"/>
        <v>0</v>
      </c>
      <c r="GU177" t="b">
        <f t="shared" ca="1" si="490"/>
        <v>0</v>
      </c>
      <c r="GV177">
        <f t="shared" ca="1" si="491"/>
        <v>0</v>
      </c>
      <c r="GW177">
        <f t="shared" ca="1" si="492"/>
        <v>3516</v>
      </c>
      <c r="GX177">
        <f t="shared" ca="1" si="493"/>
        <v>0</v>
      </c>
      <c r="GY177">
        <f t="shared" ca="1" si="494"/>
        <v>0</v>
      </c>
      <c r="GZ177">
        <f t="shared" ca="1" si="495"/>
        <v>0</v>
      </c>
    </row>
    <row r="178" spans="1:208" x14ac:dyDescent="0.3">
      <c r="A178">
        <f>_xlfn.AGGREGATE(3,5,$B$2:B178)</f>
        <v>177</v>
      </c>
      <c r="B178" t="s">
        <v>461</v>
      </c>
      <c r="C178" t="s">
        <v>462</v>
      </c>
      <c r="D178" t="s">
        <v>796</v>
      </c>
      <c r="E178" t="s">
        <v>830</v>
      </c>
      <c r="F178" t="s">
        <v>956</v>
      </c>
      <c r="G178" t="s">
        <v>932</v>
      </c>
      <c r="H178">
        <f t="shared" si="498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412"/>
        <v>4690</v>
      </c>
      <c r="L178">
        <f t="shared" si="413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 t="shared" si="389"/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496"/>
        <v>200</v>
      </c>
      <c r="S178">
        <f t="shared" si="405"/>
        <v>39910</v>
      </c>
      <c r="T178">
        <f>_xlfn.XLOOKUP(B178,'[2]april-2025'!$A:$A,'[2]april-2025'!$C:$C,0,0)</f>
        <v>33500</v>
      </c>
      <c r="U178">
        <f t="shared" si="414"/>
        <v>6030</v>
      </c>
      <c r="V178">
        <f t="shared" si="415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406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416"/>
        <v>200</v>
      </c>
      <c r="AC178">
        <f t="shared" si="417"/>
        <v>41250</v>
      </c>
      <c r="AD178">
        <f>_xlfn.XLOOKUP(B178,'[3]may-2025'!$A:$A,'[3]may-2025'!$C:$C,0,0)</f>
        <v>33500</v>
      </c>
      <c r="AE178">
        <f t="shared" si="418"/>
        <v>6030</v>
      </c>
      <c r="AF178">
        <f t="shared" si="419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407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420"/>
        <v>200</v>
      </c>
      <c r="AM178">
        <f t="shared" si="421"/>
        <v>41250</v>
      </c>
      <c r="AN178">
        <f>_xlfn.XLOOKUP(B178,'[4]june-2025'!$A:$A,'[4]june-2025'!$C:$C,0,0)</f>
        <v>33500</v>
      </c>
      <c r="AO178">
        <f t="shared" si="422"/>
        <v>6030</v>
      </c>
      <c r="AP178">
        <f t="shared" si="423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408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424"/>
        <v>200</v>
      </c>
      <c r="AW178">
        <f t="shared" si="425"/>
        <v>41250</v>
      </c>
      <c r="AX178">
        <f>_xlfn.XLOOKUP(B178,'[5]july-2025'!$A:$A,'[5]july-2025'!$C:$C,0,0)</f>
        <v>34500</v>
      </c>
      <c r="AY178">
        <f t="shared" si="426"/>
        <v>6210</v>
      </c>
      <c r="AZ178">
        <v>0</v>
      </c>
      <c r="BA178">
        <f t="shared" si="427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 t="shared" si="390"/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428"/>
        <v>200</v>
      </c>
      <c r="BH178">
        <f t="shared" si="429"/>
        <v>42550</v>
      </c>
      <c r="BI178">
        <f>_xlfn.XLOOKUP(B178,'[6]august-2025'!$A:$A,'[6]august-2025'!$C:$C,0,0)</f>
        <v>34500</v>
      </c>
      <c r="BJ178">
        <f t="shared" si="430"/>
        <v>6210</v>
      </c>
      <c r="BK178">
        <f t="shared" si="431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432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391"/>
        <v>200</v>
      </c>
      <c r="BR178">
        <f t="shared" si="392"/>
        <v>42550</v>
      </c>
      <c r="BS178">
        <f>_xlfn.XLOOKUP(B178,'[7]september-2025'!$A:$A,'[7]september-2025'!$C:$C,0,0)</f>
        <v>34500</v>
      </c>
      <c r="BT178">
        <f t="shared" si="433"/>
        <v>6210</v>
      </c>
      <c r="BU178">
        <f t="shared" si="434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 t="shared" si="393"/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435"/>
        <v>200</v>
      </c>
      <c r="CB178">
        <f t="shared" si="436"/>
        <v>42550</v>
      </c>
      <c r="CC178">
        <f>_xlfn.XLOOKUP(B178,'[8]october-2025'!$A:$A,'[8]october-2025'!$C:$C,0,0)</f>
        <v>34500</v>
      </c>
      <c r="CD178">
        <f t="shared" si="437"/>
        <v>6210</v>
      </c>
      <c r="CE178">
        <f t="shared" si="438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 t="shared" si="394"/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439"/>
        <v>200</v>
      </c>
      <c r="CL178">
        <f t="shared" si="440"/>
        <v>42550</v>
      </c>
      <c r="CM178">
        <f>_xlfn.XLOOKUP(B178,'[9]november-2025'!$A:$A,'[9]november-2025'!$C:$C,0,0)</f>
        <v>34500</v>
      </c>
      <c r="CN178">
        <f t="shared" si="441"/>
        <v>6210</v>
      </c>
      <c r="CO178">
        <f t="shared" si="442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 t="shared" si="395"/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443"/>
        <v>200</v>
      </c>
      <c r="CV178">
        <f t="shared" si="444"/>
        <v>42550</v>
      </c>
      <c r="CW178">
        <f>_xlfn.XLOOKUP(B178,'[10]december-2025'!$A:$A,'[10]december-2025'!$C:$C,0,0)</f>
        <v>34500</v>
      </c>
      <c r="CX178">
        <f t="shared" si="445"/>
        <v>6210</v>
      </c>
      <c r="CY178">
        <f t="shared" si="446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 t="shared" si="396"/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447"/>
        <v>200</v>
      </c>
      <c r="DF178">
        <f t="shared" si="448"/>
        <v>42550</v>
      </c>
      <c r="DG178">
        <f>_xlfn.XLOOKUP(B178,'[11]january-2026'!$A:$A,'[11]january-2026'!$C:$C,0,0)</f>
        <v>34500</v>
      </c>
      <c r="DH178">
        <f t="shared" si="449"/>
        <v>6210</v>
      </c>
      <c r="DI178">
        <f t="shared" si="450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397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51"/>
        <v>200</v>
      </c>
      <c r="DP178">
        <f t="shared" si="452"/>
        <v>42550</v>
      </c>
      <c r="DQ178">
        <f>_xlfn.XLOOKUP(B178,'[12]february-2026'!$A:$A,'[12]february-2026'!$C:$C,0,0)</f>
        <v>34500</v>
      </c>
      <c r="DR178">
        <f t="shared" si="453"/>
        <v>6210</v>
      </c>
      <c r="DS178">
        <f t="shared" si="454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398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55"/>
        <v>200</v>
      </c>
      <c r="DZ178">
        <f t="shared" si="456"/>
        <v>42550</v>
      </c>
      <c r="EA178">
        <f>_xlfn.XLOOKUP(B178,'[1]march-2025'!$A:$A,'[1]march-2025'!$J:$J,0,0)</f>
        <v>0</v>
      </c>
      <c r="EB178">
        <f>_xlfn.XLOOKUP(B178,'[2]april-2025'!$A:$A,'[2]april-2025'!$J:$J,0,0)</f>
        <v>0</v>
      </c>
      <c r="EC178">
        <f>_xlfn.XLOOKUP(B178,'[3]may-2025'!$A:$A,'[3]may-2025'!$J:$J,0,0)</f>
        <v>0</v>
      </c>
      <c r="ED178">
        <f>_xlfn.XLOOKUP(B178,'[4]june-2025'!$A:$A,'[4]june-2025'!$J:$J,0,0)</f>
        <v>0</v>
      </c>
      <c r="EE178">
        <f>_xlfn.XLOOKUP(B178,'[5]july-2025'!$A:$A,'[5]july-2025'!$J:$J,0,0)</f>
        <v>0</v>
      </c>
      <c r="EF178">
        <f>_xlfn.XLOOKUP(B178,'[6]august-2025'!$A:$A,'[6]august-2025'!$J:$J,0,0)</f>
        <v>0</v>
      </c>
      <c r="EG178">
        <f>_xlfn.XLOOKUP(B178,'[7]september-2025'!$A:$A,'[7]september-2025'!$J:$J,0,0)</f>
        <v>0</v>
      </c>
      <c r="EH178">
        <f>_xlfn.XLOOKUP(B178,'[8]october-2025'!$A:$A,'[8]october-2025'!$J:$J,0,0)</f>
        <v>0</v>
      </c>
      <c r="EI178">
        <f>_xlfn.XLOOKUP(C178,'[9]november-2025'!$A:$A,'[9]november-2025'!$J:$J,0,0)</f>
        <v>0</v>
      </c>
      <c r="EJ178">
        <f>_xlfn.XLOOKUP(B178,'[10]december-2025'!$A:$A,'[10]december-2025'!$J:$J,0,0)</f>
        <v>0</v>
      </c>
      <c r="EK178">
        <f>_xlfn.XLOOKUP(B178,'[11]january-2026'!$A:$A,'[11]january-2026'!$J:$J,0,0)</f>
        <v>0</v>
      </c>
      <c r="EL178">
        <f>_xlfn.XLOOKUP(B178,'[12]february-2026'!$A:$A,'[12]february-2026'!$J:$J,0,0)</f>
        <v>0</v>
      </c>
      <c r="EM178">
        <f t="shared" si="409"/>
        <v>0</v>
      </c>
      <c r="EN178">
        <f t="shared" si="399"/>
        <v>549260</v>
      </c>
      <c r="EO178">
        <f t="shared" si="400"/>
        <v>2400</v>
      </c>
      <c r="EP178">
        <f t="shared" si="457"/>
        <v>50000</v>
      </c>
      <c r="EQ178">
        <v>0</v>
      </c>
      <c r="ER178">
        <f t="shared" si="410"/>
        <v>496860</v>
      </c>
      <c r="ES178">
        <f t="shared" si="401"/>
        <v>36000</v>
      </c>
      <c r="ET178">
        <f t="shared" si="402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458"/>
        <v>36000</v>
      </c>
      <c r="FF178">
        <f t="shared" si="459"/>
        <v>36000</v>
      </c>
      <c r="FG178">
        <f t="shared" si="460"/>
        <v>460860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403"/>
        <v>0</v>
      </c>
      <c r="FP178">
        <f t="shared" si="461"/>
        <v>460860</v>
      </c>
      <c r="FQ178">
        <f t="shared" si="462"/>
        <v>10543</v>
      </c>
      <c r="FR178">
        <f t="shared" si="463"/>
        <v>0</v>
      </c>
      <c r="FS178">
        <f t="shared" si="464"/>
        <v>10543</v>
      </c>
      <c r="FT178">
        <f t="shared" si="465"/>
        <v>0</v>
      </c>
      <c r="FU178">
        <f t="shared" si="466"/>
        <v>0</v>
      </c>
      <c r="FV178">
        <f t="shared" si="467"/>
        <v>0</v>
      </c>
      <c r="FW178">
        <v>0</v>
      </c>
      <c r="FX178">
        <f t="shared" si="468"/>
        <v>0</v>
      </c>
      <c r="FY178" t="b">
        <f t="shared" si="469"/>
        <v>1</v>
      </c>
      <c r="FZ178">
        <f t="shared" ca="1" si="470"/>
        <v>924</v>
      </c>
      <c r="GA178">
        <f t="shared" ca="1" si="471"/>
        <v>550184</v>
      </c>
      <c r="GB178">
        <f t="shared" si="472"/>
        <v>75000</v>
      </c>
      <c r="GC178">
        <f t="shared" ca="1" si="473"/>
        <v>475184</v>
      </c>
      <c r="GD178">
        <f t="shared" ca="1" si="474"/>
        <v>0</v>
      </c>
      <c r="GE178">
        <f t="shared" ca="1" si="475"/>
        <v>0</v>
      </c>
      <c r="GF178">
        <f t="shared" ca="1" si="476"/>
        <v>0</v>
      </c>
      <c r="GG178">
        <f t="shared" ca="1" si="477"/>
        <v>0</v>
      </c>
      <c r="GH178">
        <f t="shared" ca="1" si="478"/>
        <v>0</v>
      </c>
      <c r="GI178">
        <f t="shared" ca="1" si="479"/>
        <v>0</v>
      </c>
      <c r="GJ178">
        <f t="shared" ca="1" si="404"/>
        <v>0</v>
      </c>
      <c r="GK178">
        <f t="shared" ca="1" si="480"/>
        <v>0</v>
      </c>
      <c r="GL178">
        <f t="shared" ca="1" si="481"/>
        <v>0</v>
      </c>
      <c r="GM178">
        <f t="shared" ca="1" si="482"/>
        <v>0</v>
      </c>
      <c r="GN178">
        <f t="shared" ca="1" si="483"/>
        <v>75184</v>
      </c>
      <c r="GO178">
        <f t="shared" ca="1" si="484"/>
        <v>3759.2000000000003</v>
      </c>
      <c r="GP178">
        <f t="shared" ca="1" si="485"/>
        <v>3759</v>
      </c>
      <c r="GQ178">
        <f t="shared" ca="1" si="486"/>
        <v>0</v>
      </c>
      <c r="GR178">
        <f t="shared" ca="1" si="487"/>
        <v>0</v>
      </c>
      <c r="GS178">
        <f t="shared" ca="1" si="488"/>
        <v>3759</v>
      </c>
      <c r="GT178">
        <f t="shared" ca="1" si="489"/>
        <v>0</v>
      </c>
      <c r="GU178" t="b">
        <f t="shared" ca="1" si="490"/>
        <v>0</v>
      </c>
      <c r="GV178">
        <f t="shared" ca="1" si="491"/>
        <v>0</v>
      </c>
      <c r="GW178">
        <f t="shared" ca="1" si="492"/>
        <v>3759</v>
      </c>
      <c r="GX178">
        <f t="shared" ca="1" si="493"/>
        <v>0</v>
      </c>
      <c r="GY178">
        <f t="shared" ca="1" si="494"/>
        <v>0</v>
      </c>
      <c r="GZ178">
        <f t="shared" ca="1" si="495"/>
        <v>0</v>
      </c>
    </row>
    <row r="179" spans="1:208" x14ac:dyDescent="0.3">
      <c r="A179">
        <f>_xlfn.AGGREGATE(3,5,$B$2:B179)</f>
        <v>178</v>
      </c>
      <c r="B179" t="s">
        <v>463</v>
      </c>
      <c r="C179" t="s">
        <v>464</v>
      </c>
      <c r="D179" t="s">
        <v>796</v>
      </c>
      <c r="E179" t="s">
        <v>830</v>
      </c>
      <c r="F179" t="s">
        <v>956</v>
      </c>
      <c r="G179" t="s">
        <v>877</v>
      </c>
      <c r="H179">
        <f t="shared" si="498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412"/>
        <v>4830.0000000000009</v>
      </c>
      <c r="L179">
        <f t="shared" si="413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389"/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496"/>
        <v>200</v>
      </c>
      <c r="S179">
        <f t="shared" si="405"/>
        <v>40770</v>
      </c>
      <c r="T179">
        <f>_xlfn.XLOOKUP(B179,'[2]april-2025'!$A:$A,'[2]april-2025'!$C:$C,0,0)</f>
        <v>34500</v>
      </c>
      <c r="U179">
        <f t="shared" si="414"/>
        <v>6210</v>
      </c>
      <c r="V179">
        <f t="shared" si="415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406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416"/>
        <v>200</v>
      </c>
      <c r="AC179">
        <f t="shared" si="417"/>
        <v>42150</v>
      </c>
      <c r="AD179">
        <f>_xlfn.XLOOKUP(B179,'[3]may-2025'!$A:$A,'[3]may-2025'!$C:$C,0,0)</f>
        <v>34500</v>
      </c>
      <c r="AE179">
        <f t="shared" si="418"/>
        <v>6210</v>
      </c>
      <c r="AF179">
        <f t="shared" si="419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407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420"/>
        <v>200</v>
      </c>
      <c r="AM179">
        <f t="shared" si="421"/>
        <v>42150</v>
      </c>
      <c r="AN179">
        <f>_xlfn.XLOOKUP(B179,'[4]june-2025'!$A:$A,'[4]june-2025'!$C:$C,0,0)</f>
        <v>34500</v>
      </c>
      <c r="AO179">
        <f t="shared" si="422"/>
        <v>6210</v>
      </c>
      <c r="AP179">
        <f t="shared" si="423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408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424"/>
        <v>200</v>
      </c>
      <c r="AW179">
        <f t="shared" si="425"/>
        <v>42150</v>
      </c>
      <c r="AX179">
        <f>_xlfn.XLOOKUP(B179,'[5]july-2025'!$A:$A,'[5]july-2025'!$C:$C,0,0)</f>
        <v>35500</v>
      </c>
      <c r="AY179">
        <f t="shared" si="426"/>
        <v>6390</v>
      </c>
      <c r="AZ179">
        <v>0</v>
      </c>
      <c r="BA179">
        <f t="shared" si="427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390"/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428"/>
        <v>200</v>
      </c>
      <c r="BH179">
        <f t="shared" si="429"/>
        <v>43450</v>
      </c>
      <c r="BI179">
        <f>_xlfn.XLOOKUP(B179,'[6]august-2025'!$A:$A,'[6]august-2025'!$C:$C,0,0)</f>
        <v>35500</v>
      </c>
      <c r="BJ179">
        <f t="shared" si="430"/>
        <v>6390</v>
      </c>
      <c r="BK179">
        <f t="shared" si="431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432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391"/>
        <v>200</v>
      </c>
      <c r="BR179">
        <f t="shared" si="392"/>
        <v>43450</v>
      </c>
      <c r="BS179">
        <f>_xlfn.XLOOKUP(B179,'[7]september-2025'!$A:$A,'[7]september-2025'!$C:$C,0,0)</f>
        <v>35500</v>
      </c>
      <c r="BT179">
        <f t="shared" si="433"/>
        <v>6390</v>
      </c>
      <c r="BU179">
        <f t="shared" si="434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393"/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435"/>
        <v>200</v>
      </c>
      <c r="CB179">
        <f t="shared" si="436"/>
        <v>43450</v>
      </c>
      <c r="CC179">
        <f>_xlfn.XLOOKUP(B179,'[8]october-2025'!$A:$A,'[8]october-2025'!$C:$C,0,0)</f>
        <v>35500</v>
      </c>
      <c r="CD179">
        <f t="shared" si="437"/>
        <v>6390</v>
      </c>
      <c r="CE179">
        <f t="shared" si="438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394"/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439"/>
        <v>200</v>
      </c>
      <c r="CL179">
        <f t="shared" si="440"/>
        <v>43450</v>
      </c>
      <c r="CM179">
        <f>_xlfn.XLOOKUP(B179,'[9]november-2025'!$A:$A,'[9]november-2025'!$C:$C,0,0)</f>
        <v>35500</v>
      </c>
      <c r="CN179">
        <f t="shared" si="441"/>
        <v>6390</v>
      </c>
      <c r="CO179">
        <f t="shared" si="442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395"/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443"/>
        <v>200</v>
      </c>
      <c r="CV179">
        <f t="shared" si="444"/>
        <v>43450</v>
      </c>
      <c r="CW179">
        <f>_xlfn.XLOOKUP(B179,'[10]december-2025'!$A:$A,'[10]december-2025'!$C:$C,0,0)</f>
        <v>35500</v>
      </c>
      <c r="CX179">
        <f t="shared" si="445"/>
        <v>6390</v>
      </c>
      <c r="CY179">
        <f t="shared" si="446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396"/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447"/>
        <v>200</v>
      </c>
      <c r="DF179">
        <f t="shared" si="448"/>
        <v>43450</v>
      </c>
      <c r="DG179">
        <f>_xlfn.XLOOKUP(B179,'[11]january-2026'!$A:$A,'[11]january-2026'!$C:$C,0,0)</f>
        <v>35500</v>
      </c>
      <c r="DH179">
        <f t="shared" si="449"/>
        <v>6390</v>
      </c>
      <c r="DI179">
        <f t="shared" si="450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397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51"/>
        <v>200</v>
      </c>
      <c r="DP179">
        <f t="shared" si="452"/>
        <v>43450</v>
      </c>
      <c r="DQ179">
        <f>_xlfn.XLOOKUP(B179,'[12]february-2026'!$A:$A,'[12]february-2026'!$C:$C,0,0)</f>
        <v>35500</v>
      </c>
      <c r="DR179">
        <f t="shared" si="453"/>
        <v>6390</v>
      </c>
      <c r="DS179">
        <f t="shared" si="454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398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55"/>
        <v>200</v>
      </c>
      <c r="DZ179">
        <f t="shared" si="456"/>
        <v>43450</v>
      </c>
      <c r="EA179">
        <f>_xlfn.XLOOKUP(B179,'[1]march-2025'!$A:$A,'[1]march-2025'!$J:$J,0,0)</f>
        <v>0</v>
      </c>
      <c r="EB179">
        <f>_xlfn.XLOOKUP(B179,'[2]april-2025'!$A:$A,'[2]april-2025'!$J:$J,0,0)</f>
        <v>0</v>
      </c>
      <c r="EC179">
        <f>_xlfn.XLOOKUP(B179,'[3]may-2025'!$A:$A,'[3]may-2025'!$J:$J,0,0)</f>
        <v>0</v>
      </c>
      <c r="ED179">
        <f>_xlfn.XLOOKUP(B179,'[4]june-2025'!$A:$A,'[4]june-2025'!$J:$J,0,0)</f>
        <v>0</v>
      </c>
      <c r="EE179">
        <f>_xlfn.XLOOKUP(B179,'[5]july-2025'!$A:$A,'[5]july-2025'!$J:$J,0,0)</f>
        <v>0</v>
      </c>
      <c r="EF179">
        <f>_xlfn.XLOOKUP(B179,'[6]august-2025'!$A:$A,'[6]august-2025'!$J:$J,0,0)</f>
        <v>0</v>
      </c>
      <c r="EG179">
        <f>_xlfn.XLOOKUP(B179,'[7]september-2025'!$A:$A,'[7]september-2025'!$J:$J,0,0)</f>
        <v>0</v>
      </c>
      <c r="EH179">
        <f>_xlfn.XLOOKUP(B179,'[8]october-2025'!$A:$A,'[8]october-2025'!$J:$J,0,0)</f>
        <v>0</v>
      </c>
      <c r="EI179">
        <f>_xlfn.XLOOKUP(C179,'[9]november-2025'!$A:$A,'[9]november-2025'!$J:$J,0,0)</f>
        <v>0</v>
      </c>
      <c r="EJ179">
        <f>_xlfn.XLOOKUP(B179,'[10]december-2025'!$A:$A,'[10]december-2025'!$J:$J,0,0)</f>
        <v>0</v>
      </c>
      <c r="EK179">
        <f>_xlfn.XLOOKUP(B179,'[11]january-2026'!$A:$A,'[11]january-2026'!$J:$J,0,0)</f>
        <v>0</v>
      </c>
      <c r="EL179">
        <f>_xlfn.XLOOKUP(B179,'[12]february-2026'!$A:$A,'[12]february-2026'!$J:$J,0,0)</f>
        <v>0</v>
      </c>
      <c r="EM179">
        <f t="shared" si="409"/>
        <v>0</v>
      </c>
      <c r="EN179">
        <f t="shared" si="399"/>
        <v>560020</v>
      </c>
      <c r="EO179">
        <f t="shared" si="400"/>
        <v>2400</v>
      </c>
      <c r="EP179">
        <f t="shared" si="457"/>
        <v>50000</v>
      </c>
      <c r="EQ179">
        <v>0</v>
      </c>
      <c r="ER179">
        <f t="shared" si="410"/>
        <v>507620</v>
      </c>
      <c r="ES179">
        <f t="shared" si="401"/>
        <v>36000</v>
      </c>
      <c r="ET179">
        <f t="shared" si="402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458"/>
        <v>36000</v>
      </c>
      <c r="FF179">
        <f t="shared" si="459"/>
        <v>36000</v>
      </c>
      <c r="FG179">
        <f t="shared" si="460"/>
        <v>471620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403"/>
        <v>0</v>
      </c>
      <c r="FP179">
        <f t="shared" si="461"/>
        <v>471620</v>
      </c>
      <c r="FQ179">
        <f t="shared" si="462"/>
        <v>11081</v>
      </c>
      <c r="FR179">
        <f t="shared" si="463"/>
        <v>0</v>
      </c>
      <c r="FS179">
        <f t="shared" si="464"/>
        <v>11081</v>
      </c>
      <c r="FT179">
        <f t="shared" si="465"/>
        <v>0</v>
      </c>
      <c r="FU179">
        <f t="shared" si="466"/>
        <v>0</v>
      </c>
      <c r="FV179">
        <f t="shared" si="467"/>
        <v>0</v>
      </c>
      <c r="FW179">
        <v>0</v>
      </c>
      <c r="FX179">
        <f t="shared" si="468"/>
        <v>0</v>
      </c>
      <c r="FY179" t="b">
        <f t="shared" si="469"/>
        <v>1</v>
      </c>
      <c r="FZ179">
        <f t="shared" ca="1" si="470"/>
        <v>776</v>
      </c>
      <c r="GA179">
        <f t="shared" ca="1" si="471"/>
        <v>560796</v>
      </c>
      <c r="GB179">
        <f t="shared" si="472"/>
        <v>75000</v>
      </c>
      <c r="GC179">
        <f t="shared" ca="1" si="473"/>
        <v>485796</v>
      </c>
      <c r="GD179">
        <f t="shared" ca="1" si="474"/>
        <v>0</v>
      </c>
      <c r="GE179">
        <f t="shared" ca="1" si="475"/>
        <v>0</v>
      </c>
      <c r="GF179">
        <f t="shared" ca="1" si="476"/>
        <v>0</v>
      </c>
      <c r="GG179">
        <f t="shared" ca="1" si="477"/>
        <v>0</v>
      </c>
      <c r="GH179">
        <f t="shared" ca="1" si="478"/>
        <v>0</v>
      </c>
      <c r="GI179">
        <f t="shared" ca="1" si="479"/>
        <v>0</v>
      </c>
      <c r="GJ179">
        <f t="shared" ca="1" si="404"/>
        <v>0</v>
      </c>
      <c r="GK179">
        <f t="shared" ca="1" si="480"/>
        <v>0</v>
      </c>
      <c r="GL179">
        <f t="shared" ca="1" si="481"/>
        <v>0</v>
      </c>
      <c r="GM179">
        <f t="shared" ca="1" si="482"/>
        <v>0</v>
      </c>
      <c r="GN179">
        <f t="shared" ca="1" si="483"/>
        <v>85796</v>
      </c>
      <c r="GO179">
        <f t="shared" ca="1" si="484"/>
        <v>4289.8</v>
      </c>
      <c r="GP179">
        <f t="shared" ca="1" si="485"/>
        <v>4290</v>
      </c>
      <c r="GQ179">
        <f t="shared" ca="1" si="486"/>
        <v>0</v>
      </c>
      <c r="GR179">
        <f t="shared" ca="1" si="487"/>
        <v>0</v>
      </c>
      <c r="GS179">
        <f t="shared" ca="1" si="488"/>
        <v>4290</v>
      </c>
      <c r="GT179">
        <f t="shared" ca="1" si="489"/>
        <v>0</v>
      </c>
      <c r="GU179" t="b">
        <f t="shared" ca="1" si="490"/>
        <v>0</v>
      </c>
      <c r="GV179">
        <f t="shared" ca="1" si="491"/>
        <v>0</v>
      </c>
      <c r="GW179">
        <f t="shared" ca="1" si="492"/>
        <v>4290</v>
      </c>
      <c r="GX179">
        <f t="shared" ca="1" si="493"/>
        <v>0</v>
      </c>
      <c r="GY179">
        <f t="shared" ca="1" si="494"/>
        <v>0</v>
      </c>
      <c r="GZ179">
        <f t="shared" ca="1" si="495"/>
        <v>0</v>
      </c>
    </row>
    <row r="180" spans="1:208" x14ac:dyDescent="0.3">
      <c r="A180">
        <f>_xlfn.AGGREGATE(3,5,$B$2:B180)</f>
        <v>179</v>
      </c>
      <c r="B180" t="s">
        <v>465</v>
      </c>
      <c r="C180" t="s">
        <v>466</v>
      </c>
      <c r="D180" t="s">
        <v>796</v>
      </c>
      <c r="E180" t="s">
        <v>830</v>
      </c>
      <c r="F180" t="s">
        <v>956</v>
      </c>
      <c r="G180" t="s">
        <v>932</v>
      </c>
      <c r="H180">
        <f t="shared" si="498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412"/>
        <v>4690</v>
      </c>
      <c r="L180">
        <f t="shared" si="413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389"/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496"/>
        <v>200</v>
      </c>
      <c r="S180">
        <f t="shared" si="405"/>
        <v>39510</v>
      </c>
      <c r="T180">
        <f>_xlfn.XLOOKUP(B180,'[2]april-2025'!$A:$A,'[2]april-2025'!$C:$C,0,0)</f>
        <v>33500</v>
      </c>
      <c r="U180">
        <f t="shared" si="414"/>
        <v>6030</v>
      </c>
      <c r="V180">
        <f t="shared" si="415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406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416"/>
        <v>200</v>
      </c>
      <c r="AC180">
        <f t="shared" si="417"/>
        <v>40850</v>
      </c>
      <c r="AD180">
        <f>_xlfn.XLOOKUP(B180,'[3]may-2025'!$A:$A,'[3]may-2025'!$C:$C,0,0)</f>
        <v>33500</v>
      </c>
      <c r="AE180">
        <f t="shared" si="418"/>
        <v>6030</v>
      </c>
      <c r="AF180">
        <f t="shared" si="419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407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420"/>
        <v>200</v>
      </c>
      <c r="AM180">
        <f t="shared" si="421"/>
        <v>40850</v>
      </c>
      <c r="AN180">
        <f>_xlfn.XLOOKUP(B180,'[4]june-2025'!$A:$A,'[4]june-2025'!$C:$C,0,0)</f>
        <v>33500</v>
      </c>
      <c r="AO180">
        <f t="shared" si="422"/>
        <v>6030</v>
      </c>
      <c r="AP180">
        <f t="shared" si="423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408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424"/>
        <v>200</v>
      </c>
      <c r="AW180">
        <f t="shared" si="425"/>
        <v>40850</v>
      </c>
      <c r="AX180">
        <f>_xlfn.XLOOKUP(B180,'[5]july-2025'!$A:$A,'[5]july-2025'!$C:$C,0,0)</f>
        <v>34500</v>
      </c>
      <c r="AY180">
        <f t="shared" si="426"/>
        <v>6210</v>
      </c>
      <c r="AZ180">
        <v>0</v>
      </c>
      <c r="BA180">
        <f t="shared" si="427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390"/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428"/>
        <v>200</v>
      </c>
      <c r="BH180">
        <f t="shared" si="429"/>
        <v>42150</v>
      </c>
      <c r="BI180">
        <f>_xlfn.XLOOKUP(B180,'[6]august-2025'!$A:$A,'[6]august-2025'!$C:$C,0,0)</f>
        <v>34500</v>
      </c>
      <c r="BJ180">
        <f t="shared" si="430"/>
        <v>6210</v>
      </c>
      <c r="BK180">
        <f t="shared" si="431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432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 t="shared" si="391"/>
        <v>200</v>
      </c>
      <c r="BR180">
        <f t="shared" si="392"/>
        <v>42150</v>
      </c>
      <c r="BS180">
        <f>_xlfn.XLOOKUP(B180,'[7]september-2025'!$A:$A,'[7]september-2025'!$C:$C,0,0)</f>
        <v>34500</v>
      </c>
      <c r="BT180">
        <f t="shared" si="433"/>
        <v>6210</v>
      </c>
      <c r="BU180">
        <f t="shared" si="434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393"/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435"/>
        <v>200</v>
      </c>
      <c r="CB180">
        <f t="shared" si="436"/>
        <v>42150</v>
      </c>
      <c r="CC180">
        <f>_xlfn.XLOOKUP(B180,'[8]october-2025'!$A:$A,'[8]october-2025'!$C:$C,0,0)</f>
        <v>34500</v>
      </c>
      <c r="CD180">
        <f t="shared" si="437"/>
        <v>6210</v>
      </c>
      <c r="CE180">
        <f t="shared" si="438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394"/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439"/>
        <v>200</v>
      </c>
      <c r="CL180">
        <f t="shared" si="440"/>
        <v>42150</v>
      </c>
      <c r="CM180">
        <f>_xlfn.XLOOKUP(B180,'[9]november-2025'!$A:$A,'[9]november-2025'!$C:$C,0,0)</f>
        <v>34500</v>
      </c>
      <c r="CN180">
        <f t="shared" si="441"/>
        <v>6210</v>
      </c>
      <c r="CO180">
        <f t="shared" si="442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395"/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443"/>
        <v>200</v>
      </c>
      <c r="CV180">
        <f t="shared" si="444"/>
        <v>42150</v>
      </c>
      <c r="CW180">
        <f>_xlfn.XLOOKUP(B180,'[10]december-2025'!$A:$A,'[10]december-2025'!$C:$C,0,0)</f>
        <v>34500</v>
      </c>
      <c r="CX180">
        <f t="shared" si="445"/>
        <v>6210</v>
      </c>
      <c r="CY180">
        <f t="shared" si="446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396"/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447"/>
        <v>200</v>
      </c>
      <c r="DF180">
        <f t="shared" si="448"/>
        <v>42150</v>
      </c>
      <c r="DG180">
        <f>_xlfn.XLOOKUP(B180,'[11]january-2026'!$A:$A,'[11]january-2026'!$C:$C,0,0)</f>
        <v>34500</v>
      </c>
      <c r="DH180">
        <f t="shared" si="449"/>
        <v>6210</v>
      </c>
      <c r="DI180">
        <f t="shared" si="450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397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51"/>
        <v>200</v>
      </c>
      <c r="DP180">
        <f t="shared" si="452"/>
        <v>42150</v>
      </c>
      <c r="DQ180">
        <f>_xlfn.XLOOKUP(B180,'[12]february-2026'!$A:$A,'[12]february-2026'!$C:$C,0,0)</f>
        <v>34500</v>
      </c>
      <c r="DR180">
        <f t="shared" si="453"/>
        <v>6210</v>
      </c>
      <c r="DS180">
        <f t="shared" si="454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398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55"/>
        <v>200</v>
      </c>
      <c r="DZ180">
        <f t="shared" si="456"/>
        <v>42150</v>
      </c>
      <c r="EA180">
        <f>_xlfn.XLOOKUP(B180,'[1]march-2025'!$A:$A,'[1]march-2025'!$J:$J,0,0)</f>
        <v>0</v>
      </c>
      <c r="EB180">
        <f>_xlfn.XLOOKUP(B180,'[2]april-2025'!$A:$A,'[2]april-2025'!$J:$J,0,0)</f>
        <v>0</v>
      </c>
      <c r="EC180">
        <f>_xlfn.XLOOKUP(B180,'[3]may-2025'!$A:$A,'[3]may-2025'!$J:$J,0,0)</f>
        <v>0</v>
      </c>
      <c r="ED180">
        <f>_xlfn.XLOOKUP(B180,'[4]june-2025'!$A:$A,'[4]june-2025'!$J:$J,0,0)</f>
        <v>0</v>
      </c>
      <c r="EE180">
        <f>_xlfn.XLOOKUP(B180,'[5]july-2025'!$A:$A,'[5]july-2025'!$J:$J,0,0)</f>
        <v>0</v>
      </c>
      <c r="EF180">
        <f>_xlfn.XLOOKUP(B180,'[6]august-2025'!$A:$A,'[6]august-2025'!$J:$J,0,0)</f>
        <v>0</v>
      </c>
      <c r="EG180">
        <f>_xlfn.XLOOKUP(B180,'[7]september-2025'!$A:$A,'[7]september-2025'!$J:$J,0,0)</f>
        <v>0</v>
      </c>
      <c r="EH180">
        <f>_xlfn.XLOOKUP(B180,'[8]october-2025'!$A:$A,'[8]october-2025'!$J:$J,0,0)</f>
        <v>0</v>
      </c>
      <c r="EI180">
        <f>_xlfn.XLOOKUP(C180,'[9]november-2025'!$A:$A,'[9]november-2025'!$J:$J,0,0)</f>
        <v>0</v>
      </c>
      <c r="EJ180">
        <f>_xlfn.XLOOKUP(B180,'[10]december-2025'!$A:$A,'[10]december-2025'!$J:$J,0,0)</f>
        <v>0</v>
      </c>
      <c r="EK180">
        <f>_xlfn.XLOOKUP(B180,'[11]january-2026'!$A:$A,'[11]january-2026'!$J:$J,0,0)</f>
        <v>0</v>
      </c>
      <c r="EL180">
        <f>_xlfn.XLOOKUP(B180,'[12]february-2026'!$A:$A,'[12]february-2026'!$J:$J,0,0)</f>
        <v>0</v>
      </c>
      <c r="EM180">
        <f t="shared" si="409"/>
        <v>0</v>
      </c>
      <c r="EN180">
        <f t="shared" si="399"/>
        <v>544460</v>
      </c>
      <c r="EO180">
        <f t="shared" si="400"/>
        <v>2400</v>
      </c>
      <c r="EP180">
        <f t="shared" si="457"/>
        <v>50000</v>
      </c>
      <c r="EQ180">
        <v>0</v>
      </c>
      <c r="ER180">
        <f t="shared" si="410"/>
        <v>492060</v>
      </c>
      <c r="ES180">
        <f t="shared" si="401"/>
        <v>36000</v>
      </c>
      <c r="ET180">
        <f t="shared" si="402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458"/>
        <v>36000</v>
      </c>
      <c r="FF180">
        <f t="shared" si="459"/>
        <v>36000</v>
      </c>
      <c r="FG180">
        <f t="shared" si="460"/>
        <v>456060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403"/>
        <v>0</v>
      </c>
      <c r="FP180">
        <f t="shared" si="461"/>
        <v>456060</v>
      </c>
      <c r="FQ180">
        <f t="shared" si="462"/>
        <v>10303</v>
      </c>
      <c r="FR180">
        <f t="shared" si="463"/>
        <v>0</v>
      </c>
      <c r="FS180">
        <f t="shared" si="464"/>
        <v>10303</v>
      </c>
      <c r="FT180">
        <f t="shared" si="465"/>
        <v>0</v>
      </c>
      <c r="FU180">
        <f t="shared" si="466"/>
        <v>0</v>
      </c>
      <c r="FV180">
        <f t="shared" si="467"/>
        <v>0</v>
      </c>
      <c r="FW180">
        <v>0</v>
      </c>
      <c r="FX180">
        <f t="shared" si="468"/>
        <v>0</v>
      </c>
      <c r="FY180" t="b">
        <f t="shared" si="469"/>
        <v>1</v>
      </c>
      <c r="FZ180">
        <f t="shared" ca="1" si="470"/>
        <v>594</v>
      </c>
      <c r="GA180">
        <f t="shared" ca="1" si="471"/>
        <v>545054</v>
      </c>
      <c r="GB180">
        <f t="shared" si="472"/>
        <v>75000</v>
      </c>
      <c r="GC180">
        <f t="shared" ca="1" si="473"/>
        <v>470054</v>
      </c>
      <c r="GD180">
        <f t="shared" ca="1" si="474"/>
        <v>0</v>
      </c>
      <c r="GE180">
        <f t="shared" ca="1" si="475"/>
        <v>0</v>
      </c>
      <c r="GF180">
        <f t="shared" ca="1" si="476"/>
        <v>0</v>
      </c>
      <c r="GG180">
        <f t="shared" ca="1" si="477"/>
        <v>0</v>
      </c>
      <c r="GH180">
        <f t="shared" ca="1" si="478"/>
        <v>0</v>
      </c>
      <c r="GI180">
        <f t="shared" ca="1" si="479"/>
        <v>0</v>
      </c>
      <c r="GJ180">
        <f t="shared" ca="1" si="404"/>
        <v>0</v>
      </c>
      <c r="GK180">
        <f t="shared" ca="1" si="480"/>
        <v>0</v>
      </c>
      <c r="GL180">
        <f t="shared" ca="1" si="481"/>
        <v>0</v>
      </c>
      <c r="GM180">
        <f t="shared" ca="1" si="482"/>
        <v>0</v>
      </c>
      <c r="GN180">
        <f t="shared" ca="1" si="483"/>
        <v>70054</v>
      </c>
      <c r="GO180">
        <f t="shared" ca="1" si="484"/>
        <v>3502.7000000000003</v>
      </c>
      <c r="GP180">
        <f t="shared" ca="1" si="485"/>
        <v>3503</v>
      </c>
      <c r="GQ180">
        <f t="shared" ca="1" si="486"/>
        <v>0</v>
      </c>
      <c r="GR180">
        <f t="shared" ca="1" si="487"/>
        <v>0</v>
      </c>
      <c r="GS180">
        <f t="shared" ca="1" si="488"/>
        <v>3503</v>
      </c>
      <c r="GT180">
        <f t="shared" ca="1" si="489"/>
        <v>0</v>
      </c>
      <c r="GU180" t="b">
        <f t="shared" ca="1" si="490"/>
        <v>0</v>
      </c>
      <c r="GV180">
        <f t="shared" ca="1" si="491"/>
        <v>0</v>
      </c>
      <c r="GW180">
        <f t="shared" ca="1" si="492"/>
        <v>3503</v>
      </c>
      <c r="GX180">
        <f t="shared" ca="1" si="493"/>
        <v>0</v>
      </c>
      <c r="GY180">
        <f t="shared" ca="1" si="494"/>
        <v>0</v>
      </c>
      <c r="GZ180">
        <f t="shared" ca="1" si="495"/>
        <v>0</v>
      </c>
    </row>
    <row r="181" spans="1:208" x14ac:dyDescent="0.3">
      <c r="A181">
        <f>_xlfn.AGGREGATE(3,5,$B$2:B181)</f>
        <v>180</v>
      </c>
      <c r="B181" t="s">
        <v>467</v>
      </c>
      <c r="C181" t="s">
        <v>468</v>
      </c>
      <c r="D181" t="s">
        <v>796</v>
      </c>
      <c r="E181" t="s">
        <v>831</v>
      </c>
      <c r="F181" t="s">
        <v>956</v>
      </c>
      <c r="G181" t="s">
        <v>887</v>
      </c>
      <c r="H181">
        <f t="shared" si="498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412"/>
        <v>5278.0000000000009</v>
      </c>
      <c r="L181">
        <f t="shared" si="413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389"/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496"/>
        <v>200</v>
      </c>
      <c r="S181">
        <f t="shared" si="405"/>
        <v>40802</v>
      </c>
      <c r="T181">
        <f>_xlfn.XLOOKUP(B181,'[2]april-2025'!$A:$A,'[2]april-2025'!$C:$C,0,0)</f>
        <v>37700</v>
      </c>
      <c r="U181">
        <f t="shared" si="414"/>
        <v>6786</v>
      </c>
      <c r="V181">
        <f t="shared" si="415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406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416"/>
        <v>200</v>
      </c>
      <c r="AC181">
        <f t="shared" si="417"/>
        <v>42310</v>
      </c>
      <c r="AD181">
        <f>_xlfn.XLOOKUP(B181,'[3]may-2025'!$A:$A,'[3]may-2025'!$C:$C,0,0)</f>
        <v>37700</v>
      </c>
      <c r="AE181">
        <f t="shared" si="418"/>
        <v>6786</v>
      </c>
      <c r="AF181">
        <f t="shared" si="419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407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420"/>
        <v>200</v>
      </c>
      <c r="AM181">
        <f t="shared" si="421"/>
        <v>42310</v>
      </c>
      <c r="AN181">
        <f>_xlfn.XLOOKUP(B181,'[4]june-2025'!$A:$A,'[4]june-2025'!$C:$C,0,0)</f>
        <v>37700</v>
      </c>
      <c r="AO181">
        <f t="shared" si="422"/>
        <v>6786</v>
      </c>
      <c r="AP181">
        <f t="shared" si="423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408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424"/>
        <v>200</v>
      </c>
      <c r="AW181">
        <f t="shared" si="425"/>
        <v>42310</v>
      </c>
      <c r="AX181">
        <f>_xlfn.XLOOKUP(B181,'[5]july-2025'!$A:$A,'[5]july-2025'!$C:$C,0,0)</f>
        <v>38800</v>
      </c>
      <c r="AY181">
        <f t="shared" si="426"/>
        <v>6984</v>
      </c>
      <c r="AZ181">
        <v>0</v>
      </c>
      <c r="BA181">
        <f t="shared" si="427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390"/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428"/>
        <v>200</v>
      </c>
      <c r="BH181">
        <f t="shared" si="429"/>
        <v>43740</v>
      </c>
      <c r="BI181">
        <f>_xlfn.XLOOKUP(B181,'[6]august-2025'!$A:$A,'[6]august-2025'!$C:$C,0,0)</f>
        <v>38800</v>
      </c>
      <c r="BJ181">
        <f t="shared" si="430"/>
        <v>6984</v>
      </c>
      <c r="BK181">
        <f t="shared" si="431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432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 t="shared" si="391"/>
        <v>200</v>
      </c>
      <c r="BR181">
        <f t="shared" si="392"/>
        <v>43740</v>
      </c>
      <c r="BS181">
        <f>_xlfn.XLOOKUP(B181,'[7]september-2025'!$A:$A,'[7]september-2025'!$C:$C,0,0)</f>
        <v>38800</v>
      </c>
      <c r="BT181">
        <f t="shared" si="433"/>
        <v>6984</v>
      </c>
      <c r="BU181">
        <f t="shared" si="434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393"/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435"/>
        <v>200</v>
      </c>
      <c r="CB181">
        <f t="shared" si="436"/>
        <v>43740</v>
      </c>
      <c r="CC181">
        <f>_xlfn.XLOOKUP(B181,'[8]october-2025'!$A:$A,'[8]october-2025'!$C:$C,0,0)</f>
        <v>38800</v>
      </c>
      <c r="CD181">
        <f t="shared" si="437"/>
        <v>6984</v>
      </c>
      <c r="CE181">
        <f t="shared" si="438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394"/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439"/>
        <v>200</v>
      </c>
      <c r="CL181">
        <f t="shared" si="440"/>
        <v>43740</v>
      </c>
      <c r="CM181">
        <f>_xlfn.XLOOKUP(B181,'[9]november-2025'!$A:$A,'[9]november-2025'!$C:$C,0,0)</f>
        <v>38800</v>
      </c>
      <c r="CN181">
        <f t="shared" si="441"/>
        <v>6984</v>
      </c>
      <c r="CO181">
        <f t="shared" si="442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395"/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443"/>
        <v>200</v>
      </c>
      <c r="CV181">
        <f t="shared" si="444"/>
        <v>43740</v>
      </c>
      <c r="CW181">
        <f>_xlfn.XLOOKUP(B181,'[10]december-2025'!$A:$A,'[10]december-2025'!$C:$C,0,0)</f>
        <v>38800</v>
      </c>
      <c r="CX181">
        <f t="shared" si="445"/>
        <v>6984</v>
      </c>
      <c r="CY181">
        <f t="shared" si="446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396"/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447"/>
        <v>200</v>
      </c>
      <c r="DF181">
        <f t="shared" si="448"/>
        <v>43740</v>
      </c>
      <c r="DG181">
        <f>_xlfn.XLOOKUP(B181,'[11]january-2026'!$A:$A,'[11]january-2026'!$C:$C,0,0)</f>
        <v>38800</v>
      </c>
      <c r="DH181">
        <f t="shared" si="449"/>
        <v>6984</v>
      </c>
      <c r="DI181">
        <f t="shared" si="450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397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51"/>
        <v>200</v>
      </c>
      <c r="DP181">
        <f t="shared" si="452"/>
        <v>43740</v>
      </c>
      <c r="DQ181">
        <f>_xlfn.XLOOKUP(B181,'[12]february-2026'!$A:$A,'[12]february-2026'!$C:$C,0,0)</f>
        <v>38800</v>
      </c>
      <c r="DR181">
        <f t="shared" si="453"/>
        <v>6984</v>
      </c>
      <c r="DS181">
        <f t="shared" si="454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398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55"/>
        <v>200</v>
      </c>
      <c r="DZ181">
        <f t="shared" si="456"/>
        <v>43740</v>
      </c>
      <c r="EA181">
        <f>_xlfn.XLOOKUP(B181,'[1]march-2025'!$A:$A,'[1]march-2025'!$J:$J,0,0)</f>
        <v>0</v>
      </c>
      <c r="EB181">
        <f>_xlfn.XLOOKUP(B181,'[2]april-2025'!$A:$A,'[2]april-2025'!$J:$J,0,0)</f>
        <v>0</v>
      </c>
      <c r="EC181">
        <f>_xlfn.XLOOKUP(B181,'[3]may-2025'!$A:$A,'[3]may-2025'!$J:$J,0,0)</f>
        <v>0</v>
      </c>
      <c r="ED181">
        <f>_xlfn.XLOOKUP(B181,'[4]june-2025'!$A:$A,'[4]june-2025'!$J:$J,0,0)</f>
        <v>0</v>
      </c>
      <c r="EE181">
        <f>_xlfn.XLOOKUP(B181,'[5]july-2025'!$A:$A,'[5]july-2025'!$J:$J,0,0)</f>
        <v>0</v>
      </c>
      <c r="EF181">
        <f>_xlfn.XLOOKUP(B181,'[6]august-2025'!$A:$A,'[6]august-2025'!$J:$J,0,0)</f>
        <v>0</v>
      </c>
      <c r="EG181">
        <f>_xlfn.XLOOKUP(B181,'[7]september-2025'!$A:$A,'[7]september-2025'!$J:$J,0,0)</f>
        <v>0</v>
      </c>
      <c r="EH181">
        <f>_xlfn.XLOOKUP(B181,'[8]october-2025'!$A:$A,'[8]october-2025'!$J:$J,0,0)</f>
        <v>0</v>
      </c>
      <c r="EI181">
        <f>_xlfn.XLOOKUP(C181,'[9]november-2025'!$A:$A,'[9]november-2025'!$J:$J,0,0)</f>
        <v>0</v>
      </c>
      <c r="EJ181">
        <f>_xlfn.XLOOKUP(B181,'[10]december-2025'!$A:$A,'[10]december-2025'!$J:$J,0,0)</f>
        <v>0</v>
      </c>
      <c r="EK181">
        <f>_xlfn.XLOOKUP(B181,'[11]january-2026'!$A:$A,'[11]january-2026'!$J:$J,0,0)</f>
        <v>0</v>
      </c>
      <c r="EL181">
        <f>_xlfn.XLOOKUP(B181,'[12]february-2026'!$A:$A,'[12]february-2026'!$J:$J,0,0)</f>
        <v>0</v>
      </c>
      <c r="EM181">
        <f t="shared" si="409"/>
        <v>0</v>
      </c>
      <c r="EN181">
        <f t="shared" si="399"/>
        <v>610852</v>
      </c>
      <c r="EO181">
        <f t="shared" si="400"/>
        <v>2400</v>
      </c>
      <c r="EP181">
        <f t="shared" si="457"/>
        <v>50000</v>
      </c>
      <c r="EQ181">
        <v>0</v>
      </c>
      <c r="ER181">
        <f t="shared" si="410"/>
        <v>558452</v>
      </c>
      <c r="ES181">
        <f t="shared" si="401"/>
        <v>84000</v>
      </c>
      <c r="ET181">
        <f t="shared" si="402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458"/>
        <v>84000</v>
      </c>
      <c r="FF181">
        <f t="shared" si="459"/>
        <v>84000</v>
      </c>
      <c r="FG181">
        <f t="shared" si="460"/>
        <v>474452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403"/>
        <v>0</v>
      </c>
      <c r="FP181">
        <f t="shared" si="461"/>
        <v>474452</v>
      </c>
      <c r="FQ181">
        <f t="shared" si="462"/>
        <v>11223</v>
      </c>
      <c r="FR181">
        <f t="shared" si="463"/>
        <v>0</v>
      </c>
      <c r="FS181">
        <f t="shared" si="464"/>
        <v>11223</v>
      </c>
      <c r="FT181">
        <f t="shared" si="465"/>
        <v>0</v>
      </c>
      <c r="FU181">
        <f t="shared" si="466"/>
        <v>0</v>
      </c>
      <c r="FV181">
        <f t="shared" si="467"/>
        <v>0</v>
      </c>
      <c r="FW181">
        <v>0</v>
      </c>
      <c r="FX181">
        <f t="shared" si="468"/>
        <v>0</v>
      </c>
      <c r="FY181" t="b">
        <f t="shared" si="469"/>
        <v>1</v>
      </c>
      <c r="FZ181">
        <f t="shared" ca="1" si="470"/>
        <v>768</v>
      </c>
      <c r="GA181">
        <f t="shared" ca="1" si="471"/>
        <v>611620</v>
      </c>
      <c r="GB181">
        <f t="shared" si="472"/>
        <v>75000</v>
      </c>
      <c r="GC181">
        <f t="shared" ca="1" si="473"/>
        <v>536620</v>
      </c>
      <c r="GD181">
        <f t="shared" ca="1" si="474"/>
        <v>0</v>
      </c>
      <c r="GE181">
        <f t="shared" ca="1" si="475"/>
        <v>0</v>
      </c>
      <c r="GF181">
        <f t="shared" ca="1" si="476"/>
        <v>0</v>
      </c>
      <c r="GG181">
        <f t="shared" ca="1" si="477"/>
        <v>0</v>
      </c>
      <c r="GH181">
        <f t="shared" ca="1" si="478"/>
        <v>0</v>
      </c>
      <c r="GI181">
        <f t="shared" ca="1" si="479"/>
        <v>0</v>
      </c>
      <c r="GJ181">
        <f t="shared" ca="1" si="404"/>
        <v>0</v>
      </c>
      <c r="GK181">
        <f t="shared" ca="1" si="480"/>
        <v>0</v>
      </c>
      <c r="GL181">
        <f t="shared" ca="1" si="481"/>
        <v>0</v>
      </c>
      <c r="GM181">
        <f t="shared" ca="1" si="482"/>
        <v>0</v>
      </c>
      <c r="GN181">
        <f t="shared" ca="1" si="483"/>
        <v>136620</v>
      </c>
      <c r="GO181">
        <f t="shared" ca="1" si="484"/>
        <v>6831</v>
      </c>
      <c r="GP181">
        <f t="shared" ca="1" si="485"/>
        <v>6831</v>
      </c>
      <c r="GQ181">
        <f t="shared" ca="1" si="486"/>
        <v>0</v>
      </c>
      <c r="GR181">
        <f t="shared" ca="1" si="487"/>
        <v>0</v>
      </c>
      <c r="GS181">
        <f t="shared" ca="1" si="488"/>
        <v>6831</v>
      </c>
      <c r="GT181">
        <f t="shared" ca="1" si="489"/>
        <v>0</v>
      </c>
      <c r="GU181" t="b">
        <f t="shared" ca="1" si="490"/>
        <v>0</v>
      </c>
      <c r="GV181">
        <f t="shared" ca="1" si="491"/>
        <v>0</v>
      </c>
      <c r="GW181">
        <f t="shared" ca="1" si="492"/>
        <v>6831</v>
      </c>
      <c r="GX181">
        <f t="shared" ca="1" si="493"/>
        <v>0</v>
      </c>
      <c r="GY181">
        <f t="shared" ca="1" si="494"/>
        <v>0</v>
      </c>
      <c r="GZ181">
        <f t="shared" ca="1" si="495"/>
        <v>0</v>
      </c>
    </row>
    <row r="182" spans="1:208" x14ac:dyDescent="0.3">
      <c r="A182">
        <f>_xlfn.AGGREGATE(3,5,$B$2:B182)</f>
        <v>181</v>
      </c>
      <c r="B182" t="s">
        <v>469</v>
      </c>
      <c r="C182" t="s">
        <v>470</v>
      </c>
      <c r="D182" t="s">
        <v>796</v>
      </c>
      <c r="E182" t="s">
        <v>830</v>
      </c>
      <c r="F182" t="s">
        <v>956</v>
      </c>
      <c r="G182" t="s">
        <v>933</v>
      </c>
      <c r="H182">
        <f t="shared" si="498"/>
        <v>6800</v>
      </c>
      <c r="I182">
        <f>_xlfn.XLOOKUP(B182,'[1]march-2025'!$A:$A,'[1]march-2025'!$J:$J,0,0)</f>
        <v>17084</v>
      </c>
      <c r="J182">
        <f>_xlfn.XLOOKUP(B182,'[1]march-2025'!$A:$A,'[1]march-2025'!$C:$C,0,0)</f>
        <v>25400</v>
      </c>
      <c r="K182">
        <f t="shared" si="412"/>
        <v>3556.0000000000005</v>
      </c>
      <c r="L182">
        <f t="shared" si="413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389"/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496"/>
        <v>150</v>
      </c>
      <c r="S182">
        <f t="shared" si="405"/>
        <v>30354</v>
      </c>
      <c r="T182">
        <f>_xlfn.XLOOKUP(B182,'[2]april-2025'!$A:$A,'[2]april-2025'!$C:$C,0,0)</f>
        <v>25400</v>
      </c>
      <c r="U182">
        <f t="shared" si="414"/>
        <v>4572</v>
      </c>
      <c r="V182">
        <f t="shared" si="415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406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416"/>
        <v>150</v>
      </c>
      <c r="AC182">
        <f t="shared" si="417"/>
        <v>31370</v>
      </c>
      <c r="AD182">
        <f>_xlfn.XLOOKUP(B182,'[3]may-2025'!$A:$A,'[3]may-2025'!$C:$C,0,0)</f>
        <v>25400</v>
      </c>
      <c r="AE182">
        <f t="shared" si="418"/>
        <v>4572</v>
      </c>
      <c r="AF182">
        <f t="shared" si="419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407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420"/>
        <v>150</v>
      </c>
      <c r="AM182">
        <f t="shared" si="421"/>
        <v>31370</v>
      </c>
      <c r="AN182">
        <f>_xlfn.XLOOKUP(B182,'[4]june-2025'!$A:$A,'[4]june-2025'!$C:$C,0,0)</f>
        <v>25400</v>
      </c>
      <c r="AO182">
        <f t="shared" si="422"/>
        <v>4572</v>
      </c>
      <c r="AP182">
        <f t="shared" si="423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408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424"/>
        <v>150</v>
      </c>
      <c r="AW182">
        <f t="shared" si="425"/>
        <v>31370</v>
      </c>
      <c r="AX182">
        <f>_xlfn.XLOOKUP(B182,'[5]july-2025'!$A:$A,'[5]july-2025'!$C:$C,0,0)</f>
        <v>26200</v>
      </c>
      <c r="AY182">
        <f t="shared" si="426"/>
        <v>4716</v>
      </c>
      <c r="AZ182">
        <v>0</v>
      </c>
      <c r="BA182">
        <f t="shared" si="427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390"/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428"/>
        <v>150</v>
      </c>
      <c r="BH182">
        <f t="shared" si="429"/>
        <v>32410</v>
      </c>
      <c r="BI182">
        <f>_xlfn.XLOOKUP(B182,'[6]august-2025'!$A:$A,'[6]august-2025'!$C:$C,0,0)</f>
        <v>26200</v>
      </c>
      <c r="BJ182">
        <f t="shared" si="430"/>
        <v>4716</v>
      </c>
      <c r="BK182">
        <f t="shared" si="431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432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391"/>
        <v>150</v>
      </c>
      <c r="BR182">
        <f t="shared" si="392"/>
        <v>32410</v>
      </c>
      <c r="BS182">
        <f>_xlfn.XLOOKUP(B182,'[7]september-2025'!$A:$A,'[7]september-2025'!$C:$C,0,0)</f>
        <v>26200</v>
      </c>
      <c r="BT182">
        <f t="shared" si="433"/>
        <v>4716</v>
      </c>
      <c r="BU182">
        <f t="shared" si="434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393"/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435"/>
        <v>150</v>
      </c>
      <c r="CB182">
        <f t="shared" si="436"/>
        <v>32410</v>
      </c>
      <c r="CC182">
        <f>_xlfn.XLOOKUP(B182,'[8]october-2025'!$A:$A,'[8]october-2025'!$C:$C,0,0)</f>
        <v>26200</v>
      </c>
      <c r="CD182">
        <f t="shared" si="437"/>
        <v>4716</v>
      </c>
      <c r="CE182">
        <f t="shared" si="438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394"/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439"/>
        <v>150</v>
      </c>
      <c r="CL182">
        <f t="shared" si="440"/>
        <v>32410</v>
      </c>
      <c r="CM182">
        <f>_xlfn.XLOOKUP(B182,'[9]november-2025'!$A:$A,'[9]november-2025'!$C:$C,0,0)</f>
        <v>26200</v>
      </c>
      <c r="CN182">
        <f t="shared" si="441"/>
        <v>4716</v>
      </c>
      <c r="CO182">
        <f t="shared" si="442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395"/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443"/>
        <v>150</v>
      </c>
      <c r="CV182">
        <f t="shared" si="444"/>
        <v>32410</v>
      </c>
      <c r="CW182">
        <f>_xlfn.XLOOKUP(B182,'[10]december-2025'!$A:$A,'[10]december-2025'!$C:$C,0,0)</f>
        <v>26200</v>
      </c>
      <c r="CX182">
        <f t="shared" si="445"/>
        <v>4716</v>
      </c>
      <c r="CY182">
        <f t="shared" si="446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396"/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447"/>
        <v>150</v>
      </c>
      <c r="DF182">
        <f t="shared" si="448"/>
        <v>32410</v>
      </c>
      <c r="DG182">
        <f>_xlfn.XLOOKUP(B182,'[11]january-2026'!$A:$A,'[11]january-2026'!$C:$C,0,0)</f>
        <v>26200</v>
      </c>
      <c r="DH182">
        <f t="shared" si="449"/>
        <v>4716</v>
      </c>
      <c r="DI182">
        <f t="shared" si="450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397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51"/>
        <v>150</v>
      </c>
      <c r="DP182">
        <f t="shared" si="452"/>
        <v>32410</v>
      </c>
      <c r="DQ182">
        <f>_xlfn.XLOOKUP(B182,'[12]february-2026'!$A:$A,'[12]february-2026'!$C:$C,0,0)</f>
        <v>26200</v>
      </c>
      <c r="DR182">
        <f t="shared" si="453"/>
        <v>4716</v>
      </c>
      <c r="DS182">
        <f t="shared" si="454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398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55"/>
        <v>150</v>
      </c>
      <c r="DZ182">
        <f t="shared" si="456"/>
        <v>32410</v>
      </c>
      <c r="EA182">
        <f>_xlfn.XLOOKUP(B182,'[1]march-2025'!$A:$A,'[1]march-2025'!$J:$J,0,0)</f>
        <v>17084</v>
      </c>
      <c r="EB182">
        <f>_xlfn.XLOOKUP(B182,'[2]april-2025'!$A:$A,'[2]april-2025'!$J:$J,0,0)</f>
        <v>0</v>
      </c>
      <c r="EC182">
        <f>_xlfn.XLOOKUP(B182,'[3]may-2025'!$A:$A,'[3]may-2025'!$J:$J,0,0)</f>
        <v>0</v>
      </c>
      <c r="ED182">
        <f>_xlfn.XLOOKUP(B182,'[4]june-2025'!$A:$A,'[4]june-2025'!$J:$J,0,0)</f>
        <v>0</v>
      </c>
      <c r="EE182">
        <f>_xlfn.XLOOKUP(B182,'[5]july-2025'!$A:$A,'[5]july-2025'!$J:$J,0,0)</f>
        <v>0</v>
      </c>
      <c r="EF182">
        <f>_xlfn.XLOOKUP(B182,'[6]august-2025'!$A:$A,'[6]august-2025'!$J:$J,0,0)</f>
        <v>0</v>
      </c>
      <c r="EG182">
        <f>_xlfn.XLOOKUP(B182,'[7]september-2025'!$A:$A,'[7]september-2025'!$J:$J,0,0)</f>
        <v>0</v>
      </c>
      <c r="EH182">
        <f>_xlfn.XLOOKUP(B182,'[8]october-2025'!$A:$A,'[8]october-2025'!$J:$J,0,0)</f>
        <v>0</v>
      </c>
      <c r="EI182">
        <f>_xlfn.XLOOKUP(C182,'[9]november-2025'!$A:$A,'[9]november-2025'!$J:$J,0,0)</f>
        <v>0</v>
      </c>
      <c r="EJ182">
        <f>_xlfn.XLOOKUP(B182,'[10]december-2025'!$A:$A,'[10]december-2025'!$J:$J,0,0)</f>
        <v>0</v>
      </c>
      <c r="EK182">
        <f>_xlfn.XLOOKUP(B182,'[11]january-2026'!$A:$A,'[11]january-2026'!$J:$J,0,0)</f>
        <v>0</v>
      </c>
      <c r="EL182">
        <f>_xlfn.XLOOKUP(B182,'[12]february-2026'!$A:$A,'[12]february-2026'!$J:$J,0,0)</f>
        <v>0</v>
      </c>
      <c r="EM182">
        <f t="shared" si="409"/>
        <v>17084</v>
      </c>
      <c r="EN182">
        <f t="shared" si="399"/>
        <v>433428</v>
      </c>
      <c r="EO182">
        <f t="shared" si="400"/>
        <v>1800</v>
      </c>
      <c r="EP182">
        <f t="shared" si="457"/>
        <v>50000</v>
      </c>
      <c r="EQ182">
        <v>0</v>
      </c>
      <c r="ER182">
        <f t="shared" si="410"/>
        <v>398712</v>
      </c>
      <c r="ES182">
        <f t="shared" si="401"/>
        <v>24000</v>
      </c>
      <c r="ET182">
        <f t="shared" si="402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458"/>
        <v>24000</v>
      </c>
      <c r="FF182">
        <f t="shared" si="459"/>
        <v>24000</v>
      </c>
      <c r="FG182">
        <f t="shared" si="460"/>
        <v>374712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403"/>
        <v>0</v>
      </c>
      <c r="FP182">
        <f t="shared" si="461"/>
        <v>374712</v>
      </c>
      <c r="FQ182">
        <f t="shared" si="462"/>
        <v>6236</v>
      </c>
      <c r="FR182">
        <f t="shared" si="463"/>
        <v>0</v>
      </c>
      <c r="FS182">
        <f t="shared" si="464"/>
        <v>6236</v>
      </c>
      <c r="FT182">
        <f t="shared" si="465"/>
        <v>0</v>
      </c>
      <c r="FU182">
        <f t="shared" si="466"/>
        <v>0</v>
      </c>
      <c r="FV182">
        <f t="shared" si="467"/>
        <v>0</v>
      </c>
      <c r="FW182">
        <v>0</v>
      </c>
      <c r="FX182">
        <f t="shared" si="468"/>
        <v>0</v>
      </c>
      <c r="FY182" t="b">
        <f t="shared" si="469"/>
        <v>0</v>
      </c>
      <c r="FZ182">
        <f t="shared" ca="1" si="470"/>
        <v>2716</v>
      </c>
      <c r="GA182">
        <f t="shared" ca="1" si="471"/>
        <v>436144</v>
      </c>
      <c r="GB182">
        <f t="shared" si="472"/>
        <v>75000</v>
      </c>
      <c r="GC182">
        <f t="shared" ca="1" si="473"/>
        <v>361144</v>
      </c>
      <c r="GD182">
        <f t="shared" ca="1" si="474"/>
        <v>0</v>
      </c>
      <c r="GE182">
        <f t="shared" ca="1" si="475"/>
        <v>0</v>
      </c>
      <c r="GF182">
        <f t="shared" ca="1" si="476"/>
        <v>0</v>
      </c>
      <c r="GG182">
        <f t="shared" ca="1" si="477"/>
        <v>0</v>
      </c>
      <c r="GH182">
        <f t="shared" ca="1" si="478"/>
        <v>0</v>
      </c>
      <c r="GI182">
        <f t="shared" ca="1" si="479"/>
        <v>0</v>
      </c>
      <c r="GJ182">
        <f t="shared" ca="1" si="404"/>
        <v>0</v>
      </c>
      <c r="GK182">
        <f t="shared" ca="1" si="480"/>
        <v>0</v>
      </c>
      <c r="GL182">
        <f t="shared" ca="1" si="481"/>
        <v>0</v>
      </c>
      <c r="GM182">
        <f t="shared" ca="1" si="482"/>
        <v>0</v>
      </c>
      <c r="GN182">
        <f t="shared" ca="1" si="483"/>
        <v>0</v>
      </c>
      <c r="GO182">
        <f t="shared" ca="1" si="484"/>
        <v>0</v>
      </c>
      <c r="GP182">
        <f t="shared" ca="1" si="485"/>
        <v>0</v>
      </c>
      <c r="GQ182">
        <f t="shared" ca="1" si="486"/>
        <v>0</v>
      </c>
      <c r="GR182">
        <f t="shared" ca="1" si="487"/>
        <v>0</v>
      </c>
      <c r="GS182">
        <f t="shared" ca="1" si="488"/>
        <v>0</v>
      </c>
      <c r="GT182">
        <f t="shared" ca="1" si="489"/>
        <v>0</v>
      </c>
      <c r="GU182" t="b">
        <f t="shared" ca="1" si="490"/>
        <v>0</v>
      </c>
      <c r="GV182">
        <f t="shared" ca="1" si="491"/>
        <v>0</v>
      </c>
      <c r="GW182">
        <f t="shared" ca="1" si="492"/>
        <v>0</v>
      </c>
      <c r="GX182">
        <f t="shared" ca="1" si="493"/>
        <v>0</v>
      </c>
      <c r="GY182">
        <f t="shared" ca="1" si="494"/>
        <v>0</v>
      </c>
      <c r="GZ182">
        <f t="shared" ca="1" si="495"/>
        <v>0</v>
      </c>
    </row>
    <row r="183" spans="1:208" x14ac:dyDescent="0.3">
      <c r="A183">
        <f>_xlfn.AGGREGATE(3,5,$B$2:B183)</f>
        <v>182</v>
      </c>
      <c r="B183" t="s">
        <v>471</v>
      </c>
      <c r="C183" t="s">
        <v>472</v>
      </c>
      <c r="D183" t="s">
        <v>796</v>
      </c>
      <c r="E183" t="s">
        <v>830</v>
      </c>
      <c r="F183" t="s">
        <v>956</v>
      </c>
      <c r="G183" t="s">
        <v>934</v>
      </c>
      <c r="H183">
        <f t="shared" si="498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412"/>
        <v>4046.0000000000005</v>
      </c>
      <c r="L183">
        <f t="shared" si="413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 t="shared" si="389"/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496"/>
        <v>150</v>
      </c>
      <c r="S183">
        <f t="shared" si="405"/>
        <v>34764</v>
      </c>
      <c r="T183">
        <f>_xlfn.XLOOKUP(B183,'[2]april-2025'!$A:$A,'[2]april-2025'!$C:$C,0,0)</f>
        <v>28900</v>
      </c>
      <c r="U183">
        <f t="shared" si="414"/>
        <v>5202</v>
      </c>
      <c r="V183">
        <f t="shared" si="415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406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416"/>
        <v>150</v>
      </c>
      <c r="AC183">
        <f t="shared" si="417"/>
        <v>35920</v>
      </c>
      <c r="AD183">
        <f>_xlfn.XLOOKUP(B183,'[3]may-2025'!$A:$A,'[3]may-2025'!$C:$C,0,0)</f>
        <v>28900</v>
      </c>
      <c r="AE183">
        <f t="shared" si="418"/>
        <v>5202</v>
      </c>
      <c r="AF183">
        <f t="shared" si="419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407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420"/>
        <v>150</v>
      </c>
      <c r="AM183">
        <f t="shared" si="421"/>
        <v>35920</v>
      </c>
      <c r="AN183">
        <f>_xlfn.XLOOKUP(B183,'[4]june-2025'!$A:$A,'[4]june-2025'!$C:$C,0,0)</f>
        <v>28900</v>
      </c>
      <c r="AO183">
        <f t="shared" si="422"/>
        <v>5202</v>
      </c>
      <c r="AP183">
        <f t="shared" si="423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408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424"/>
        <v>150</v>
      </c>
      <c r="AW183">
        <f t="shared" si="425"/>
        <v>35920</v>
      </c>
      <c r="AX183">
        <f>_xlfn.XLOOKUP(B183,'[5]july-2025'!$A:$A,'[5]july-2025'!$C:$C,0,0)</f>
        <v>29800</v>
      </c>
      <c r="AY183">
        <f t="shared" si="426"/>
        <v>5364</v>
      </c>
      <c r="AZ183">
        <v>0</v>
      </c>
      <c r="BA183">
        <f t="shared" si="427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 t="shared" si="390"/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428"/>
        <v>150</v>
      </c>
      <c r="BH183">
        <f t="shared" si="429"/>
        <v>37090</v>
      </c>
      <c r="BI183">
        <f>_xlfn.XLOOKUP(B183,'[6]august-2025'!$A:$A,'[6]august-2025'!$C:$C,0,0)</f>
        <v>29800</v>
      </c>
      <c r="BJ183">
        <f t="shared" si="430"/>
        <v>5364</v>
      </c>
      <c r="BK183">
        <f t="shared" si="431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432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 t="shared" si="391"/>
        <v>150</v>
      </c>
      <c r="BR183">
        <f t="shared" si="392"/>
        <v>37090</v>
      </c>
      <c r="BS183">
        <f>_xlfn.XLOOKUP(B183,'[7]september-2025'!$A:$A,'[7]september-2025'!$C:$C,0,0)</f>
        <v>29800</v>
      </c>
      <c r="BT183">
        <f t="shared" si="433"/>
        <v>5364</v>
      </c>
      <c r="BU183">
        <f t="shared" si="434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 t="shared" si="393"/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435"/>
        <v>150</v>
      </c>
      <c r="CB183">
        <f t="shared" si="436"/>
        <v>37090</v>
      </c>
      <c r="CC183">
        <f>_xlfn.XLOOKUP(B183,'[8]october-2025'!$A:$A,'[8]october-2025'!$C:$C,0,0)</f>
        <v>29800</v>
      </c>
      <c r="CD183">
        <f t="shared" si="437"/>
        <v>5364</v>
      </c>
      <c r="CE183">
        <f t="shared" si="438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 t="shared" si="394"/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439"/>
        <v>150</v>
      </c>
      <c r="CL183">
        <f t="shared" si="440"/>
        <v>37090</v>
      </c>
      <c r="CM183">
        <f>_xlfn.XLOOKUP(B183,'[9]november-2025'!$A:$A,'[9]november-2025'!$C:$C,0,0)</f>
        <v>29800</v>
      </c>
      <c r="CN183">
        <f t="shared" si="441"/>
        <v>5364</v>
      </c>
      <c r="CO183">
        <f t="shared" si="442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 t="shared" si="395"/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443"/>
        <v>150</v>
      </c>
      <c r="CV183">
        <f t="shared" si="444"/>
        <v>37090</v>
      </c>
      <c r="CW183">
        <f>_xlfn.XLOOKUP(B183,'[10]december-2025'!$A:$A,'[10]december-2025'!$C:$C,0,0)</f>
        <v>29800</v>
      </c>
      <c r="CX183">
        <f t="shared" si="445"/>
        <v>5364</v>
      </c>
      <c r="CY183">
        <f t="shared" si="446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 t="shared" si="396"/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447"/>
        <v>150</v>
      </c>
      <c r="DF183">
        <f t="shared" si="448"/>
        <v>37090</v>
      </c>
      <c r="DG183">
        <f>_xlfn.XLOOKUP(B183,'[11]january-2026'!$A:$A,'[11]january-2026'!$C:$C,0,0)</f>
        <v>29800</v>
      </c>
      <c r="DH183">
        <f t="shared" si="449"/>
        <v>5364</v>
      </c>
      <c r="DI183">
        <f t="shared" si="450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397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51"/>
        <v>150</v>
      </c>
      <c r="DP183">
        <f t="shared" si="452"/>
        <v>37090</v>
      </c>
      <c r="DQ183">
        <f>_xlfn.XLOOKUP(B183,'[12]february-2026'!$A:$A,'[12]february-2026'!$C:$C,0,0)</f>
        <v>29800</v>
      </c>
      <c r="DR183">
        <f t="shared" si="453"/>
        <v>5364</v>
      </c>
      <c r="DS183">
        <f t="shared" si="454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398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55"/>
        <v>150</v>
      </c>
      <c r="DZ183">
        <f t="shared" si="456"/>
        <v>37090</v>
      </c>
      <c r="EA183">
        <f>_xlfn.XLOOKUP(B183,'[1]march-2025'!$A:$A,'[1]march-2025'!$J:$J,0,0)</f>
        <v>0</v>
      </c>
      <c r="EB183">
        <f>_xlfn.XLOOKUP(B183,'[2]april-2025'!$A:$A,'[2]april-2025'!$J:$J,0,0)</f>
        <v>0</v>
      </c>
      <c r="EC183">
        <f>_xlfn.XLOOKUP(B183,'[3]may-2025'!$A:$A,'[3]may-2025'!$J:$J,0,0)</f>
        <v>46920</v>
      </c>
      <c r="ED183">
        <f>_xlfn.XLOOKUP(B183,'[4]june-2025'!$A:$A,'[4]june-2025'!$J:$J,0,0)</f>
        <v>0</v>
      </c>
      <c r="EE183">
        <f>_xlfn.XLOOKUP(B183,'[5]july-2025'!$A:$A,'[5]july-2025'!$J:$J,0,0)</f>
        <v>0</v>
      </c>
      <c r="EF183">
        <f>_xlfn.XLOOKUP(B183,'[6]august-2025'!$A:$A,'[6]august-2025'!$J:$J,0,0)</f>
        <v>0</v>
      </c>
      <c r="EG183">
        <f>_xlfn.XLOOKUP(B183,'[7]september-2025'!$A:$A,'[7]september-2025'!$J:$J,0,0)</f>
        <v>0</v>
      </c>
      <c r="EH183">
        <f>_xlfn.XLOOKUP(B183,'[8]october-2025'!$A:$A,'[8]october-2025'!$J:$J,0,0)</f>
        <v>0</v>
      </c>
      <c r="EI183">
        <f>_xlfn.XLOOKUP(C183,'[9]november-2025'!$A:$A,'[9]november-2025'!$J:$J,0,0)</f>
        <v>0</v>
      </c>
      <c r="EJ183">
        <f>_xlfn.XLOOKUP(B183,'[10]december-2025'!$A:$A,'[10]december-2025'!$J:$J,0,0)</f>
        <v>0</v>
      </c>
      <c r="EK183">
        <f>_xlfn.XLOOKUP(B183,'[11]january-2026'!$A:$A,'[11]january-2026'!$J:$J,0,0)</f>
        <v>0</v>
      </c>
      <c r="EL183">
        <f>_xlfn.XLOOKUP(B183,'[12]february-2026'!$A:$A,'[12]february-2026'!$J:$J,0,0)</f>
        <v>0</v>
      </c>
      <c r="EM183">
        <f t="shared" si="409"/>
        <v>46920</v>
      </c>
      <c r="EN183">
        <f t="shared" si="399"/>
        <v>471844</v>
      </c>
      <c r="EO183">
        <f t="shared" si="400"/>
        <v>1800</v>
      </c>
      <c r="EP183">
        <f t="shared" si="457"/>
        <v>50000</v>
      </c>
      <c r="EQ183">
        <v>0</v>
      </c>
      <c r="ER183">
        <f t="shared" si="410"/>
        <v>466964</v>
      </c>
      <c r="ES183">
        <f t="shared" si="401"/>
        <v>24000</v>
      </c>
      <c r="ET183">
        <f t="shared" si="402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458"/>
        <v>24000</v>
      </c>
      <c r="FF183">
        <f t="shared" si="459"/>
        <v>24000</v>
      </c>
      <c r="FG183">
        <f t="shared" si="460"/>
        <v>442964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403"/>
        <v>0</v>
      </c>
      <c r="FP183">
        <f t="shared" si="461"/>
        <v>442964</v>
      </c>
      <c r="FQ183">
        <f t="shared" si="462"/>
        <v>9648</v>
      </c>
      <c r="FR183">
        <f t="shared" si="463"/>
        <v>0</v>
      </c>
      <c r="FS183">
        <f t="shared" si="464"/>
        <v>9648</v>
      </c>
      <c r="FT183">
        <f t="shared" si="465"/>
        <v>0</v>
      </c>
      <c r="FU183">
        <f t="shared" si="466"/>
        <v>0</v>
      </c>
      <c r="FV183">
        <f t="shared" si="467"/>
        <v>0</v>
      </c>
      <c r="FW183">
        <v>0</v>
      </c>
      <c r="FX183">
        <f t="shared" si="468"/>
        <v>0</v>
      </c>
      <c r="FY183" t="b">
        <f t="shared" si="469"/>
        <v>0</v>
      </c>
      <c r="FZ183">
        <f t="shared" ca="1" si="470"/>
        <v>2547</v>
      </c>
      <c r="GA183">
        <f t="shared" ca="1" si="471"/>
        <v>474391</v>
      </c>
      <c r="GB183">
        <f t="shared" si="472"/>
        <v>75000</v>
      </c>
      <c r="GC183">
        <f t="shared" ca="1" si="473"/>
        <v>399391</v>
      </c>
      <c r="GD183">
        <f t="shared" ca="1" si="474"/>
        <v>0</v>
      </c>
      <c r="GE183">
        <f t="shared" ca="1" si="475"/>
        <v>0</v>
      </c>
      <c r="GF183">
        <f t="shared" ca="1" si="476"/>
        <v>0</v>
      </c>
      <c r="GG183">
        <f t="shared" ca="1" si="477"/>
        <v>0</v>
      </c>
      <c r="GH183">
        <f t="shared" ca="1" si="478"/>
        <v>0</v>
      </c>
      <c r="GI183">
        <f t="shared" ca="1" si="479"/>
        <v>0</v>
      </c>
      <c r="GJ183">
        <f t="shared" ca="1" si="404"/>
        <v>0</v>
      </c>
      <c r="GK183">
        <f t="shared" ca="1" si="480"/>
        <v>0</v>
      </c>
      <c r="GL183">
        <f t="shared" ca="1" si="481"/>
        <v>0</v>
      </c>
      <c r="GM183">
        <f t="shared" ca="1" si="482"/>
        <v>0</v>
      </c>
      <c r="GN183">
        <f t="shared" ca="1" si="483"/>
        <v>0</v>
      </c>
      <c r="GO183">
        <f t="shared" ca="1" si="484"/>
        <v>0</v>
      </c>
      <c r="GP183">
        <f t="shared" ca="1" si="485"/>
        <v>0</v>
      </c>
      <c r="GQ183">
        <f t="shared" ca="1" si="486"/>
        <v>0</v>
      </c>
      <c r="GR183">
        <f t="shared" ca="1" si="487"/>
        <v>0</v>
      </c>
      <c r="GS183">
        <f t="shared" ca="1" si="488"/>
        <v>0</v>
      </c>
      <c r="GT183">
        <f t="shared" ca="1" si="489"/>
        <v>0</v>
      </c>
      <c r="GU183" t="b">
        <f t="shared" ca="1" si="490"/>
        <v>0</v>
      </c>
      <c r="GV183">
        <f t="shared" ca="1" si="491"/>
        <v>0</v>
      </c>
      <c r="GW183">
        <f t="shared" ca="1" si="492"/>
        <v>0</v>
      </c>
      <c r="GX183">
        <f t="shared" ca="1" si="493"/>
        <v>0</v>
      </c>
      <c r="GY183">
        <f t="shared" ca="1" si="494"/>
        <v>0</v>
      </c>
      <c r="GZ183">
        <f t="shared" ca="1" si="495"/>
        <v>0</v>
      </c>
    </row>
    <row r="184" spans="1:208" x14ac:dyDescent="0.3">
      <c r="A184">
        <f>_xlfn.AGGREGATE(3,5,$B$2:B184)</f>
        <v>183</v>
      </c>
      <c r="B184" t="s">
        <v>473</v>
      </c>
      <c r="C184" t="s">
        <v>474</v>
      </c>
      <c r="D184" t="s">
        <v>797</v>
      </c>
      <c r="E184" t="s">
        <v>830</v>
      </c>
      <c r="F184" t="s">
        <v>956</v>
      </c>
      <c r="G184" t="s">
        <v>884</v>
      </c>
      <c r="H184">
        <f t="shared" si="498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412"/>
        <v>7238.0000000000009</v>
      </c>
      <c r="L184">
        <f t="shared" si="413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 t="shared" si="389"/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496"/>
        <v>200</v>
      </c>
      <c r="S184">
        <f t="shared" si="405"/>
        <v>62342</v>
      </c>
      <c r="T184">
        <f>_xlfn.XLOOKUP(B184,'[2]april-2025'!$A:$A,'[2]april-2025'!$C:$C,0,0)</f>
        <v>51700</v>
      </c>
      <c r="U184">
        <f t="shared" si="414"/>
        <v>9306</v>
      </c>
      <c r="V184">
        <f t="shared" si="415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406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416"/>
        <v>200</v>
      </c>
      <c r="AC184">
        <f t="shared" si="417"/>
        <v>64410</v>
      </c>
      <c r="AD184">
        <f>_xlfn.XLOOKUP(B184,'[3]may-2025'!$A:$A,'[3]may-2025'!$C:$C,0,0)</f>
        <v>51700</v>
      </c>
      <c r="AE184">
        <f t="shared" si="418"/>
        <v>9306</v>
      </c>
      <c r="AF184">
        <f t="shared" si="419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407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420"/>
        <v>200</v>
      </c>
      <c r="AM184">
        <f t="shared" si="421"/>
        <v>64410</v>
      </c>
      <c r="AN184">
        <f>_xlfn.XLOOKUP(B184,'[4]june-2025'!$A:$A,'[4]june-2025'!$C:$C,0,0)</f>
        <v>51700</v>
      </c>
      <c r="AO184">
        <f t="shared" si="422"/>
        <v>9306</v>
      </c>
      <c r="AP184">
        <f t="shared" si="423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408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424"/>
        <v>200</v>
      </c>
      <c r="AW184">
        <f t="shared" si="425"/>
        <v>64410</v>
      </c>
      <c r="AX184">
        <f>_xlfn.XLOOKUP(B184,'[5]july-2025'!$A:$A,'[5]july-2025'!$C:$C,0,0)</f>
        <v>53300</v>
      </c>
      <c r="AY184">
        <f t="shared" si="426"/>
        <v>9594</v>
      </c>
      <c r="AZ184">
        <v>0</v>
      </c>
      <c r="BA184">
        <f t="shared" si="427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 t="shared" si="390"/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428"/>
        <v>200</v>
      </c>
      <c r="BH184">
        <f t="shared" si="429"/>
        <v>66490</v>
      </c>
      <c r="BI184">
        <f>_xlfn.XLOOKUP(B184,'[6]august-2025'!$A:$A,'[6]august-2025'!$C:$C,0,0)</f>
        <v>53300</v>
      </c>
      <c r="BJ184">
        <f t="shared" si="430"/>
        <v>9594</v>
      </c>
      <c r="BK184">
        <f t="shared" si="431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432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 t="shared" si="391"/>
        <v>200</v>
      </c>
      <c r="BR184">
        <f t="shared" si="392"/>
        <v>66490</v>
      </c>
      <c r="BS184">
        <f>_xlfn.XLOOKUP(B184,'[7]september-2025'!$A:$A,'[7]september-2025'!$C:$C,0,0)</f>
        <v>53300</v>
      </c>
      <c r="BT184">
        <f t="shared" si="433"/>
        <v>9594</v>
      </c>
      <c r="BU184">
        <f t="shared" si="434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 t="shared" si="393"/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435"/>
        <v>200</v>
      </c>
      <c r="CB184">
        <f t="shared" si="436"/>
        <v>66490</v>
      </c>
      <c r="CC184">
        <f>_xlfn.XLOOKUP(B184,'[8]october-2025'!$A:$A,'[8]october-2025'!$C:$C,0,0)</f>
        <v>53300</v>
      </c>
      <c r="CD184">
        <f t="shared" si="437"/>
        <v>9594</v>
      </c>
      <c r="CE184">
        <f t="shared" si="438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 t="shared" si="394"/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439"/>
        <v>200</v>
      </c>
      <c r="CL184">
        <f t="shared" si="440"/>
        <v>66490</v>
      </c>
      <c r="CM184">
        <f>_xlfn.XLOOKUP(B184,'[9]november-2025'!$A:$A,'[9]november-2025'!$C:$C,0,0)</f>
        <v>53300</v>
      </c>
      <c r="CN184">
        <f t="shared" si="441"/>
        <v>9594</v>
      </c>
      <c r="CO184">
        <f t="shared" si="442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 t="shared" si="395"/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443"/>
        <v>200</v>
      </c>
      <c r="CV184">
        <f t="shared" si="444"/>
        <v>66490</v>
      </c>
      <c r="CW184">
        <f>_xlfn.XLOOKUP(B184,'[10]december-2025'!$A:$A,'[10]december-2025'!$C:$C,0,0)</f>
        <v>53300</v>
      </c>
      <c r="CX184">
        <f t="shared" si="445"/>
        <v>9594</v>
      </c>
      <c r="CY184">
        <f t="shared" si="446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 t="shared" si="396"/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447"/>
        <v>200</v>
      </c>
      <c r="DF184">
        <f t="shared" si="448"/>
        <v>66490</v>
      </c>
      <c r="DG184">
        <f>_xlfn.XLOOKUP(B184,'[11]january-2026'!$A:$A,'[11]january-2026'!$C:$C,0,0)</f>
        <v>53300</v>
      </c>
      <c r="DH184">
        <f t="shared" si="449"/>
        <v>9594</v>
      </c>
      <c r="DI184">
        <f t="shared" si="450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397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51"/>
        <v>200</v>
      </c>
      <c r="DP184">
        <f t="shared" si="452"/>
        <v>66490</v>
      </c>
      <c r="DQ184">
        <f>_xlfn.XLOOKUP(B184,'[12]february-2026'!$A:$A,'[12]february-2026'!$C:$C,0,0)</f>
        <v>53300</v>
      </c>
      <c r="DR184">
        <f t="shared" si="453"/>
        <v>9594</v>
      </c>
      <c r="DS184">
        <f t="shared" si="454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398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55"/>
        <v>200</v>
      </c>
      <c r="DZ184">
        <f t="shared" si="456"/>
        <v>66490</v>
      </c>
      <c r="EA184">
        <f>_xlfn.XLOOKUP(B184,'[1]march-2025'!$A:$A,'[1]march-2025'!$J:$J,0,0)</f>
        <v>0</v>
      </c>
      <c r="EB184">
        <f>_xlfn.XLOOKUP(B184,'[2]april-2025'!$A:$A,'[2]april-2025'!$J:$J,0,0)</f>
        <v>0</v>
      </c>
      <c r="EC184">
        <f>_xlfn.XLOOKUP(B184,'[3]may-2025'!$A:$A,'[3]may-2025'!$J:$J,0,0)</f>
        <v>0</v>
      </c>
      <c r="ED184">
        <f>_xlfn.XLOOKUP(B184,'[4]june-2025'!$A:$A,'[4]june-2025'!$J:$J,0,0)</f>
        <v>0</v>
      </c>
      <c r="EE184">
        <f>_xlfn.XLOOKUP(B184,'[5]july-2025'!$A:$A,'[5]july-2025'!$J:$J,0,0)</f>
        <v>0</v>
      </c>
      <c r="EF184">
        <f>_xlfn.XLOOKUP(B184,'[6]august-2025'!$A:$A,'[6]august-2025'!$J:$J,0,0)</f>
        <v>0</v>
      </c>
      <c r="EG184">
        <f>_xlfn.XLOOKUP(B184,'[7]september-2025'!$A:$A,'[7]september-2025'!$J:$J,0,0)</f>
        <v>0</v>
      </c>
      <c r="EH184">
        <f>_xlfn.XLOOKUP(B184,'[8]october-2025'!$A:$A,'[8]october-2025'!$J:$J,0,0)</f>
        <v>0</v>
      </c>
      <c r="EI184">
        <f>_xlfn.XLOOKUP(C184,'[9]november-2025'!$A:$A,'[9]november-2025'!$J:$J,0,0)</f>
        <v>0</v>
      </c>
      <c r="EJ184">
        <f>_xlfn.XLOOKUP(B184,'[10]december-2025'!$A:$A,'[10]december-2025'!$J:$J,0,0)</f>
        <v>0</v>
      </c>
      <c r="EK184">
        <f>_xlfn.XLOOKUP(B184,'[11]january-2026'!$A:$A,'[11]january-2026'!$J:$J,0,0)</f>
        <v>0</v>
      </c>
      <c r="EL184">
        <f>_xlfn.XLOOKUP(B184,'[12]february-2026'!$A:$A,'[12]february-2026'!$J:$J,0,0)</f>
        <v>0</v>
      </c>
      <c r="EM184">
        <f t="shared" si="409"/>
        <v>0</v>
      </c>
      <c r="EN184">
        <f t="shared" si="399"/>
        <v>838692</v>
      </c>
      <c r="EO184">
        <f t="shared" si="400"/>
        <v>2400</v>
      </c>
      <c r="EP184">
        <f t="shared" si="457"/>
        <v>50000</v>
      </c>
      <c r="EQ184">
        <v>0</v>
      </c>
      <c r="ER184">
        <f t="shared" si="410"/>
        <v>786292</v>
      </c>
      <c r="ES184">
        <f t="shared" si="401"/>
        <v>42000</v>
      </c>
      <c r="ET184">
        <f t="shared" si="402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458"/>
        <v>42000</v>
      </c>
      <c r="FF184">
        <f t="shared" si="459"/>
        <v>42000</v>
      </c>
      <c r="FG184">
        <f t="shared" si="460"/>
        <v>744292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403"/>
        <v>0</v>
      </c>
      <c r="FP184">
        <f t="shared" si="461"/>
        <v>744292</v>
      </c>
      <c r="FQ184">
        <f t="shared" si="462"/>
        <v>12500</v>
      </c>
      <c r="FR184">
        <f t="shared" si="463"/>
        <v>48858</v>
      </c>
      <c r="FS184">
        <f t="shared" si="464"/>
        <v>61358</v>
      </c>
      <c r="FT184">
        <f t="shared" si="465"/>
        <v>61358</v>
      </c>
      <c r="FU184">
        <f t="shared" si="466"/>
        <v>2454.3200000000002</v>
      </c>
      <c r="FV184">
        <f t="shared" si="467"/>
        <v>63812</v>
      </c>
      <c r="FW184">
        <v>0</v>
      </c>
      <c r="FX184">
        <f t="shared" si="468"/>
        <v>63812</v>
      </c>
      <c r="FY184" t="b">
        <f t="shared" si="469"/>
        <v>1</v>
      </c>
      <c r="FZ184">
        <f t="shared" ca="1" si="470"/>
        <v>685</v>
      </c>
      <c r="GA184">
        <f t="shared" ca="1" si="471"/>
        <v>839377</v>
      </c>
      <c r="GB184">
        <f t="shared" si="472"/>
        <v>75000</v>
      </c>
      <c r="GC184">
        <f t="shared" ca="1" si="473"/>
        <v>764377</v>
      </c>
      <c r="GD184">
        <f t="shared" ca="1" si="474"/>
        <v>0</v>
      </c>
      <c r="GE184">
        <f t="shared" ca="1" si="475"/>
        <v>0</v>
      </c>
      <c r="GF184">
        <f t="shared" ca="1" si="476"/>
        <v>0</v>
      </c>
      <c r="GG184">
        <f t="shared" ca="1" si="477"/>
        <v>0</v>
      </c>
      <c r="GH184">
        <f t="shared" ca="1" si="478"/>
        <v>0</v>
      </c>
      <c r="GI184">
        <f t="shared" ca="1" si="479"/>
        <v>0</v>
      </c>
      <c r="GJ184">
        <f t="shared" ca="1" si="404"/>
        <v>0</v>
      </c>
      <c r="GK184">
        <f t="shared" ca="1" si="480"/>
        <v>0</v>
      </c>
      <c r="GL184">
        <f t="shared" ca="1" si="481"/>
        <v>0</v>
      </c>
      <c r="GM184">
        <f t="shared" ca="1" si="482"/>
        <v>0</v>
      </c>
      <c r="GN184">
        <f t="shared" ca="1" si="483"/>
        <v>364377</v>
      </c>
      <c r="GO184">
        <f t="shared" ca="1" si="484"/>
        <v>18218.850000000002</v>
      </c>
      <c r="GP184">
        <f t="shared" ca="1" si="485"/>
        <v>18219</v>
      </c>
      <c r="GQ184">
        <f t="shared" ca="1" si="486"/>
        <v>0</v>
      </c>
      <c r="GR184">
        <f t="shared" ca="1" si="487"/>
        <v>0</v>
      </c>
      <c r="GS184">
        <f t="shared" ca="1" si="488"/>
        <v>18219</v>
      </c>
      <c r="GT184">
        <f t="shared" ca="1" si="489"/>
        <v>0</v>
      </c>
      <c r="GU184" t="b">
        <f t="shared" ca="1" si="490"/>
        <v>0</v>
      </c>
      <c r="GV184">
        <f t="shared" ca="1" si="491"/>
        <v>0</v>
      </c>
      <c r="GW184">
        <f t="shared" ca="1" si="492"/>
        <v>18219</v>
      </c>
      <c r="GX184">
        <f t="shared" ca="1" si="493"/>
        <v>0</v>
      </c>
      <c r="GY184">
        <f t="shared" ca="1" si="494"/>
        <v>0</v>
      </c>
      <c r="GZ184">
        <f t="shared" ca="1" si="495"/>
        <v>0</v>
      </c>
    </row>
    <row r="185" spans="1:208" x14ac:dyDescent="0.3">
      <c r="A185">
        <f>_xlfn.AGGREGATE(3,5,$B$2:B185)</f>
        <v>184</v>
      </c>
      <c r="B185" t="s">
        <v>475</v>
      </c>
      <c r="C185" t="s">
        <v>476</v>
      </c>
      <c r="D185" t="s">
        <v>797</v>
      </c>
      <c r="E185" t="s">
        <v>830</v>
      </c>
      <c r="F185" t="s">
        <v>956</v>
      </c>
      <c r="G185" t="s">
        <v>875</v>
      </c>
      <c r="H185">
        <f t="shared" si="498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412"/>
        <v>6622.0000000000009</v>
      </c>
      <c r="L185">
        <f t="shared" si="413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 t="shared" si="389"/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496"/>
        <v>200</v>
      </c>
      <c r="S185">
        <f t="shared" si="405"/>
        <v>56398</v>
      </c>
      <c r="T185">
        <f>_xlfn.XLOOKUP(B185,'[2]april-2025'!$A:$A,'[2]april-2025'!$C:$C,0,0)</f>
        <v>47300</v>
      </c>
      <c r="U185">
        <f t="shared" si="414"/>
        <v>8514</v>
      </c>
      <c r="V185">
        <f t="shared" si="415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406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416"/>
        <v>200</v>
      </c>
      <c r="AC185">
        <f t="shared" si="417"/>
        <v>58290</v>
      </c>
      <c r="AD185">
        <f>_xlfn.XLOOKUP(B185,'[3]may-2025'!$A:$A,'[3]may-2025'!$C:$C,0,0)</f>
        <v>47300</v>
      </c>
      <c r="AE185">
        <f t="shared" si="418"/>
        <v>8514</v>
      </c>
      <c r="AF185">
        <f t="shared" si="419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407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420"/>
        <v>200</v>
      </c>
      <c r="AM185">
        <f t="shared" si="421"/>
        <v>58290</v>
      </c>
      <c r="AN185">
        <f>_xlfn.XLOOKUP(B185,'[4]june-2025'!$A:$A,'[4]june-2025'!$C:$C,0,0)</f>
        <v>47300</v>
      </c>
      <c r="AO185">
        <f t="shared" si="422"/>
        <v>8514</v>
      </c>
      <c r="AP185">
        <f t="shared" si="423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408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424"/>
        <v>200</v>
      </c>
      <c r="AW185">
        <f t="shared" si="425"/>
        <v>58290</v>
      </c>
      <c r="AX185">
        <f>_xlfn.XLOOKUP(B185,'[5]july-2025'!$A:$A,'[5]july-2025'!$C:$C,0,0)</f>
        <v>48700</v>
      </c>
      <c r="AY185">
        <f t="shared" si="426"/>
        <v>8766</v>
      </c>
      <c r="AZ185">
        <v>0</v>
      </c>
      <c r="BA185">
        <f t="shared" si="427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 t="shared" si="390"/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428"/>
        <v>200</v>
      </c>
      <c r="BH185">
        <f t="shared" si="429"/>
        <v>60110</v>
      </c>
      <c r="BI185">
        <f>_xlfn.XLOOKUP(B185,'[6]august-2025'!$A:$A,'[6]august-2025'!$C:$C,0,0)</f>
        <v>48700</v>
      </c>
      <c r="BJ185">
        <f t="shared" si="430"/>
        <v>8766</v>
      </c>
      <c r="BK185">
        <f t="shared" si="431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432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391"/>
        <v>200</v>
      </c>
      <c r="BR185">
        <f t="shared" si="392"/>
        <v>60110</v>
      </c>
      <c r="BS185">
        <f>_xlfn.XLOOKUP(B185,'[7]september-2025'!$A:$A,'[7]september-2025'!$C:$C,0,0)</f>
        <v>48700</v>
      </c>
      <c r="BT185">
        <f t="shared" si="433"/>
        <v>8766</v>
      </c>
      <c r="BU185">
        <f t="shared" si="434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 t="shared" si="393"/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435"/>
        <v>200</v>
      </c>
      <c r="CB185">
        <f t="shared" si="436"/>
        <v>60110</v>
      </c>
      <c r="CC185">
        <f>_xlfn.XLOOKUP(B185,'[8]october-2025'!$A:$A,'[8]october-2025'!$C:$C,0,0)</f>
        <v>48700</v>
      </c>
      <c r="CD185">
        <f t="shared" si="437"/>
        <v>8766</v>
      </c>
      <c r="CE185">
        <f t="shared" si="438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 t="shared" si="394"/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439"/>
        <v>200</v>
      </c>
      <c r="CL185">
        <f t="shared" si="440"/>
        <v>60110</v>
      </c>
      <c r="CM185">
        <f>_xlfn.XLOOKUP(B185,'[9]november-2025'!$A:$A,'[9]november-2025'!$C:$C,0,0)</f>
        <v>48700</v>
      </c>
      <c r="CN185">
        <f t="shared" si="441"/>
        <v>8766</v>
      </c>
      <c r="CO185">
        <f t="shared" si="442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 t="shared" si="395"/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443"/>
        <v>200</v>
      </c>
      <c r="CV185">
        <f t="shared" si="444"/>
        <v>60110</v>
      </c>
      <c r="CW185">
        <f>_xlfn.XLOOKUP(B185,'[10]december-2025'!$A:$A,'[10]december-2025'!$C:$C,0,0)</f>
        <v>48700</v>
      </c>
      <c r="CX185">
        <f t="shared" si="445"/>
        <v>8766</v>
      </c>
      <c r="CY185">
        <f t="shared" si="446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 t="shared" si="396"/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447"/>
        <v>200</v>
      </c>
      <c r="DF185">
        <f t="shared" si="448"/>
        <v>60110</v>
      </c>
      <c r="DG185">
        <f>_xlfn.XLOOKUP(B185,'[11]january-2026'!$A:$A,'[11]january-2026'!$C:$C,0,0)</f>
        <v>48700</v>
      </c>
      <c r="DH185">
        <f t="shared" si="449"/>
        <v>8766</v>
      </c>
      <c r="DI185">
        <f t="shared" si="450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397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51"/>
        <v>200</v>
      </c>
      <c r="DP185">
        <f t="shared" si="452"/>
        <v>60110</v>
      </c>
      <c r="DQ185">
        <f>_xlfn.XLOOKUP(B185,'[12]february-2026'!$A:$A,'[12]february-2026'!$C:$C,0,0)</f>
        <v>48700</v>
      </c>
      <c r="DR185">
        <f t="shared" si="453"/>
        <v>8766</v>
      </c>
      <c r="DS185">
        <f t="shared" si="454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398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55"/>
        <v>200</v>
      </c>
      <c r="DZ185">
        <f t="shared" si="456"/>
        <v>60110</v>
      </c>
      <c r="EA185">
        <f>_xlfn.XLOOKUP(B185,'[1]march-2025'!$A:$A,'[1]march-2025'!$J:$J,0,0)</f>
        <v>0</v>
      </c>
      <c r="EB185">
        <f>_xlfn.XLOOKUP(B185,'[2]april-2025'!$A:$A,'[2]april-2025'!$J:$J,0,0)</f>
        <v>0</v>
      </c>
      <c r="EC185">
        <f>_xlfn.XLOOKUP(B185,'[3]may-2025'!$A:$A,'[3]may-2025'!$J:$J,0,0)</f>
        <v>0</v>
      </c>
      <c r="ED185">
        <f>_xlfn.XLOOKUP(B185,'[4]june-2025'!$A:$A,'[4]june-2025'!$J:$J,0,0)</f>
        <v>0</v>
      </c>
      <c r="EE185">
        <f>_xlfn.XLOOKUP(B185,'[5]july-2025'!$A:$A,'[5]july-2025'!$J:$J,0,0)</f>
        <v>0</v>
      </c>
      <c r="EF185">
        <f>_xlfn.XLOOKUP(B185,'[6]august-2025'!$A:$A,'[6]august-2025'!$J:$J,0,0)</f>
        <v>0</v>
      </c>
      <c r="EG185">
        <f>_xlfn.XLOOKUP(B185,'[7]september-2025'!$A:$A,'[7]september-2025'!$J:$J,0,0)</f>
        <v>0</v>
      </c>
      <c r="EH185">
        <f>_xlfn.XLOOKUP(B185,'[8]october-2025'!$A:$A,'[8]october-2025'!$J:$J,0,0)</f>
        <v>0</v>
      </c>
      <c r="EI185">
        <f>_xlfn.XLOOKUP(C185,'[9]november-2025'!$A:$A,'[9]november-2025'!$J:$J,0,0)</f>
        <v>0</v>
      </c>
      <c r="EJ185">
        <f>_xlfn.XLOOKUP(B185,'[10]december-2025'!$A:$A,'[10]december-2025'!$J:$J,0,0)</f>
        <v>0</v>
      </c>
      <c r="EK185">
        <f>_xlfn.XLOOKUP(B185,'[11]january-2026'!$A:$A,'[11]january-2026'!$J:$J,0,0)</f>
        <v>0</v>
      </c>
      <c r="EL185">
        <f>_xlfn.XLOOKUP(B185,'[12]february-2026'!$A:$A,'[12]february-2026'!$J:$J,0,0)</f>
        <v>0</v>
      </c>
      <c r="EM185">
        <f t="shared" si="409"/>
        <v>0</v>
      </c>
      <c r="EN185">
        <f t="shared" si="399"/>
        <v>757348</v>
      </c>
      <c r="EO185">
        <f t="shared" si="400"/>
        <v>2400</v>
      </c>
      <c r="EP185">
        <f t="shared" si="457"/>
        <v>50000</v>
      </c>
      <c r="EQ185">
        <v>0</v>
      </c>
      <c r="ER185">
        <f t="shared" si="410"/>
        <v>704948</v>
      </c>
      <c r="ES185">
        <f t="shared" si="401"/>
        <v>36000</v>
      </c>
      <c r="ET185">
        <f t="shared" si="402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458"/>
        <v>36000</v>
      </c>
      <c r="FF185">
        <f t="shared" si="459"/>
        <v>36000</v>
      </c>
      <c r="FG185">
        <f t="shared" si="460"/>
        <v>668948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403"/>
        <v>0</v>
      </c>
      <c r="FP185">
        <f t="shared" si="461"/>
        <v>668948</v>
      </c>
      <c r="FQ185">
        <f t="shared" si="462"/>
        <v>12500</v>
      </c>
      <c r="FR185">
        <f t="shared" si="463"/>
        <v>33790</v>
      </c>
      <c r="FS185">
        <f t="shared" si="464"/>
        <v>46290</v>
      </c>
      <c r="FT185">
        <f t="shared" si="465"/>
        <v>46290</v>
      </c>
      <c r="FU185">
        <f t="shared" si="466"/>
        <v>1851.6000000000001</v>
      </c>
      <c r="FV185">
        <f t="shared" si="467"/>
        <v>48142</v>
      </c>
      <c r="FW185">
        <v>0</v>
      </c>
      <c r="FX185">
        <f t="shared" si="468"/>
        <v>48142</v>
      </c>
      <c r="FY185" t="b">
        <f t="shared" si="469"/>
        <v>1</v>
      </c>
      <c r="FZ185">
        <f t="shared" ca="1" si="470"/>
        <v>990</v>
      </c>
      <c r="GA185">
        <f t="shared" ca="1" si="471"/>
        <v>758338</v>
      </c>
      <c r="GB185">
        <f t="shared" si="472"/>
        <v>75000</v>
      </c>
      <c r="GC185">
        <f t="shared" ca="1" si="473"/>
        <v>683338</v>
      </c>
      <c r="GD185">
        <f t="shared" ca="1" si="474"/>
        <v>0</v>
      </c>
      <c r="GE185">
        <f t="shared" ca="1" si="475"/>
        <v>0</v>
      </c>
      <c r="GF185">
        <f t="shared" ca="1" si="476"/>
        <v>0</v>
      </c>
      <c r="GG185">
        <f t="shared" ca="1" si="477"/>
        <v>0</v>
      </c>
      <c r="GH185">
        <f t="shared" ca="1" si="478"/>
        <v>0</v>
      </c>
      <c r="GI185">
        <f t="shared" ca="1" si="479"/>
        <v>0</v>
      </c>
      <c r="GJ185">
        <f t="shared" ca="1" si="404"/>
        <v>0</v>
      </c>
      <c r="GK185">
        <f t="shared" ca="1" si="480"/>
        <v>0</v>
      </c>
      <c r="GL185">
        <f t="shared" ca="1" si="481"/>
        <v>0</v>
      </c>
      <c r="GM185">
        <f t="shared" ca="1" si="482"/>
        <v>0</v>
      </c>
      <c r="GN185">
        <f t="shared" ca="1" si="483"/>
        <v>283338</v>
      </c>
      <c r="GO185">
        <f t="shared" ca="1" si="484"/>
        <v>14166.900000000001</v>
      </c>
      <c r="GP185">
        <f t="shared" ca="1" si="485"/>
        <v>14167</v>
      </c>
      <c r="GQ185">
        <f t="shared" ca="1" si="486"/>
        <v>0</v>
      </c>
      <c r="GR185">
        <f t="shared" ca="1" si="487"/>
        <v>0</v>
      </c>
      <c r="GS185">
        <f t="shared" ca="1" si="488"/>
        <v>14167</v>
      </c>
      <c r="GT185">
        <f t="shared" ca="1" si="489"/>
        <v>0</v>
      </c>
      <c r="GU185" t="b">
        <f t="shared" ca="1" si="490"/>
        <v>0</v>
      </c>
      <c r="GV185">
        <f t="shared" ca="1" si="491"/>
        <v>0</v>
      </c>
      <c r="GW185">
        <f t="shared" ca="1" si="492"/>
        <v>14167</v>
      </c>
      <c r="GX185">
        <f t="shared" ca="1" si="493"/>
        <v>0</v>
      </c>
      <c r="GY185">
        <f t="shared" ca="1" si="494"/>
        <v>0</v>
      </c>
      <c r="GZ185">
        <f t="shared" ca="1" si="495"/>
        <v>0</v>
      </c>
    </row>
    <row r="186" spans="1:208" x14ac:dyDescent="0.3">
      <c r="A186">
        <f>_xlfn.AGGREGATE(3,5,$B$2:B186)</f>
        <v>185</v>
      </c>
      <c r="B186" t="s">
        <v>477</v>
      </c>
      <c r="C186" t="s">
        <v>478</v>
      </c>
      <c r="D186" t="s">
        <v>797</v>
      </c>
      <c r="E186" t="s">
        <v>830</v>
      </c>
      <c r="F186" t="s">
        <v>956</v>
      </c>
      <c r="G186" t="s">
        <v>907</v>
      </c>
      <c r="H186">
        <f t="shared" si="498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412"/>
        <v>6622.0000000000009</v>
      </c>
      <c r="L186">
        <f t="shared" si="413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389"/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496"/>
        <v>200</v>
      </c>
      <c r="S186">
        <f t="shared" si="405"/>
        <v>56898</v>
      </c>
      <c r="T186">
        <f>_xlfn.XLOOKUP(B186,'[2]april-2025'!$A:$A,'[2]april-2025'!$C:$C,0,0)</f>
        <v>47300</v>
      </c>
      <c r="U186">
        <f t="shared" si="414"/>
        <v>8514</v>
      </c>
      <c r="V186">
        <f t="shared" si="415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406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416"/>
        <v>200</v>
      </c>
      <c r="AC186">
        <f t="shared" si="417"/>
        <v>58790</v>
      </c>
      <c r="AD186">
        <f>_xlfn.XLOOKUP(B186,'[3]may-2025'!$A:$A,'[3]may-2025'!$C:$C,0,0)</f>
        <v>47300</v>
      </c>
      <c r="AE186">
        <f t="shared" si="418"/>
        <v>8514</v>
      </c>
      <c r="AF186">
        <f t="shared" si="419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407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420"/>
        <v>200</v>
      </c>
      <c r="AM186">
        <f t="shared" si="421"/>
        <v>58790</v>
      </c>
      <c r="AN186">
        <f>_xlfn.XLOOKUP(B186,'[4]june-2025'!$A:$A,'[4]june-2025'!$C:$C,0,0)</f>
        <v>47300</v>
      </c>
      <c r="AO186">
        <f t="shared" si="422"/>
        <v>8514</v>
      </c>
      <c r="AP186">
        <f t="shared" si="423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408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424"/>
        <v>200</v>
      </c>
      <c r="AW186">
        <f t="shared" si="425"/>
        <v>58790</v>
      </c>
      <c r="AX186">
        <f>_xlfn.XLOOKUP(B186,'[5]july-2025'!$A:$A,'[5]july-2025'!$C:$C,0,0)</f>
        <v>48700</v>
      </c>
      <c r="AY186">
        <f t="shared" si="426"/>
        <v>8766</v>
      </c>
      <c r="AZ186">
        <v>0</v>
      </c>
      <c r="BA186">
        <f t="shared" si="427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390"/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428"/>
        <v>200</v>
      </c>
      <c r="BH186">
        <f t="shared" si="429"/>
        <v>60610</v>
      </c>
      <c r="BI186">
        <f>_xlfn.XLOOKUP(B186,'[6]august-2025'!$A:$A,'[6]august-2025'!$C:$C,0,0)</f>
        <v>48700</v>
      </c>
      <c r="BJ186">
        <f t="shared" si="430"/>
        <v>8766</v>
      </c>
      <c r="BK186">
        <f t="shared" si="431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432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 t="shared" si="391"/>
        <v>200</v>
      </c>
      <c r="BR186">
        <f t="shared" si="392"/>
        <v>60610</v>
      </c>
      <c r="BS186">
        <f>_xlfn.XLOOKUP(B186,'[7]september-2025'!$A:$A,'[7]september-2025'!$C:$C,0,0)</f>
        <v>48700</v>
      </c>
      <c r="BT186">
        <f t="shared" si="433"/>
        <v>8766</v>
      </c>
      <c r="BU186">
        <f t="shared" si="434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393"/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435"/>
        <v>200</v>
      </c>
      <c r="CB186">
        <f t="shared" si="436"/>
        <v>60610</v>
      </c>
      <c r="CC186">
        <f>_xlfn.XLOOKUP(B186,'[8]october-2025'!$A:$A,'[8]october-2025'!$C:$C,0,0)</f>
        <v>48700</v>
      </c>
      <c r="CD186">
        <f t="shared" si="437"/>
        <v>8766</v>
      </c>
      <c r="CE186">
        <f t="shared" si="438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394"/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439"/>
        <v>200</v>
      </c>
      <c r="CL186">
        <f t="shared" si="440"/>
        <v>60610</v>
      </c>
      <c r="CM186">
        <f>_xlfn.XLOOKUP(B186,'[9]november-2025'!$A:$A,'[9]november-2025'!$C:$C,0,0)</f>
        <v>48700</v>
      </c>
      <c r="CN186">
        <f t="shared" si="441"/>
        <v>8766</v>
      </c>
      <c r="CO186">
        <f t="shared" si="442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395"/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443"/>
        <v>200</v>
      </c>
      <c r="CV186">
        <f t="shared" si="444"/>
        <v>60610</v>
      </c>
      <c r="CW186">
        <f>_xlfn.XLOOKUP(B186,'[10]december-2025'!$A:$A,'[10]december-2025'!$C:$C,0,0)</f>
        <v>48700</v>
      </c>
      <c r="CX186">
        <f t="shared" si="445"/>
        <v>8766</v>
      </c>
      <c r="CY186">
        <f t="shared" si="446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396"/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447"/>
        <v>200</v>
      </c>
      <c r="DF186">
        <f t="shared" si="448"/>
        <v>60610</v>
      </c>
      <c r="DG186">
        <f>_xlfn.XLOOKUP(B186,'[11]january-2026'!$A:$A,'[11]january-2026'!$C:$C,0,0)</f>
        <v>48700</v>
      </c>
      <c r="DH186">
        <f t="shared" si="449"/>
        <v>8766</v>
      </c>
      <c r="DI186">
        <f t="shared" si="450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397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51"/>
        <v>200</v>
      </c>
      <c r="DP186">
        <f t="shared" si="452"/>
        <v>60610</v>
      </c>
      <c r="DQ186">
        <f>_xlfn.XLOOKUP(B186,'[12]february-2026'!$A:$A,'[12]february-2026'!$C:$C,0,0)</f>
        <v>48700</v>
      </c>
      <c r="DR186">
        <f t="shared" si="453"/>
        <v>8766</v>
      </c>
      <c r="DS186">
        <f t="shared" si="454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398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55"/>
        <v>200</v>
      </c>
      <c r="DZ186">
        <f t="shared" si="456"/>
        <v>60610</v>
      </c>
      <c r="EA186">
        <f>_xlfn.XLOOKUP(B186,'[1]march-2025'!$A:$A,'[1]march-2025'!$J:$J,0,0)</f>
        <v>0</v>
      </c>
      <c r="EB186">
        <f>_xlfn.XLOOKUP(B186,'[2]april-2025'!$A:$A,'[2]april-2025'!$J:$J,0,0)</f>
        <v>0</v>
      </c>
      <c r="EC186">
        <f>_xlfn.XLOOKUP(B186,'[3]may-2025'!$A:$A,'[3]may-2025'!$J:$J,0,0)</f>
        <v>0</v>
      </c>
      <c r="ED186">
        <f>_xlfn.XLOOKUP(B186,'[4]june-2025'!$A:$A,'[4]june-2025'!$J:$J,0,0)</f>
        <v>0</v>
      </c>
      <c r="EE186">
        <f>_xlfn.XLOOKUP(B186,'[5]july-2025'!$A:$A,'[5]july-2025'!$J:$J,0,0)</f>
        <v>0</v>
      </c>
      <c r="EF186">
        <f>_xlfn.XLOOKUP(B186,'[6]august-2025'!$A:$A,'[6]august-2025'!$J:$J,0,0)</f>
        <v>0</v>
      </c>
      <c r="EG186">
        <f>_xlfn.XLOOKUP(B186,'[7]september-2025'!$A:$A,'[7]september-2025'!$J:$J,0,0)</f>
        <v>0</v>
      </c>
      <c r="EH186">
        <f>_xlfn.XLOOKUP(B186,'[8]october-2025'!$A:$A,'[8]october-2025'!$J:$J,0,0)</f>
        <v>0</v>
      </c>
      <c r="EI186">
        <f>_xlfn.XLOOKUP(C186,'[9]november-2025'!$A:$A,'[9]november-2025'!$J:$J,0,0)</f>
        <v>0</v>
      </c>
      <c r="EJ186">
        <f>_xlfn.XLOOKUP(B186,'[10]december-2025'!$A:$A,'[10]december-2025'!$J:$J,0,0)</f>
        <v>0</v>
      </c>
      <c r="EK186">
        <f>_xlfn.XLOOKUP(B186,'[11]january-2026'!$A:$A,'[11]january-2026'!$J:$J,0,0)</f>
        <v>0</v>
      </c>
      <c r="EL186">
        <f>_xlfn.XLOOKUP(B186,'[12]february-2026'!$A:$A,'[12]february-2026'!$J:$J,0,0)</f>
        <v>0</v>
      </c>
      <c r="EM186">
        <f t="shared" si="409"/>
        <v>0</v>
      </c>
      <c r="EN186">
        <f t="shared" si="399"/>
        <v>763348</v>
      </c>
      <c r="EO186">
        <f t="shared" si="400"/>
        <v>2400</v>
      </c>
      <c r="EP186">
        <f t="shared" si="457"/>
        <v>50000</v>
      </c>
      <c r="EQ186">
        <v>0</v>
      </c>
      <c r="ER186">
        <f t="shared" si="410"/>
        <v>710948</v>
      </c>
      <c r="ES186">
        <f t="shared" si="401"/>
        <v>36000</v>
      </c>
      <c r="ET186">
        <f t="shared" si="402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458"/>
        <v>36000</v>
      </c>
      <c r="FF186">
        <f t="shared" si="459"/>
        <v>36000</v>
      </c>
      <c r="FG186">
        <f t="shared" si="460"/>
        <v>674948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403"/>
        <v>0</v>
      </c>
      <c r="FP186">
        <f t="shared" si="461"/>
        <v>674948</v>
      </c>
      <c r="FQ186">
        <f t="shared" si="462"/>
        <v>12500</v>
      </c>
      <c r="FR186">
        <f t="shared" si="463"/>
        <v>34990</v>
      </c>
      <c r="FS186">
        <f t="shared" si="464"/>
        <v>47490</v>
      </c>
      <c r="FT186">
        <f t="shared" si="465"/>
        <v>47490</v>
      </c>
      <c r="FU186">
        <f t="shared" si="466"/>
        <v>1899.6000000000001</v>
      </c>
      <c r="FV186">
        <f t="shared" si="467"/>
        <v>49390</v>
      </c>
      <c r="FW186">
        <v>0</v>
      </c>
      <c r="FX186">
        <f t="shared" si="468"/>
        <v>49390</v>
      </c>
      <c r="FY186" t="b">
        <f t="shared" si="469"/>
        <v>1</v>
      </c>
      <c r="FZ186">
        <f t="shared" ca="1" si="470"/>
        <v>724</v>
      </c>
      <c r="GA186">
        <f t="shared" ca="1" si="471"/>
        <v>764072</v>
      </c>
      <c r="GB186">
        <f t="shared" si="472"/>
        <v>75000</v>
      </c>
      <c r="GC186">
        <f t="shared" ca="1" si="473"/>
        <v>689072</v>
      </c>
      <c r="GD186">
        <f t="shared" ca="1" si="474"/>
        <v>0</v>
      </c>
      <c r="GE186">
        <f t="shared" ca="1" si="475"/>
        <v>0</v>
      </c>
      <c r="GF186">
        <f t="shared" ca="1" si="476"/>
        <v>0</v>
      </c>
      <c r="GG186">
        <f t="shared" ca="1" si="477"/>
        <v>0</v>
      </c>
      <c r="GH186">
        <f t="shared" ca="1" si="478"/>
        <v>0</v>
      </c>
      <c r="GI186">
        <f t="shared" ca="1" si="479"/>
        <v>0</v>
      </c>
      <c r="GJ186">
        <f t="shared" ca="1" si="404"/>
        <v>0</v>
      </c>
      <c r="GK186">
        <f t="shared" ca="1" si="480"/>
        <v>0</v>
      </c>
      <c r="GL186">
        <f t="shared" ca="1" si="481"/>
        <v>0</v>
      </c>
      <c r="GM186">
        <f t="shared" ca="1" si="482"/>
        <v>0</v>
      </c>
      <c r="GN186">
        <f t="shared" ca="1" si="483"/>
        <v>289072</v>
      </c>
      <c r="GO186">
        <f t="shared" ca="1" si="484"/>
        <v>14453.6</v>
      </c>
      <c r="GP186">
        <f t="shared" ca="1" si="485"/>
        <v>14454</v>
      </c>
      <c r="GQ186">
        <f t="shared" ca="1" si="486"/>
        <v>0</v>
      </c>
      <c r="GR186">
        <f t="shared" ca="1" si="487"/>
        <v>0</v>
      </c>
      <c r="GS186">
        <f t="shared" ca="1" si="488"/>
        <v>14454</v>
      </c>
      <c r="GT186">
        <f t="shared" ca="1" si="489"/>
        <v>0</v>
      </c>
      <c r="GU186" t="b">
        <f t="shared" ca="1" si="490"/>
        <v>0</v>
      </c>
      <c r="GV186">
        <f t="shared" ca="1" si="491"/>
        <v>0</v>
      </c>
      <c r="GW186">
        <f t="shared" ca="1" si="492"/>
        <v>14454</v>
      </c>
      <c r="GX186">
        <f t="shared" ca="1" si="493"/>
        <v>0</v>
      </c>
      <c r="GY186">
        <f t="shared" ca="1" si="494"/>
        <v>0</v>
      </c>
      <c r="GZ186">
        <f t="shared" ca="1" si="495"/>
        <v>0</v>
      </c>
    </row>
    <row r="187" spans="1:208" x14ac:dyDescent="0.3">
      <c r="A187">
        <f>_xlfn.AGGREGATE(3,5,$B$2:B187)</f>
        <v>186</v>
      </c>
      <c r="B187" t="s">
        <v>479</v>
      </c>
      <c r="C187" t="s">
        <v>480</v>
      </c>
      <c r="D187" t="s">
        <v>797</v>
      </c>
      <c r="E187" t="s">
        <v>830</v>
      </c>
      <c r="F187" t="s">
        <v>956</v>
      </c>
      <c r="G187" t="s">
        <v>890</v>
      </c>
      <c r="H187">
        <f t="shared" si="498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412"/>
        <v>4830.0000000000009</v>
      </c>
      <c r="L187">
        <f t="shared" si="413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389"/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496"/>
        <v>200</v>
      </c>
      <c r="S187">
        <f t="shared" si="405"/>
        <v>41270</v>
      </c>
      <c r="T187">
        <f>_xlfn.XLOOKUP(B187,'[2]april-2025'!$A:$A,'[2]april-2025'!$C:$C,0,0)</f>
        <v>34500</v>
      </c>
      <c r="U187">
        <f t="shared" si="414"/>
        <v>6210</v>
      </c>
      <c r="V187">
        <f t="shared" si="415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406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416"/>
        <v>200</v>
      </c>
      <c r="AC187">
        <f t="shared" si="417"/>
        <v>42650</v>
      </c>
      <c r="AD187">
        <f>_xlfn.XLOOKUP(B187,'[3]may-2025'!$A:$A,'[3]may-2025'!$C:$C,0,0)</f>
        <v>34500</v>
      </c>
      <c r="AE187">
        <f t="shared" si="418"/>
        <v>6210</v>
      </c>
      <c r="AF187">
        <f t="shared" si="419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407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420"/>
        <v>200</v>
      </c>
      <c r="AM187">
        <f t="shared" si="421"/>
        <v>42650</v>
      </c>
      <c r="AN187">
        <f>_xlfn.XLOOKUP(B187,'[4]june-2025'!$A:$A,'[4]june-2025'!$C:$C,0,0)</f>
        <v>34500</v>
      </c>
      <c r="AO187">
        <f t="shared" si="422"/>
        <v>6210</v>
      </c>
      <c r="AP187">
        <f t="shared" si="423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408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424"/>
        <v>200</v>
      </c>
      <c r="AW187">
        <f t="shared" si="425"/>
        <v>42650</v>
      </c>
      <c r="AX187">
        <f>_xlfn.XLOOKUP(B187,'[5]july-2025'!$A:$A,'[5]july-2025'!$C:$C,0,0)</f>
        <v>35500</v>
      </c>
      <c r="AY187">
        <f t="shared" si="426"/>
        <v>6390</v>
      </c>
      <c r="AZ187">
        <v>0</v>
      </c>
      <c r="BA187">
        <f t="shared" si="427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390"/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428"/>
        <v>200</v>
      </c>
      <c r="BH187">
        <f t="shared" si="429"/>
        <v>43950</v>
      </c>
      <c r="BI187">
        <f>_xlfn.XLOOKUP(B187,'[6]august-2025'!$A:$A,'[6]august-2025'!$C:$C,0,0)</f>
        <v>35500</v>
      </c>
      <c r="BJ187">
        <f t="shared" si="430"/>
        <v>6390</v>
      </c>
      <c r="BK187">
        <f t="shared" si="431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432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391"/>
        <v>200</v>
      </c>
      <c r="BR187">
        <f t="shared" si="392"/>
        <v>43950</v>
      </c>
      <c r="BS187">
        <f>_xlfn.XLOOKUP(B187,'[7]september-2025'!$A:$A,'[7]september-2025'!$C:$C,0,0)</f>
        <v>35500</v>
      </c>
      <c r="BT187">
        <f t="shared" si="433"/>
        <v>6390</v>
      </c>
      <c r="BU187">
        <f t="shared" si="434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393"/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435"/>
        <v>200</v>
      </c>
      <c r="CB187">
        <f t="shared" si="436"/>
        <v>43950</v>
      </c>
      <c r="CC187">
        <f>_xlfn.XLOOKUP(B187,'[8]october-2025'!$A:$A,'[8]october-2025'!$C:$C,0,0)</f>
        <v>35500</v>
      </c>
      <c r="CD187">
        <f t="shared" si="437"/>
        <v>6390</v>
      </c>
      <c r="CE187">
        <f t="shared" si="438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394"/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439"/>
        <v>200</v>
      </c>
      <c r="CL187">
        <f t="shared" si="440"/>
        <v>43950</v>
      </c>
      <c r="CM187">
        <f>_xlfn.XLOOKUP(B187,'[9]november-2025'!$A:$A,'[9]november-2025'!$C:$C,0,0)</f>
        <v>35500</v>
      </c>
      <c r="CN187">
        <f t="shared" si="441"/>
        <v>6390</v>
      </c>
      <c r="CO187">
        <f t="shared" si="442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395"/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443"/>
        <v>200</v>
      </c>
      <c r="CV187">
        <f t="shared" si="444"/>
        <v>43950</v>
      </c>
      <c r="CW187">
        <f>_xlfn.XLOOKUP(B187,'[10]december-2025'!$A:$A,'[10]december-2025'!$C:$C,0,0)</f>
        <v>35500</v>
      </c>
      <c r="CX187">
        <f t="shared" si="445"/>
        <v>6390</v>
      </c>
      <c r="CY187">
        <f t="shared" si="446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396"/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447"/>
        <v>200</v>
      </c>
      <c r="DF187">
        <f t="shared" si="448"/>
        <v>43950</v>
      </c>
      <c r="DG187">
        <f>_xlfn.XLOOKUP(B187,'[11]january-2026'!$A:$A,'[11]january-2026'!$C:$C,0,0)</f>
        <v>35500</v>
      </c>
      <c r="DH187">
        <f t="shared" si="449"/>
        <v>6390</v>
      </c>
      <c r="DI187">
        <f t="shared" si="450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397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51"/>
        <v>200</v>
      </c>
      <c r="DP187">
        <f t="shared" si="452"/>
        <v>43950</v>
      </c>
      <c r="DQ187">
        <f>_xlfn.XLOOKUP(B187,'[12]february-2026'!$A:$A,'[12]february-2026'!$C:$C,0,0)</f>
        <v>35500</v>
      </c>
      <c r="DR187">
        <f t="shared" si="453"/>
        <v>6390</v>
      </c>
      <c r="DS187">
        <f t="shared" si="454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398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55"/>
        <v>200</v>
      </c>
      <c r="DZ187">
        <f t="shared" si="456"/>
        <v>43950</v>
      </c>
      <c r="EA187">
        <f>_xlfn.XLOOKUP(B187,'[1]march-2025'!$A:$A,'[1]march-2025'!$J:$J,0,0)</f>
        <v>0</v>
      </c>
      <c r="EB187">
        <f>_xlfn.XLOOKUP(B187,'[2]april-2025'!$A:$A,'[2]april-2025'!$J:$J,0,0)</f>
        <v>0</v>
      </c>
      <c r="EC187">
        <f>_xlfn.XLOOKUP(B187,'[3]may-2025'!$A:$A,'[3]may-2025'!$J:$J,0,0)</f>
        <v>0</v>
      </c>
      <c r="ED187">
        <f>_xlfn.XLOOKUP(B187,'[4]june-2025'!$A:$A,'[4]june-2025'!$J:$J,0,0)</f>
        <v>0</v>
      </c>
      <c r="EE187">
        <f>_xlfn.XLOOKUP(B187,'[5]july-2025'!$A:$A,'[5]july-2025'!$J:$J,0,0)</f>
        <v>0</v>
      </c>
      <c r="EF187">
        <f>_xlfn.XLOOKUP(B187,'[6]august-2025'!$A:$A,'[6]august-2025'!$J:$J,0,0)</f>
        <v>0</v>
      </c>
      <c r="EG187">
        <f>_xlfn.XLOOKUP(B187,'[7]september-2025'!$A:$A,'[7]september-2025'!$J:$J,0,0)</f>
        <v>0</v>
      </c>
      <c r="EH187">
        <f>_xlfn.XLOOKUP(B187,'[8]october-2025'!$A:$A,'[8]october-2025'!$J:$J,0,0)</f>
        <v>0</v>
      </c>
      <c r="EI187">
        <f>_xlfn.XLOOKUP(C187,'[9]november-2025'!$A:$A,'[9]november-2025'!$J:$J,0,0)</f>
        <v>0</v>
      </c>
      <c r="EJ187">
        <f>_xlfn.XLOOKUP(B187,'[10]december-2025'!$A:$A,'[10]december-2025'!$J:$J,0,0)</f>
        <v>0</v>
      </c>
      <c r="EK187">
        <f>_xlfn.XLOOKUP(B187,'[11]january-2026'!$A:$A,'[11]january-2026'!$J:$J,0,0)</f>
        <v>0</v>
      </c>
      <c r="EL187">
        <f>_xlfn.XLOOKUP(B187,'[12]february-2026'!$A:$A,'[12]february-2026'!$J:$J,0,0)</f>
        <v>0</v>
      </c>
      <c r="EM187">
        <f t="shared" si="409"/>
        <v>0</v>
      </c>
      <c r="EN187">
        <f t="shared" si="399"/>
        <v>560020</v>
      </c>
      <c r="EO187">
        <f t="shared" si="400"/>
        <v>2400</v>
      </c>
      <c r="EP187">
        <f t="shared" si="457"/>
        <v>50000</v>
      </c>
      <c r="EQ187">
        <v>0</v>
      </c>
      <c r="ER187">
        <f t="shared" si="410"/>
        <v>507620</v>
      </c>
      <c r="ES187">
        <f t="shared" si="401"/>
        <v>30000</v>
      </c>
      <c r="ET187">
        <f t="shared" si="402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458"/>
        <v>30000</v>
      </c>
      <c r="FF187">
        <f t="shared" si="459"/>
        <v>30000</v>
      </c>
      <c r="FG187">
        <f t="shared" si="460"/>
        <v>477620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403"/>
        <v>0</v>
      </c>
      <c r="FP187">
        <f t="shared" si="461"/>
        <v>477620</v>
      </c>
      <c r="FQ187">
        <f t="shared" si="462"/>
        <v>11381</v>
      </c>
      <c r="FR187">
        <f t="shared" si="463"/>
        <v>0</v>
      </c>
      <c r="FS187">
        <f t="shared" si="464"/>
        <v>11381</v>
      </c>
      <c r="FT187">
        <f t="shared" si="465"/>
        <v>0</v>
      </c>
      <c r="FU187">
        <f t="shared" si="466"/>
        <v>0</v>
      </c>
      <c r="FV187">
        <f t="shared" si="467"/>
        <v>0</v>
      </c>
      <c r="FW187">
        <v>0</v>
      </c>
      <c r="FX187">
        <f t="shared" si="468"/>
        <v>0</v>
      </c>
      <c r="FY187" t="b">
        <f t="shared" si="469"/>
        <v>1</v>
      </c>
      <c r="FZ187">
        <f t="shared" ca="1" si="470"/>
        <v>666</v>
      </c>
      <c r="GA187">
        <f t="shared" ca="1" si="471"/>
        <v>560686</v>
      </c>
      <c r="GB187">
        <f t="shared" si="472"/>
        <v>75000</v>
      </c>
      <c r="GC187">
        <f t="shared" ca="1" si="473"/>
        <v>485686</v>
      </c>
      <c r="GD187">
        <f t="shared" ca="1" si="474"/>
        <v>0</v>
      </c>
      <c r="GE187">
        <f t="shared" ca="1" si="475"/>
        <v>0</v>
      </c>
      <c r="GF187">
        <f t="shared" ca="1" si="476"/>
        <v>0</v>
      </c>
      <c r="GG187">
        <f t="shared" ca="1" si="477"/>
        <v>0</v>
      </c>
      <c r="GH187">
        <f t="shared" ca="1" si="478"/>
        <v>0</v>
      </c>
      <c r="GI187">
        <f t="shared" ca="1" si="479"/>
        <v>0</v>
      </c>
      <c r="GJ187">
        <f t="shared" ca="1" si="404"/>
        <v>0</v>
      </c>
      <c r="GK187">
        <f t="shared" ca="1" si="480"/>
        <v>0</v>
      </c>
      <c r="GL187">
        <f t="shared" ca="1" si="481"/>
        <v>0</v>
      </c>
      <c r="GM187">
        <f t="shared" ca="1" si="482"/>
        <v>0</v>
      </c>
      <c r="GN187">
        <f t="shared" ca="1" si="483"/>
        <v>85686</v>
      </c>
      <c r="GO187">
        <f t="shared" ca="1" si="484"/>
        <v>4284.3</v>
      </c>
      <c r="GP187">
        <f t="shared" ca="1" si="485"/>
        <v>4284</v>
      </c>
      <c r="GQ187">
        <f t="shared" ca="1" si="486"/>
        <v>0</v>
      </c>
      <c r="GR187">
        <f t="shared" ca="1" si="487"/>
        <v>0</v>
      </c>
      <c r="GS187">
        <f t="shared" ca="1" si="488"/>
        <v>4284</v>
      </c>
      <c r="GT187">
        <f t="shared" ca="1" si="489"/>
        <v>0</v>
      </c>
      <c r="GU187" t="b">
        <f t="shared" ca="1" si="490"/>
        <v>0</v>
      </c>
      <c r="GV187">
        <f t="shared" ca="1" si="491"/>
        <v>0</v>
      </c>
      <c r="GW187">
        <f t="shared" ca="1" si="492"/>
        <v>4284</v>
      </c>
      <c r="GX187">
        <f t="shared" ca="1" si="493"/>
        <v>0</v>
      </c>
      <c r="GY187">
        <f t="shared" ca="1" si="494"/>
        <v>0</v>
      </c>
      <c r="GZ187">
        <f t="shared" ca="1" si="495"/>
        <v>0</v>
      </c>
    </row>
    <row r="188" spans="1:208" x14ac:dyDescent="0.3">
      <c r="A188">
        <f>_xlfn.AGGREGATE(3,5,$B$2:B188)</f>
        <v>187</v>
      </c>
      <c r="B188" t="s">
        <v>481</v>
      </c>
      <c r="C188" t="s">
        <v>482</v>
      </c>
      <c r="D188" t="s">
        <v>797</v>
      </c>
      <c r="E188" t="s">
        <v>830</v>
      </c>
      <c r="F188" t="s">
        <v>956</v>
      </c>
      <c r="G188" t="s">
        <v>885</v>
      </c>
      <c r="H188">
        <f t="shared" si="498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412"/>
        <v>4690</v>
      </c>
      <c r="L188">
        <f t="shared" si="413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 t="shared" si="389"/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496"/>
        <v>200</v>
      </c>
      <c r="S188">
        <f t="shared" si="405"/>
        <v>39510</v>
      </c>
      <c r="T188">
        <f>_xlfn.XLOOKUP(B188,'[2]april-2025'!$A:$A,'[2]april-2025'!$C:$C,0,0)</f>
        <v>33500</v>
      </c>
      <c r="U188">
        <f t="shared" si="414"/>
        <v>6030</v>
      </c>
      <c r="V188">
        <f t="shared" si="415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406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416"/>
        <v>200</v>
      </c>
      <c r="AC188">
        <f t="shared" si="417"/>
        <v>40850</v>
      </c>
      <c r="AD188">
        <f>_xlfn.XLOOKUP(B188,'[3]may-2025'!$A:$A,'[3]may-2025'!$C:$C,0,0)</f>
        <v>33500</v>
      </c>
      <c r="AE188">
        <f t="shared" si="418"/>
        <v>6030</v>
      </c>
      <c r="AF188">
        <f t="shared" si="419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407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420"/>
        <v>200</v>
      </c>
      <c r="AM188">
        <f t="shared" si="421"/>
        <v>40850</v>
      </c>
      <c r="AN188">
        <f>_xlfn.XLOOKUP(B188,'[4]june-2025'!$A:$A,'[4]june-2025'!$C:$C,0,0)</f>
        <v>33500</v>
      </c>
      <c r="AO188">
        <f t="shared" si="422"/>
        <v>6030</v>
      </c>
      <c r="AP188">
        <f t="shared" si="423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408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424"/>
        <v>200</v>
      </c>
      <c r="AW188">
        <f t="shared" si="425"/>
        <v>40850</v>
      </c>
      <c r="AX188">
        <f>_xlfn.XLOOKUP(B188,'[5]july-2025'!$A:$A,'[5]july-2025'!$C:$C,0,0)</f>
        <v>34500</v>
      </c>
      <c r="AY188">
        <f t="shared" si="426"/>
        <v>6210</v>
      </c>
      <c r="AZ188">
        <v>0</v>
      </c>
      <c r="BA188">
        <f t="shared" si="427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 t="shared" si="390"/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428"/>
        <v>200</v>
      </c>
      <c r="BH188">
        <f t="shared" si="429"/>
        <v>42150</v>
      </c>
      <c r="BI188">
        <f>_xlfn.XLOOKUP(B188,'[6]august-2025'!$A:$A,'[6]august-2025'!$C:$C,0,0)</f>
        <v>34500</v>
      </c>
      <c r="BJ188">
        <f t="shared" si="430"/>
        <v>6210</v>
      </c>
      <c r="BK188">
        <f t="shared" si="431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432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 t="shared" si="391"/>
        <v>200</v>
      </c>
      <c r="BR188">
        <f t="shared" si="392"/>
        <v>42150</v>
      </c>
      <c r="BS188">
        <f>_xlfn.XLOOKUP(B188,'[7]september-2025'!$A:$A,'[7]september-2025'!$C:$C,0,0)</f>
        <v>34500</v>
      </c>
      <c r="BT188">
        <f t="shared" si="433"/>
        <v>6210</v>
      </c>
      <c r="BU188">
        <f t="shared" si="434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 t="shared" si="393"/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435"/>
        <v>200</v>
      </c>
      <c r="CB188">
        <f t="shared" si="436"/>
        <v>42150</v>
      </c>
      <c r="CC188">
        <f>_xlfn.XLOOKUP(B188,'[8]october-2025'!$A:$A,'[8]october-2025'!$C:$C,0,0)</f>
        <v>34500</v>
      </c>
      <c r="CD188">
        <f t="shared" si="437"/>
        <v>6210</v>
      </c>
      <c r="CE188">
        <f t="shared" si="438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 t="shared" si="394"/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439"/>
        <v>200</v>
      </c>
      <c r="CL188">
        <f t="shared" si="440"/>
        <v>42150</v>
      </c>
      <c r="CM188">
        <f>_xlfn.XLOOKUP(B188,'[9]november-2025'!$A:$A,'[9]november-2025'!$C:$C,0,0)</f>
        <v>34500</v>
      </c>
      <c r="CN188">
        <f t="shared" si="441"/>
        <v>6210</v>
      </c>
      <c r="CO188">
        <f t="shared" si="442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 t="shared" si="395"/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443"/>
        <v>200</v>
      </c>
      <c r="CV188">
        <f t="shared" si="444"/>
        <v>42150</v>
      </c>
      <c r="CW188">
        <f>_xlfn.XLOOKUP(B188,'[10]december-2025'!$A:$A,'[10]december-2025'!$C:$C,0,0)</f>
        <v>34500</v>
      </c>
      <c r="CX188">
        <f t="shared" si="445"/>
        <v>6210</v>
      </c>
      <c r="CY188">
        <f t="shared" si="446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 t="shared" si="396"/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447"/>
        <v>200</v>
      </c>
      <c r="DF188">
        <f t="shared" si="448"/>
        <v>42150</v>
      </c>
      <c r="DG188">
        <f>_xlfn.XLOOKUP(B188,'[11]january-2026'!$A:$A,'[11]january-2026'!$C:$C,0,0)</f>
        <v>34500</v>
      </c>
      <c r="DH188">
        <f t="shared" si="449"/>
        <v>6210</v>
      </c>
      <c r="DI188">
        <f t="shared" si="450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397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51"/>
        <v>200</v>
      </c>
      <c r="DP188">
        <f t="shared" si="452"/>
        <v>42150</v>
      </c>
      <c r="DQ188">
        <f>_xlfn.XLOOKUP(B188,'[12]february-2026'!$A:$A,'[12]february-2026'!$C:$C,0,0)</f>
        <v>34500</v>
      </c>
      <c r="DR188">
        <f t="shared" si="453"/>
        <v>6210</v>
      </c>
      <c r="DS188">
        <f t="shared" si="454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398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55"/>
        <v>200</v>
      </c>
      <c r="DZ188">
        <f t="shared" si="456"/>
        <v>42150</v>
      </c>
      <c r="EA188">
        <f>_xlfn.XLOOKUP(B188,'[1]march-2025'!$A:$A,'[1]march-2025'!$J:$J,0,0)</f>
        <v>0</v>
      </c>
      <c r="EB188">
        <f>_xlfn.XLOOKUP(B188,'[2]april-2025'!$A:$A,'[2]april-2025'!$J:$J,0,0)</f>
        <v>0</v>
      </c>
      <c r="EC188">
        <f>_xlfn.XLOOKUP(B188,'[3]may-2025'!$A:$A,'[3]may-2025'!$J:$J,0,0)</f>
        <v>0</v>
      </c>
      <c r="ED188">
        <f>_xlfn.XLOOKUP(B188,'[4]june-2025'!$A:$A,'[4]june-2025'!$J:$J,0,0)</f>
        <v>0</v>
      </c>
      <c r="EE188">
        <f>_xlfn.XLOOKUP(B188,'[5]july-2025'!$A:$A,'[5]july-2025'!$J:$J,0,0)</f>
        <v>0</v>
      </c>
      <c r="EF188">
        <f>_xlfn.XLOOKUP(B188,'[6]august-2025'!$A:$A,'[6]august-2025'!$J:$J,0,0)</f>
        <v>0</v>
      </c>
      <c r="EG188">
        <f>_xlfn.XLOOKUP(B188,'[7]september-2025'!$A:$A,'[7]september-2025'!$J:$J,0,0)</f>
        <v>0</v>
      </c>
      <c r="EH188">
        <f>_xlfn.XLOOKUP(B188,'[8]october-2025'!$A:$A,'[8]october-2025'!$J:$J,0,0)</f>
        <v>0</v>
      </c>
      <c r="EI188">
        <f>_xlfn.XLOOKUP(C188,'[9]november-2025'!$A:$A,'[9]november-2025'!$J:$J,0,0)</f>
        <v>0</v>
      </c>
      <c r="EJ188">
        <f>_xlfn.XLOOKUP(B188,'[10]december-2025'!$A:$A,'[10]december-2025'!$J:$J,0,0)</f>
        <v>0</v>
      </c>
      <c r="EK188">
        <f>_xlfn.XLOOKUP(B188,'[11]january-2026'!$A:$A,'[11]january-2026'!$J:$J,0,0)</f>
        <v>0</v>
      </c>
      <c r="EL188">
        <f>_xlfn.XLOOKUP(B188,'[12]february-2026'!$A:$A,'[12]february-2026'!$J:$J,0,0)</f>
        <v>0</v>
      </c>
      <c r="EM188">
        <f t="shared" si="409"/>
        <v>0</v>
      </c>
      <c r="EN188">
        <f t="shared" si="399"/>
        <v>538460</v>
      </c>
      <c r="EO188">
        <f t="shared" si="400"/>
        <v>2400</v>
      </c>
      <c r="EP188">
        <f t="shared" si="457"/>
        <v>50000</v>
      </c>
      <c r="EQ188">
        <v>0</v>
      </c>
      <c r="ER188">
        <f t="shared" si="410"/>
        <v>486060</v>
      </c>
      <c r="ES188">
        <f t="shared" si="401"/>
        <v>30000</v>
      </c>
      <c r="ET188">
        <f t="shared" si="402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458"/>
        <v>30000</v>
      </c>
      <c r="FF188">
        <f t="shared" si="459"/>
        <v>30000</v>
      </c>
      <c r="FG188">
        <f t="shared" si="460"/>
        <v>456060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403"/>
        <v>0</v>
      </c>
      <c r="FP188">
        <f t="shared" si="461"/>
        <v>456060</v>
      </c>
      <c r="FQ188">
        <f t="shared" si="462"/>
        <v>10303</v>
      </c>
      <c r="FR188">
        <f t="shared" si="463"/>
        <v>0</v>
      </c>
      <c r="FS188">
        <f t="shared" si="464"/>
        <v>10303</v>
      </c>
      <c r="FT188">
        <f t="shared" si="465"/>
        <v>0</v>
      </c>
      <c r="FU188">
        <f t="shared" si="466"/>
        <v>0</v>
      </c>
      <c r="FV188">
        <f t="shared" si="467"/>
        <v>0</v>
      </c>
      <c r="FW188">
        <v>0</v>
      </c>
      <c r="FX188">
        <f t="shared" si="468"/>
        <v>0</v>
      </c>
      <c r="FY188" t="b">
        <f t="shared" si="469"/>
        <v>1</v>
      </c>
      <c r="FZ188">
        <f t="shared" ca="1" si="470"/>
        <v>735</v>
      </c>
      <c r="GA188">
        <f t="shared" ca="1" si="471"/>
        <v>539195</v>
      </c>
      <c r="GB188">
        <f t="shared" si="472"/>
        <v>75000</v>
      </c>
      <c r="GC188">
        <f t="shared" ca="1" si="473"/>
        <v>464195</v>
      </c>
      <c r="GD188">
        <f t="shared" ca="1" si="474"/>
        <v>0</v>
      </c>
      <c r="GE188">
        <f t="shared" ca="1" si="475"/>
        <v>0</v>
      </c>
      <c r="GF188">
        <f t="shared" ca="1" si="476"/>
        <v>0</v>
      </c>
      <c r="GG188">
        <f t="shared" ca="1" si="477"/>
        <v>0</v>
      </c>
      <c r="GH188">
        <f t="shared" ca="1" si="478"/>
        <v>0</v>
      </c>
      <c r="GI188">
        <f t="shared" ca="1" si="479"/>
        <v>0</v>
      </c>
      <c r="GJ188">
        <f t="shared" ca="1" si="404"/>
        <v>0</v>
      </c>
      <c r="GK188">
        <f t="shared" ca="1" si="480"/>
        <v>0</v>
      </c>
      <c r="GL188">
        <f t="shared" ca="1" si="481"/>
        <v>0</v>
      </c>
      <c r="GM188">
        <f t="shared" ca="1" si="482"/>
        <v>0</v>
      </c>
      <c r="GN188">
        <f t="shared" ca="1" si="483"/>
        <v>64195</v>
      </c>
      <c r="GO188">
        <f t="shared" ca="1" si="484"/>
        <v>3209.75</v>
      </c>
      <c r="GP188">
        <f t="shared" ca="1" si="485"/>
        <v>3210</v>
      </c>
      <c r="GQ188">
        <f t="shared" ca="1" si="486"/>
        <v>0</v>
      </c>
      <c r="GR188">
        <f t="shared" ca="1" si="487"/>
        <v>0</v>
      </c>
      <c r="GS188">
        <f t="shared" ca="1" si="488"/>
        <v>3210</v>
      </c>
      <c r="GT188">
        <f t="shared" ca="1" si="489"/>
        <v>0</v>
      </c>
      <c r="GU188" t="b">
        <f t="shared" ca="1" si="490"/>
        <v>0</v>
      </c>
      <c r="GV188">
        <f t="shared" ca="1" si="491"/>
        <v>0</v>
      </c>
      <c r="GW188">
        <f t="shared" ca="1" si="492"/>
        <v>3210</v>
      </c>
      <c r="GX188">
        <f t="shared" ca="1" si="493"/>
        <v>0</v>
      </c>
      <c r="GY188">
        <f t="shared" ca="1" si="494"/>
        <v>0</v>
      </c>
      <c r="GZ188">
        <f t="shared" ca="1" si="495"/>
        <v>0</v>
      </c>
    </row>
    <row r="189" spans="1:208" x14ac:dyDescent="0.3">
      <c r="A189">
        <f>_xlfn.AGGREGATE(3,5,$B$2:B189)</f>
        <v>188</v>
      </c>
      <c r="B189" t="s">
        <v>483</v>
      </c>
      <c r="C189" t="s">
        <v>484</v>
      </c>
      <c r="D189" t="s">
        <v>797</v>
      </c>
      <c r="E189" t="s">
        <v>830</v>
      </c>
      <c r="F189" t="s">
        <v>956</v>
      </c>
      <c r="G189" t="s">
        <v>880</v>
      </c>
      <c r="H189">
        <f t="shared" si="498"/>
        <v>6800</v>
      </c>
      <c r="I189">
        <f>_xlfn.XLOOKUP(B189,'[1]march-2025'!$A:$A,'[1]march-2025'!$J:$J,0,0)</f>
        <v>0</v>
      </c>
      <c r="J189">
        <f>_xlfn.XLOOKUP(B189,'[1]march-2025'!$A:$A,'[1]march-2025'!$C:$C,0,0)</f>
        <v>28900</v>
      </c>
      <c r="K189">
        <f t="shared" si="412"/>
        <v>4046.0000000000005</v>
      </c>
      <c r="L189">
        <f t="shared" si="413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389"/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496"/>
        <v>150</v>
      </c>
      <c r="S189">
        <f t="shared" si="405"/>
        <v>34764</v>
      </c>
      <c r="T189">
        <f>_xlfn.XLOOKUP(B189,'[2]april-2025'!$A:$A,'[2]april-2025'!$C:$C,0,0)</f>
        <v>28900</v>
      </c>
      <c r="U189">
        <f t="shared" si="414"/>
        <v>5202</v>
      </c>
      <c r="V189">
        <f t="shared" si="415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406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416"/>
        <v>150</v>
      </c>
      <c r="AC189">
        <f t="shared" si="417"/>
        <v>35920</v>
      </c>
      <c r="AD189">
        <f>_xlfn.XLOOKUP(B189,'[3]may-2025'!$A:$A,'[3]may-2025'!$C:$C,0,0)</f>
        <v>28900</v>
      </c>
      <c r="AE189">
        <f t="shared" si="418"/>
        <v>5202</v>
      </c>
      <c r="AF189">
        <f t="shared" si="419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407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420"/>
        <v>150</v>
      </c>
      <c r="AM189">
        <f t="shared" si="421"/>
        <v>35920</v>
      </c>
      <c r="AN189">
        <f>_xlfn.XLOOKUP(B189,'[4]june-2025'!$A:$A,'[4]june-2025'!$C:$C,0,0)</f>
        <v>28900</v>
      </c>
      <c r="AO189">
        <f t="shared" si="422"/>
        <v>5202</v>
      </c>
      <c r="AP189">
        <f t="shared" si="423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408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424"/>
        <v>150</v>
      </c>
      <c r="AW189">
        <f t="shared" si="425"/>
        <v>35920</v>
      </c>
      <c r="AX189">
        <f>_xlfn.XLOOKUP(B189,'[5]july-2025'!$A:$A,'[5]july-2025'!$C:$C,0,0)</f>
        <v>29800</v>
      </c>
      <c r="AY189">
        <f t="shared" si="426"/>
        <v>5364</v>
      </c>
      <c r="AZ189">
        <v>0</v>
      </c>
      <c r="BA189">
        <f t="shared" si="427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390"/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428"/>
        <v>150</v>
      </c>
      <c r="BH189">
        <f t="shared" si="429"/>
        <v>37090</v>
      </c>
      <c r="BI189">
        <f>_xlfn.XLOOKUP(B189,'[6]august-2025'!$A:$A,'[6]august-2025'!$C:$C,0,0)</f>
        <v>29800</v>
      </c>
      <c r="BJ189">
        <f t="shared" si="430"/>
        <v>5364</v>
      </c>
      <c r="BK189">
        <f t="shared" si="431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432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 t="shared" si="391"/>
        <v>150</v>
      </c>
      <c r="BR189">
        <f t="shared" si="392"/>
        <v>37090</v>
      </c>
      <c r="BS189">
        <f>_xlfn.XLOOKUP(B189,'[7]september-2025'!$A:$A,'[7]september-2025'!$C:$C,0,0)</f>
        <v>29800</v>
      </c>
      <c r="BT189">
        <f t="shared" si="433"/>
        <v>5364</v>
      </c>
      <c r="BU189">
        <f t="shared" si="434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393"/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435"/>
        <v>150</v>
      </c>
      <c r="CB189">
        <f t="shared" si="436"/>
        <v>37090</v>
      </c>
      <c r="CC189">
        <f>_xlfn.XLOOKUP(B189,'[8]october-2025'!$A:$A,'[8]october-2025'!$C:$C,0,0)</f>
        <v>29800</v>
      </c>
      <c r="CD189">
        <f t="shared" si="437"/>
        <v>5364</v>
      </c>
      <c r="CE189">
        <f t="shared" si="438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394"/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439"/>
        <v>150</v>
      </c>
      <c r="CL189">
        <f t="shared" si="440"/>
        <v>37090</v>
      </c>
      <c r="CM189">
        <f>_xlfn.XLOOKUP(B189,'[9]november-2025'!$A:$A,'[9]november-2025'!$C:$C,0,0)</f>
        <v>29800</v>
      </c>
      <c r="CN189">
        <f t="shared" si="441"/>
        <v>5364</v>
      </c>
      <c r="CO189">
        <f t="shared" si="442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395"/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443"/>
        <v>150</v>
      </c>
      <c r="CV189">
        <f t="shared" si="444"/>
        <v>37090</v>
      </c>
      <c r="CW189">
        <f>_xlfn.XLOOKUP(B189,'[10]december-2025'!$A:$A,'[10]december-2025'!$C:$C,0,0)</f>
        <v>29800</v>
      </c>
      <c r="CX189">
        <f t="shared" si="445"/>
        <v>5364</v>
      </c>
      <c r="CY189">
        <f t="shared" si="446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396"/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447"/>
        <v>150</v>
      </c>
      <c r="DF189">
        <f t="shared" si="448"/>
        <v>37090</v>
      </c>
      <c r="DG189">
        <f>_xlfn.XLOOKUP(B189,'[11]january-2026'!$A:$A,'[11]january-2026'!$C:$C,0,0)</f>
        <v>29800</v>
      </c>
      <c r="DH189">
        <f t="shared" si="449"/>
        <v>5364</v>
      </c>
      <c r="DI189">
        <f t="shared" si="450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397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51"/>
        <v>150</v>
      </c>
      <c r="DP189">
        <f t="shared" si="452"/>
        <v>37090</v>
      </c>
      <c r="DQ189">
        <f>_xlfn.XLOOKUP(B189,'[12]february-2026'!$A:$A,'[12]february-2026'!$C:$C,0,0)</f>
        <v>29800</v>
      </c>
      <c r="DR189">
        <f t="shared" si="453"/>
        <v>5364</v>
      </c>
      <c r="DS189">
        <f t="shared" si="454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398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55"/>
        <v>150</v>
      </c>
      <c r="DZ189">
        <f t="shared" si="456"/>
        <v>37090</v>
      </c>
      <c r="EA189">
        <f>_xlfn.XLOOKUP(B189,'[1]march-2025'!$A:$A,'[1]march-2025'!$J:$J,0,0)</f>
        <v>0</v>
      </c>
      <c r="EB189">
        <f>_xlfn.XLOOKUP(B189,'[2]april-2025'!$A:$A,'[2]april-2025'!$J:$J,0,0)</f>
        <v>0</v>
      </c>
      <c r="EC189">
        <f>_xlfn.XLOOKUP(B189,'[3]may-2025'!$A:$A,'[3]may-2025'!$J:$J,0,0)</f>
        <v>61490</v>
      </c>
      <c r="ED189">
        <f>_xlfn.XLOOKUP(B189,'[4]june-2025'!$A:$A,'[4]june-2025'!$J:$J,0,0)</f>
        <v>0</v>
      </c>
      <c r="EE189">
        <f>_xlfn.XLOOKUP(B189,'[5]july-2025'!$A:$A,'[5]july-2025'!$J:$J,0,0)</f>
        <v>0</v>
      </c>
      <c r="EF189">
        <f>_xlfn.XLOOKUP(B189,'[6]august-2025'!$A:$A,'[6]august-2025'!$J:$J,0,0)</f>
        <v>0</v>
      </c>
      <c r="EG189">
        <f>_xlfn.XLOOKUP(B189,'[7]september-2025'!$A:$A,'[7]september-2025'!$J:$J,0,0)</f>
        <v>0</v>
      </c>
      <c r="EH189">
        <f>_xlfn.XLOOKUP(B189,'[8]october-2025'!$A:$A,'[8]october-2025'!$J:$J,0,0)</f>
        <v>0</v>
      </c>
      <c r="EI189">
        <f>_xlfn.XLOOKUP(C189,'[9]november-2025'!$A:$A,'[9]november-2025'!$J:$J,0,0)</f>
        <v>0</v>
      </c>
      <c r="EJ189">
        <f>_xlfn.XLOOKUP(B189,'[10]december-2025'!$A:$A,'[10]december-2025'!$J:$J,0,0)</f>
        <v>0</v>
      </c>
      <c r="EK189">
        <f>_xlfn.XLOOKUP(B189,'[11]january-2026'!$A:$A,'[11]january-2026'!$J:$J,0,0)</f>
        <v>0</v>
      </c>
      <c r="EL189">
        <f>_xlfn.XLOOKUP(B189,'[12]february-2026'!$A:$A,'[12]february-2026'!$J:$J,0,0)</f>
        <v>0</v>
      </c>
      <c r="EM189">
        <f t="shared" si="409"/>
        <v>61490</v>
      </c>
      <c r="EN189">
        <f t="shared" si="399"/>
        <v>471844</v>
      </c>
      <c r="EO189">
        <f t="shared" si="400"/>
        <v>1800</v>
      </c>
      <c r="EP189">
        <f t="shared" si="457"/>
        <v>50000</v>
      </c>
      <c r="EQ189">
        <v>0</v>
      </c>
      <c r="ER189">
        <f t="shared" si="410"/>
        <v>481534</v>
      </c>
      <c r="ES189">
        <f t="shared" si="401"/>
        <v>24000</v>
      </c>
      <c r="ET189">
        <f t="shared" si="402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458"/>
        <v>24000</v>
      </c>
      <c r="FF189">
        <f t="shared" si="459"/>
        <v>24000</v>
      </c>
      <c r="FG189">
        <f t="shared" si="460"/>
        <v>457534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403"/>
        <v>0</v>
      </c>
      <c r="FP189">
        <f t="shared" si="461"/>
        <v>457534</v>
      </c>
      <c r="FQ189">
        <f t="shared" si="462"/>
        <v>10377</v>
      </c>
      <c r="FR189">
        <f t="shared" si="463"/>
        <v>0</v>
      </c>
      <c r="FS189">
        <f t="shared" si="464"/>
        <v>10377</v>
      </c>
      <c r="FT189">
        <f t="shared" si="465"/>
        <v>0</v>
      </c>
      <c r="FU189">
        <f t="shared" si="466"/>
        <v>0</v>
      </c>
      <c r="FV189">
        <f t="shared" si="467"/>
        <v>0</v>
      </c>
      <c r="FW189">
        <v>0</v>
      </c>
      <c r="FX189">
        <f t="shared" si="468"/>
        <v>0</v>
      </c>
      <c r="FY189" t="b">
        <f t="shared" si="469"/>
        <v>0</v>
      </c>
      <c r="FZ189">
        <f t="shared" ca="1" si="470"/>
        <v>1489</v>
      </c>
      <c r="GA189">
        <f t="shared" ca="1" si="471"/>
        <v>473333</v>
      </c>
      <c r="GB189">
        <f t="shared" si="472"/>
        <v>75000</v>
      </c>
      <c r="GC189">
        <f t="shared" ca="1" si="473"/>
        <v>398333</v>
      </c>
      <c r="GD189">
        <f t="shared" ca="1" si="474"/>
        <v>0</v>
      </c>
      <c r="GE189">
        <f t="shared" ca="1" si="475"/>
        <v>0</v>
      </c>
      <c r="GF189">
        <f t="shared" ca="1" si="476"/>
        <v>0</v>
      </c>
      <c r="GG189">
        <f t="shared" ca="1" si="477"/>
        <v>0</v>
      </c>
      <c r="GH189">
        <f t="shared" ca="1" si="478"/>
        <v>0</v>
      </c>
      <c r="GI189">
        <f t="shared" ca="1" si="479"/>
        <v>0</v>
      </c>
      <c r="GJ189">
        <f t="shared" ca="1" si="404"/>
        <v>0</v>
      </c>
      <c r="GK189">
        <f t="shared" ca="1" si="480"/>
        <v>0</v>
      </c>
      <c r="GL189">
        <f t="shared" ca="1" si="481"/>
        <v>0</v>
      </c>
      <c r="GM189">
        <f t="shared" ca="1" si="482"/>
        <v>0</v>
      </c>
      <c r="GN189">
        <f t="shared" ca="1" si="483"/>
        <v>0</v>
      </c>
      <c r="GO189">
        <f t="shared" ca="1" si="484"/>
        <v>0</v>
      </c>
      <c r="GP189">
        <f t="shared" ca="1" si="485"/>
        <v>0</v>
      </c>
      <c r="GQ189">
        <f t="shared" ca="1" si="486"/>
        <v>0</v>
      </c>
      <c r="GR189">
        <f t="shared" ca="1" si="487"/>
        <v>0</v>
      </c>
      <c r="GS189">
        <f t="shared" ca="1" si="488"/>
        <v>0</v>
      </c>
      <c r="GT189">
        <f t="shared" ca="1" si="489"/>
        <v>0</v>
      </c>
      <c r="GU189" t="b">
        <f t="shared" ca="1" si="490"/>
        <v>0</v>
      </c>
      <c r="GV189">
        <f t="shared" ca="1" si="491"/>
        <v>0</v>
      </c>
      <c r="GW189">
        <f t="shared" ca="1" si="492"/>
        <v>0</v>
      </c>
      <c r="GX189">
        <f t="shared" ca="1" si="493"/>
        <v>0</v>
      </c>
      <c r="GY189">
        <f t="shared" ca="1" si="494"/>
        <v>0</v>
      </c>
      <c r="GZ189">
        <f t="shared" ca="1" si="495"/>
        <v>0</v>
      </c>
    </row>
    <row r="190" spans="1:208" x14ac:dyDescent="0.3">
      <c r="A190">
        <f>_xlfn.AGGREGATE(3,5,$B$2:B190)</f>
        <v>189</v>
      </c>
      <c r="B190" t="s">
        <v>485</v>
      </c>
      <c r="C190" t="s">
        <v>486</v>
      </c>
      <c r="D190" t="s">
        <v>797</v>
      </c>
      <c r="E190" t="s">
        <v>830</v>
      </c>
      <c r="F190" t="s">
        <v>956</v>
      </c>
      <c r="G190" t="s">
        <v>930</v>
      </c>
      <c r="H190">
        <f t="shared" si="498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412"/>
        <v>3458.0000000000005</v>
      </c>
      <c r="L190">
        <f t="shared" si="413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389"/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496"/>
        <v>150</v>
      </c>
      <c r="S190">
        <f t="shared" si="405"/>
        <v>31472</v>
      </c>
      <c r="T190">
        <f>_xlfn.XLOOKUP(B190,'[2]april-2025'!$A:$A,'[2]april-2025'!$C:$C,0,0)</f>
        <v>24700</v>
      </c>
      <c r="U190">
        <f t="shared" si="414"/>
        <v>4446</v>
      </c>
      <c r="V190">
        <f t="shared" si="415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406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416"/>
        <v>150</v>
      </c>
      <c r="AC190">
        <f t="shared" si="417"/>
        <v>32460</v>
      </c>
      <c r="AD190">
        <f>_xlfn.XLOOKUP(B190,'[3]may-2025'!$A:$A,'[3]may-2025'!$C:$C,0,0)</f>
        <v>24700</v>
      </c>
      <c r="AE190">
        <f t="shared" si="418"/>
        <v>4446</v>
      </c>
      <c r="AF190">
        <f t="shared" si="419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407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420"/>
        <v>150</v>
      </c>
      <c r="AM190">
        <f t="shared" si="421"/>
        <v>32460</v>
      </c>
      <c r="AN190">
        <f>_xlfn.XLOOKUP(B190,'[4]june-2025'!$A:$A,'[4]june-2025'!$C:$C,0,0)</f>
        <v>24700</v>
      </c>
      <c r="AO190">
        <f t="shared" si="422"/>
        <v>4446</v>
      </c>
      <c r="AP190">
        <f t="shared" si="423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408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424"/>
        <v>150</v>
      </c>
      <c r="AW190">
        <f t="shared" si="425"/>
        <v>32460</v>
      </c>
      <c r="AX190">
        <f>_xlfn.XLOOKUP(B190,'[5]july-2025'!$A:$A,'[5]july-2025'!$C:$C,0,0)</f>
        <v>25400</v>
      </c>
      <c r="AY190">
        <f t="shared" si="426"/>
        <v>4572</v>
      </c>
      <c r="AZ190">
        <v>0</v>
      </c>
      <c r="BA190">
        <f t="shared" si="427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390"/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428"/>
        <v>150</v>
      </c>
      <c r="BH190">
        <f t="shared" si="429"/>
        <v>33370</v>
      </c>
      <c r="BI190">
        <f>_xlfn.XLOOKUP(B190,'[6]august-2025'!$A:$A,'[6]august-2025'!$C:$C,0,0)</f>
        <v>29800</v>
      </c>
      <c r="BJ190">
        <f t="shared" si="430"/>
        <v>5364</v>
      </c>
      <c r="BK190">
        <f t="shared" si="431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432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 t="shared" si="391"/>
        <v>150</v>
      </c>
      <c r="BR190">
        <f t="shared" si="392"/>
        <v>39090</v>
      </c>
      <c r="BS190">
        <f>_xlfn.XLOOKUP(B190,'[7]september-2025'!$A:$A,'[7]september-2025'!$C:$C,0,0)</f>
        <v>29800</v>
      </c>
      <c r="BT190">
        <f t="shared" si="433"/>
        <v>5364</v>
      </c>
      <c r="BU190">
        <f t="shared" si="434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393"/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435"/>
        <v>150</v>
      </c>
      <c r="CB190">
        <f t="shared" si="436"/>
        <v>39090</v>
      </c>
      <c r="CC190">
        <f>_xlfn.XLOOKUP(B190,'[8]october-2025'!$A:$A,'[8]october-2025'!$C:$C,0,0)</f>
        <v>29800</v>
      </c>
      <c r="CD190">
        <f t="shared" si="437"/>
        <v>5364</v>
      </c>
      <c r="CE190">
        <f t="shared" si="438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394"/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439"/>
        <v>150</v>
      </c>
      <c r="CL190">
        <f t="shared" si="440"/>
        <v>39090</v>
      </c>
      <c r="CM190">
        <f>_xlfn.XLOOKUP(B190,'[9]november-2025'!$A:$A,'[9]november-2025'!$C:$C,0,0)</f>
        <v>29800</v>
      </c>
      <c r="CN190">
        <f t="shared" si="441"/>
        <v>5364</v>
      </c>
      <c r="CO190">
        <f t="shared" si="442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395"/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443"/>
        <v>150</v>
      </c>
      <c r="CV190">
        <f t="shared" si="444"/>
        <v>39090</v>
      </c>
      <c r="CW190">
        <f>_xlfn.XLOOKUP(B190,'[10]december-2025'!$A:$A,'[10]december-2025'!$C:$C,0,0)</f>
        <v>29800</v>
      </c>
      <c r="CX190">
        <f t="shared" si="445"/>
        <v>5364</v>
      </c>
      <c r="CY190">
        <f t="shared" si="446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396"/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447"/>
        <v>150</v>
      </c>
      <c r="DF190">
        <f t="shared" si="448"/>
        <v>39090</v>
      </c>
      <c r="DG190">
        <f>_xlfn.XLOOKUP(B190,'[11]january-2026'!$A:$A,'[11]january-2026'!$C:$C,0,0)</f>
        <v>29800</v>
      </c>
      <c r="DH190">
        <f t="shared" si="449"/>
        <v>5364</v>
      </c>
      <c r="DI190">
        <f t="shared" si="450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397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51"/>
        <v>150</v>
      </c>
      <c r="DP190">
        <f t="shared" si="452"/>
        <v>39090</v>
      </c>
      <c r="DQ190">
        <f>_xlfn.XLOOKUP(B190,'[12]february-2026'!$A:$A,'[12]february-2026'!$C:$C,0,0)</f>
        <v>29800</v>
      </c>
      <c r="DR190">
        <f t="shared" si="453"/>
        <v>5364</v>
      </c>
      <c r="DS190">
        <f t="shared" si="454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398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55"/>
        <v>150</v>
      </c>
      <c r="DZ190">
        <f t="shared" si="456"/>
        <v>39090</v>
      </c>
      <c r="EA190">
        <f>_xlfn.XLOOKUP(B190,'[1]march-2025'!$A:$A,'[1]march-2025'!$J:$J,0,0)</f>
        <v>0</v>
      </c>
      <c r="EB190">
        <f>_xlfn.XLOOKUP(B190,'[2]april-2025'!$A:$A,'[2]april-2025'!$J:$J,0,0)</f>
        <v>0</v>
      </c>
      <c r="EC190">
        <f>_xlfn.XLOOKUP(B190,'[3]may-2025'!$A:$A,'[3]may-2025'!$J:$J,0,0)</f>
        <v>0</v>
      </c>
      <c r="ED190">
        <f>_xlfn.XLOOKUP(B190,'[4]june-2025'!$A:$A,'[4]june-2025'!$J:$J,0,0)</f>
        <v>0</v>
      </c>
      <c r="EE190">
        <f>_xlfn.XLOOKUP(B190,'[5]july-2025'!$A:$A,'[5]july-2025'!$J:$J,0,0)</f>
        <v>0</v>
      </c>
      <c r="EF190">
        <f>_xlfn.XLOOKUP(B190,'[6]august-2025'!$A:$A,'[6]august-2025'!$J:$J,0,0)</f>
        <v>0</v>
      </c>
      <c r="EG190">
        <f>_xlfn.XLOOKUP(B190,'[7]september-2025'!$A:$A,'[7]september-2025'!$J:$J,0,0)</f>
        <v>0</v>
      </c>
      <c r="EH190">
        <f>_xlfn.XLOOKUP(B190,'[8]october-2025'!$A:$A,'[8]october-2025'!$J:$J,0,0)</f>
        <v>0</v>
      </c>
      <c r="EI190">
        <f>_xlfn.XLOOKUP(C190,'[9]november-2025'!$A:$A,'[9]november-2025'!$J:$J,0,0)</f>
        <v>0</v>
      </c>
      <c r="EJ190">
        <f>_xlfn.XLOOKUP(B190,'[10]december-2025'!$A:$A,'[10]december-2025'!$J:$J,0,0)</f>
        <v>0</v>
      </c>
      <c r="EK190">
        <f>_xlfn.XLOOKUP(B190,'[11]january-2026'!$A:$A,'[11]january-2026'!$J:$J,0,0)</f>
        <v>0</v>
      </c>
      <c r="EL190">
        <f>_xlfn.XLOOKUP(B190,'[12]february-2026'!$A:$A,'[12]february-2026'!$J:$J,0,0)</f>
        <v>0</v>
      </c>
      <c r="EM190">
        <f t="shared" si="409"/>
        <v>0</v>
      </c>
      <c r="EN190">
        <f t="shared" si="399"/>
        <v>444452</v>
      </c>
      <c r="EO190">
        <f t="shared" si="400"/>
        <v>1800</v>
      </c>
      <c r="EP190">
        <f t="shared" si="457"/>
        <v>50000</v>
      </c>
      <c r="EQ190">
        <v>0</v>
      </c>
      <c r="ER190">
        <f t="shared" si="410"/>
        <v>392652</v>
      </c>
      <c r="ES190">
        <f t="shared" si="401"/>
        <v>0</v>
      </c>
      <c r="ET190">
        <f t="shared" si="402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458"/>
        <v>0</v>
      </c>
      <c r="FF190">
        <f t="shared" si="459"/>
        <v>0</v>
      </c>
      <c r="FG190">
        <f t="shared" si="460"/>
        <v>392652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403"/>
        <v>0</v>
      </c>
      <c r="FP190">
        <f t="shared" si="461"/>
        <v>392652</v>
      </c>
      <c r="FQ190">
        <f t="shared" si="462"/>
        <v>7133</v>
      </c>
      <c r="FR190">
        <f t="shared" si="463"/>
        <v>0</v>
      </c>
      <c r="FS190">
        <f t="shared" si="464"/>
        <v>7133</v>
      </c>
      <c r="FT190">
        <f t="shared" si="465"/>
        <v>0</v>
      </c>
      <c r="FU190">
        <f t="shared" si="466"/>
        <v>0</v>
      </c>
      <c r="FV190">
        <f t="shared" si="467"/>
        <v>0</v>
      </c>
      <c r="FW190">
        <v>0</v>
      </c>
      <c r="FX190">
        <f t="shared" si="468"/>
        <v>0</v>
      </c>
      <c r="FY190" t="b">
        <f t="shared" si="469"/>
        <v>0</v>
      </c>
      <c r="FZ190">
        <f t="shared" ca="1" si="470"/>
        <v>2270</v>
      </c>
      <c r="GA190">
        <f t="shared" ca="1" si="471"/>
        <v>446722</v>
      </c>
      <c r="GB190">
        <f t="shared" si="472"/>
        <v>75000</v>
      </c>
      <c r="GC190">
        <f t="shared" ca="1" si="473"/>
        <v>371722</v>
      </c>
      <c r="GD190">
        <f t="shared" ca="1" si="474"/>
        <v>0</v>
      </c>
      <c r="GE190">
        <f t="shared" ca="1" si="475"/>
        <v>0</v>
      </c>
      <c r="GF190">
        <f t="shared" ca="1" si="476"/>
        <v>0</v>
      </c>
      <c r="GG190">
        <f t="shared" ca="1" si="477"/>
        <v>0</v>
      </c>
      <c r="GH190">
        <f t="shared" ca="1" si="478"/>
        <v>0</v>
      </c>
      <c r="GI190">
        <f t="shared" ca="1" si="479"/>
        <v>0</v>
      </c>
      <c r="GJ190">
        <f t="shared" ca="1" si="404"/>
        <v>0</v>
      </c>
      <c r="GK190">
        <f t="shared" ca="1" si="480"/>
        <v>0</v>
      </c>
      <c r="GL190">
        <f t="shared" ca="1" si="481"/>
        <v>0</v>
      </c>
      <c r="GM190">
        <f t="shared" ca="1" si="482"/>
        <v>0</v>
      </c>
      <c r="GN190">
        <f t="shared" ca="1" si="483"/>
        <v>0</v>
      </c>
      <c r="GO190">
        <f t="shared" ca="1" si="484"/>
        <v>0</v>
      </c>
      <c r="GP190">
        <f t="shared" ca="1" si="485"/>
        <v>0</v>
      </c>
      <c r="GQ190">
        <f t="shared" ca="1" si="486"/>
        <v>0</v>
      </c>
      <c r="GR190">
        <f t="shared" ca="1" si="487"/>
        <v>0</v>
      </c>
      <c r="GS190">
        <f t="shared" ca="1" si="488"/>
        <v>0</v>
      </c>
      <c r="GT190">
        <f t="shared" ca="1" si="489"/>
        <v>0</v>
      </c>
      <c r="GU190" t="b">
        <f t="shared" ca="1" si="490"/>
        <v>0</v>
      </c>
      <c r="GV190">
        <f t="shared" ca="1" si="491"/>
        <v>0</v>
      </c>
      <c r="GW190">
        <f t="shared" ca="1" si="492"/>
        <v>0</v>
      </c>
      <c r="GX190">
        <f t="shared" ca="1" si="493"/>
        <v>0</v>
      </c>
      <c r="GY190">
        <f t="shared" ca="1" si="494"/>
        <v>0</v>
      </c>
      <c r="GZ190">
        <f t="shared" ca="1" si="495"/>
        <v>0</v>
      </c>
    </row>
    <row r="191" spans="1:208" x14ac:dyDescent="0.3">
      <c r="A191">
        <f>_xlfn.AGGREGATE(3,5,$B$2:B191)</f>
        <v>190</v>
      </c>
      <c r="B191" t="s">
        <v>487</v>
      </c>
      <c r="C191" t="s">
        <v>488</v>
      </c>
      <c r="D191" t="s">
        <v>798</v>
      </c>
      <c r="E191" t="s">
        <v>830</v>
      </c>
      <c r="F191" t="s">
        <v>956</v>
      </c>
      <c r="G191" t="s">
        <v>879</v>
      </c>
      <c r="H191">
        <f t="shared" si="498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412"/>
        <v>6622.0000000000009</v>
      </c>
      <c r="L191">
        <f t="shared" si="413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 t="shared" si="389"/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496"/>
        <v>200</v>
      </c>
      <c r="S191">
        <f t="shared" si="405"/>
        <v>55798</v>
      </c>
      <c r="T191">
        <f>_xlfn.XLOOKUP(B191,'[2]april-2025'!$A:$A,'[2]april-2025'!$C:$C,0,0)</f>
        <v>47300</v>
      </c>
      <c r="U191">
        <f t="shared" si="414"/>
        <v>8514</v>
      </c>
      <c r="V191">
        <f t="shared" si="415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406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416"/>
        <v>200</v>
      </c>
      <c r="AC191">
        <f t="shared" si="417"/>
        <v>57690</v>
      </c>
      <c r="AD191">
        <f>_xlfn.XLOOKUP(B191,'[3]may-2025'!$A:$A,'[3]may-2025'!$C:$C,0,0)</f>
        <v>47300</v>
      </c>
      <c r="AE191">
        <f t="shared" si="418"/>
        <v>8514</v>
      </c>
      <c r="AF191">
        <f t="shared" si="419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407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420"/>
        <v>200</v>
      </c>
      <c r="AM191">
        <f t="shared" si="421"/>
        <v>57690</v>
      </c>
      <c r="AN191">
        <f>_xlfn.XLOOKUP(B191,'[4]june-2025'!$A:$A,'[4]june-2025'!$C:$C,0,0)</f>
        <v>47300</v>
      </c>
      <c r="AO191">
        <f t="shared" si="422"/>
        <v>8514</v>
      </c>
      <c r="AP191">
        <f t="shared" si="423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408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424"/>
        <v>200</v>
      </c>
      <c r="AW191">
        <f t="shared" si="425"/>
        <v>57690</v>
      </c>
      <c r="AX191">
        <f>_xlfn.XLOOKUP(B191,'[5]july-2025'!$A:$A,'[5]july-2025'!$C:$C,0,0)</f>
        <v>48700</v>
      </c>
      <c r="AY191">
        <f t="shared" si="426"/>
        <v>8766</v>
      </c>
      <c r="AZ191">
        <v>0</v>
      </c>
      <c r="BA191">
        <f t="shared" si="427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 t="shared" si="390"/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428"/>
        <v>200</v>
      </c>
      <c r="BH191">
        <f t="shared" si="429"/>
        <v>59510</v>
      </c>
      <c r="BI191">
        <f>_xlfn.XLOOKUP(B191,'[6]august-2025'!$A:$A,'[6]august-2025'!$C:$C,0,0)</f>
        <v>48700</v>
      </c>
      <c r="BJ191">
        <f t="shared" si="430"/>
        <v>8766</v>
      </c>
      <c r="BK191">
        <f t="shared" si="431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432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 t="shared" si="391"/>
        <v>200</v>
      </c>
      <c r="BR191">
        <f t="shared" si="392"/>
        <v>59510</v>
      </c>
      <c r="BS191">
        <f>_xlfn.XLOOKUP(B191,'[7]september-2025'!$A:$A,'[7]september-2025'!$C:$C,0,0)</f>
        <v>48700</v>
      </c>
      <c r="BT191">
        <f t="shared" si="433"/>
        <v>8766</v>
      </c>
      <c r="BU191">
        <f t="shared" si="434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 t="shared" si="393"/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435"/>
        <v>200</v>
      </c>
      <c r="CB191">
        <f t="shared" si="436"/>
        <v>59510</v>
      </c>
      <c r="CC191">
        <f>_xlfn.XLOOKUP(B191,'[8]october-2025'!$A:$A,'[8]october-2025'!$C:$C,0,0)</f>
        <v>48700</v>
      </c>
      <c r="CD191">
        <f t="shared" si="437"/>
        <v>8766</v>
      </c>
      <c r="CE191">
        <f t="shared" si="438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 t="shared" si="394"/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439"/>
        <v>200</v>
      </c>
      <c r="CL191">
        <f t="shared" si="440"/>
        <v>59510</v>
      </c>
      <c r="CM191">
        <f>_xlfn.XLOOKUP(B191,'[9]november-2025'!$A:$A,'[9]november-2025'!$C:$C,0,0)</f>
        <v>48700</v>
      </c>
      <c r="CN191">
        <f t="shared" si="441"/>
        <v>8766</v>
      </c>
      <c r="CO191">
        <f t="shared" si="442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 t="shared" si="395"/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443"/>
        <v>200</v>
      </c>
      <c r="CV191">
        <f t="shared" si="444"/>
        <v>59510</v>
      </c>
      <c r="CW191">
        <f>_xlfn.XLOOKUP(B191,'[10]december-2025'!$A:$A,'[10]december-2025'!$C:$C,0,0)</f>
        <v>48700</v>
      </c>
      <c r="CX191">
        <f t="shared" si="445"/>
        <v>8766</v>
      </c>
      <c r="CY191">
        <f t="shared" si="446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 t="shared" si="396"/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447"/>
        <v>200</v>
      </c>
      <c r="DF191">
        <f t="shared" si="448"/>
        <v>59510</v>
      </c>
      <c r="DG191">
        <f>_xlfn.XLOOKUP(B191,'[11]january-2026'!$A:$A,'[11]january-2026'!$C:$C,0,0)</f>
        <v>48700</v>
      </c>
      <c r="DH191">
        <f t="shared" si="449"/>
        <v>8766</v>
      </c>
      <c r="DI191">
        <f t="shared" si="450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397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51"/>
        <v>200</v>
      </c>
      <c r="DP191">
        <f t="shared" si="452"/>
        <v>59510</v>
      </c>
      <c r="DQ191">
        <f>_xlfn.XLOOKUP(B191,'[12]february-2026'!$A:$A,'[12]february-2026'!$C:$C,0,0)</f>
        <v>48700</v>
      </c>
      <c r="DR191">
        <f t="shared" si="453"/>
        <v>8766</v>
      </c>
      <c r="DS191">
        <f t="shared" si="454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398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55"/>
        <v>200</v>
      </c>
      <c r="DZ191">
        <f t="shared" si="456"/>
        <v>59510</v>
      </c>
      <c r="EA191">
        <f>_xlfn.XLOOKUP(B191,'[1]march-2025'!$A:$A,'[1]march-2025'!$J:$J,0,0)</f>
        <v>0</v>
      </c>
      <c r="EB191">
        <f>_xlfn.XLOOKUP(B191,'[2]april-2025'!$A:$A,'[2]april-2025'!$J:$J,0,0)</f>
        <v>0</v>
      </c>
      <c r="EC191">
        <f>_xlfn.XLOOKUP(B191,'[3]may-2025'!$A:$A,'[3]may-2025'!$J:$J,0,0)</f>
        <v>0</v>
      </c>
      <c r="ED191">
        <f>_xlfn.XLOOKUP(B191,'[4]june-2025'!$A:$A,'[4]june-2025'!$J:$J,0,0)</f>
        <v>0</v>
      </c>
      <c r="EE191">
        <f>_xlfn.XLOOKUP(B191,'[5]july-2025'!$A:$A,'[5]july-2025'!$J:$J,0,0)</f>
        <v>0</v>
      </c>
      <c r="EF191">
        <f>_xlfn.XLOOKUP(B191,'[6]august-2025'!$A:$A,'[6]august-2025'!$J:$J,0,0)</f>
        <v>0</v>
      </c>
      <c r="EG191">
        <f>_xlfn.XLOOKUP(B191,'[7]september-2025'!$A:$A,'[7]september-2025'!$J:$J,0,0)</f>
        <v>0</v>
      </c>
      <c r="EH191">
        <f>_xlfn.XLOOKUP(B191,'[8]october-2025'!$A:$A,'[8]october-2025'!$J:$J,0,0)</f>
        <v>0</v>
      </c>
      <c r="EI191">
        <f>_xlfn.XLOOKUP(C191,'[9]november-2025'!$A:$A,'[9]november-2025'!$J:$J,0,0)</f>
        <v>0</v>
      </c>
      <c r="EJ191">
        <f>_xlfn.XLOOKUP(B191,'[10]december-2025'!$A:$A,'[10]december-2025'!$J:$J,0,0)</f>
        <v>0</v>
      </c>
      <c r="EK191">
        <f>_xlfn.XLOOKUP(B191,'[11]january-2026'!$A:$A,'[11]january-2026'!$J:$J,0,0)</f>
        <v>0</v>
      </c>
      <c r="EL191">
        <f>_xlfn.XLOOKUP(B191,'[12]february-2026'!$A:$A,'[12]february-2026'!$J:$J,0,0)</f>
        <v>0</v>
      </c>
      <c r="EM191">
        <f t="shared" si="409"/>
        <v>0</v>
      </c>
      <c r="EN191">
        <f t="shared" si="399"/>
        <v>762148</v>
      </c>
      <c r="EO191">
        <f t="shared" si="400"/>
        <v>2400</v>
      </c>
      <c r="EP191">
        <f t="shared" si="457"/>
        <v>50000</v>
      </c>
      <c r="EQ191">
        <v>0</v>
      </c>
      <c r="ER191">
        <f t="shared" si="410"/>
        <v>709748</v>
      </c>
      <c r="ES191">
        <f t="shared" si="401"/>
        <v>48000</v>
      </c>
      <c r="ET191">
        <f t="shared" si="402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458"/>
        <v>48000</v>
      </c>
      <c r="FF191">
        <f t="shared" si="459"/>
        <v>48000</v>
      </c>
      <c r="FG191">
        <f t="shared" si="460"/>
        <v>661748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403"/>
        <v>0</v>
      </c>
      <c r="FP191">
        <f t="shared" si="461"/>
        <v>661748</v>
      </c>
      <c r="FQ191">
        <f t="shared" si="462"/>
        <v>12500</v>
      </c>
      <c r="FR191">
        <f t="shared" si="463"/>
        <v>32350</v>
      </c>
      <c r="FS191">
        <f t="shared" si="464"/>
        <v>44850</v>
      </c>
      <c r="FT191">
        <f t="shared" si="465"/>
        <v>44850</v>
      </c>
      <c r="FU191">
        <f t="shared" si="466"/>
        <v>1794</v>
      </c>
      <c r="FV191">
        <f t="shared" si="467"/>
        <v>46644</v>
      </c>
      <c r="FW191">
        <v>0</v>
      </c>
      <c r="FX191">
        <f t="shared" si="468"/>
        <v>46644</v>
      </c>
      <c r="FY191" t="b">
        <f t="shared" si="469"/>
        <v>1</v>
      </c>
      <c r="FZ191">
        <f t="shared" ca="1" si="470"/>
        <v>644</v>
      </c>
      <c r="GA191">
        <f t="shared" ca="1" si="471"/>
        <v>762792</v>
      </c>
      <c r="GB191">
        <f t="shared" si="472"/>
        <v>75000</v>
      </c>
      <c r="GC191">
        <f t="shared" ca="1" si="473"/>
        <v>687792</v>
      </c>
      <c r="GD191">
        <f t="shared" ca="1" si="474"/>
        <v>0</v>
      </c>
      <c r="GE191">
        <f t="shared" ca="1" si="475"/>
        <v>0</v>
      </c>
      <c r="GF191">
        <f t="shared" ca="1" si="476"/>
        <v>0</v>
      </c>
      <c r="GG191">
        <f t="shared" ca="1" si="477"/>
        <v>0</v>
      </c>
      <c r="GH191">
        <f t="shared" ca="1" si="478"/>
        <v>0</v>
      </c>
      <c r="GI191">
        <f t="shared" ca="1" si="479"/>
        <v>0</v>
      </c>
      <c r="GJ191">
        <f t="shared" ca="1" si="404"/>
        <v>0</v>
      </c>
      <c r="GK191">
        <f t="shared" ca="1" si="480"/>
        <v>0</v>
      </c>
      <c r="GL191">
        <f t="shared" ca="1" si="481"/>
        <v>0</v>
      </c>
      <c r="GM191">
        <f t="shared" ca="1" si="482"/>
        <v>0</v>
      </c>
      <c r="GN191">
        <f t="shared" ca="1" si="483"/>
        <v>287792</v>
      </c>
      <c r="GO191">
        <f t="shared" ca="1" si="484"/>
        <v>14389.6</v>
      </c>
      <c r="GP191">
        <f t="shared" ca="1" si="485"/>
        <v>14390</v>
      </c>
      <c r="GQ191">
        <f t="shared" ca="1" si="486"/>
        <v>0</v>
      </c>
      <c r="GR191">
        <f t="shared" ca="1" si="487"/>
        <v>0</v>
      </c>
      <c r="GS191">
        <f t="shared" ca="1" si="488"/>
        <v>14390</v>
      </c>
      <c r="GT191">
        <f t="shared" ca="1" si="489"/>
        <v>0</v>
      </c>
      <c r="GU191" t="b">
        <f t="shared" ca="1" si="490"/>
        <v>0</v>
      </c>
      <c r="GV191">
        <f t="shared" ca="1" si="491"/>
        <v>0</v>
      </c>
      <c r="GW191">
        <f t="shared" ca="1" si="492"/>
        <v>14390</v>
      </c>
      <c r="GX191">
        <f t="shared" ca="1" si="493"/>
        <v>0</v>
      </c>
      <c r="GY191">
        <f t="shared" ca="1" si="494"/>
        <v>0</v>
      </c>
      <c r="GZ191">
        <f t="shared" ca="1" si="495"/>
        <v>0</v>
      </c>
    </row>
    <row r="192" spans="1:208" x14ac:dyDescent="0.3">
      <c r="A192">
        <f>_xlfn.AGGREGATE(3,5,$B$2:B192)</f>
        <v>191</v>
      </c>
      <c r="B192" t="s">
        <v>489</v>
      </c>
      <c r="C192" t="s">
        <v>490</v>
      </c>
      <c r="D192" t="s">
        <v>798</v>
      </c>
      <c r="E192" t="s">
        <v>830</v>
      </c>
      <c r="F192" t="s">
        <v>956</v>
      </c>
      <c r="G192" t="s">
        <v>923</v>
      </c>
      <c r="H192">
        <f t="shared" si="498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412"/>
        <v>4690</v>
      </c>
      <c r="L192">
        <f t="shared" si="413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 t="shared" si="389"/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496"/>
        <v>200</v>
      </c>
      <c r="S192">
        <f t="shared" si="405"/>
        <v>39510</v>
      </c>
      <c r="T192">
        <f>_xlfn.XLOOKUP(B192,'[2]april-2025'!$A:$A,'[2]april-2025'!$C:$C,0,0)</f>
        <v>33500</v>
      </c>
      <c r="U192">
        <f t="shared" si="414"/>
        <v>6030</v>
      </c>
      <c r="V192">
        <f t="shared" si="415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406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416"/>
        <v>200</v>
      </c>
      <c r="AC192">
        <f t="shared" si="417"/>
        <v>40850</v>
      </c>
      <c r="AD192">
        <f>_xlfn.XLOOKUP(B192,'[3]may-2025'!$A:$A,'[3]may-2025'!$C:$C,0,0)</f>
        <v>33500</v>
      </c>
      <c r="AE192">
        <f t="shared" si="418"/>
        <v>6030</v>
      </c>
      <c r="AF192">
        <f t="shared" si="419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407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420"/>
        <v>200</v>
      </c>
      <c r="AM192">
        <f t="shared" si="421"/>
        <v>40850</v>
      </c>
      <c r="AN192">
        <f>_xlfn.XLOOKUP(B192,'[4]june-2025'!$A:$A,'[4]june-2025'!$C:$C,0,0)</f>
        <v>33500</v>
      </c>
      <c r="AO192">
        <f t="shared" si="422"/>
        <v>6030</v>
      </c>
      <c r="AP192">
        <f t="shared" si="423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408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424"/>
        <v>200</v>
      </c>
      <c r="AW192">
        <f t="shared" si="425"/>
        <v>40850</v>
      </c>
      <c r="AX192">
        <f>_xlfn.XLOOKUP(B192,'[5]july-2025'!$A:$A,'[5]july-2025'!$C:$C,0,0)</f>
        <v>34500</v>
      </c>
      <c r="AY192">
        <f t="shared" si="426"/>
        <v>6210</v>
      </c>
      <c r="AZ192">
        <v>0</v>
      </c>
      <c r="BA192">
        <f t="shared" si="427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 t="shared" si="390"/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428"/>
        <v>200</v>
      </c>
      <c r="BH192">
        <f t="shared" si="429"/>
        <v>42150</v>
      </c>
      <c r="BI192">
        <f>_xlfn.XLOOKUP(B192,'[6]august-2025'!$A:$A,'[6]august-2025'!$C:$C,0,0)</f>
        <v>34500</v>
      </c>
      <c r="BJ192">
        <f t="shared" si="430"/>
        <v>6210</v>
      </c>
      <c r="BK192">
        <f t="shared" si="431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432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 t="shared" si="391"/>
        <v>200</v>
      </c>
      <c r="BR192">
        <f t="shared" si="392"/>
        <v>42150</v>
      </c>
      <c r="BS192">
        <f>_xlfn.XLOOKUP(B192,'[7]september-2025'!$A:$A,'[7]september-2025'!$C:$C,0,0)</f>
        <v>34500</v>
      </c>
      <c r="BT192">
        <f t="shared" si="433"/>
        <v>6210</v>
      </c>
      <c r="BU192">
        <f t="shared" si="434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 t="shared" si="393"/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435"/>
        <v>200</v>
      </c>
      <c r="CB192">
        <f t="shared" si="436"/>
        <v>42150</v>
      </c>
      <c r="CC192">
        <f>_xlfn.XLOOKUP(B192,'[8]october-2025'!$A:$A,'[8]october-2025'!$C:$C,0,0)</f>
        <v>34500</v>
      </c>
      <c r="CD192">
        <f t="shared" si="437"/>
        <v>6210</v>
      </c>
      <c r="CE192">
        <f t="shared" si="438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 t="shared" si="394"/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439"/>
        <v>200</v>
      </c>
      <c r="CL192">
        <f t="shared" si="440"/>
        <v>42150</v>
      </c>
      <c r="CM192">
        <f>_xlfn.XLOOKUP(B192,'[9]november-2025'!$A:$A,'[9]november-2025'!$C:$C,0,0)</f>
        <v>34500</v>
      </c>
      <c r="CN192">
        <f t="shared" si="441"/>
        <v>6210</v>
      </c>
      <c r="CO192">
        <f t="shared" si="442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 t="shared" si="395"/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443"/>
        <v>200</v>
      </c>
      <c r="CV192">
        <f t="shared" si="444"/>
        <v>42150</v>
      </c>
      <c r="CW192">
        <f>_xlfn.XLOOKUP(B192,'[10]december-2025'!$A:$A,'[10]december-2025'!$C:$C,0,0)</f>
        <v>34500</v>
      </c>
      <c r="CX192">
        <f t="shared" si="445"/>
        <v>6210</v>
      </c>
      <c r="CY192">
        <f t="shared" si="446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 t="shared" si="396"/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447"/>
        <v>200</v>
      </c>
      <c r="DF192">
        <f t="shared" si="448"/>
        <v>42150</v>
      </c>
      <c r="DG192">
        <f>_xlfn.XLOOKUP(B192,'[11]january-2026'!$A:$A,'[11]january-2026'!$C:$C,0,0)</f>
        <v>34500</v>
      </c>
      <c r="DH192">
        <f t="shared" si="449"/>
        <v>6210</v>
      </c>
      <c r="DI192">
        <f t="shared" si="450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397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51"/>
        <v>200</v>
      </c>
      <c r="DP192">
        <f t="shared" si="452"/>
        <v>42150</v>
      </c>
      <c r="DQ192">
        <f>_xlfn.XLOOKUP(B192,'[12]february-2026'!$A:$A,'[12]february-2026'!$C:$C,0,0)</f>
        <v>34500</v>
      </c>
      <c r="DR192">
        <f t="shared" si="453"/>
        <v>6210</v>
      </c>
      <c r="DS192">
        <f t="shared" si="454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398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55"/>
        <v>200</v>
      </c>
      <c r="DZ192">
        <f t="shared" si="456"/>
        <v>42150</v>
      </c>
      <c r="EA192">
        <f>_xlfn.XLOOKUP(B192,'[1]march-2025'!$A:$A,'[1]march-2025'!$J:$J,0,0)</f>
        <v>0</v>
      </c>
      <c r="EB192">
        <f>_xlfn.XLOOKUP(B192,'[2]april-2025'!$A:$A,'[2]april-2025'!$J:$J,0,0)</f>
        <v>0</v>
      </c>
      <c r="EC192">
        <f>_xlfn.XLOOKUP(B192,'[3]may-2025'!$A:$A,'[3]may-2025'!$J:$J,0,0)</f>
        <v>0</v>
      </c>
      <c r="ED192">
        <f>_xlfn.XLOOKUP(B192,'[4]june-2025'!$A:$A,'[4]june-2025'!$J:$J,0,0)</f>
        <v>0</v>
      </c>
      <c r="EE192">
        <f>_xlfn.XLOOKUP(B192,'[5]july-2025'!$A:$A,'[5]july-2025'!$J:$J,0,0)</f>
        <v>0</v>
      </c>
      <c r="EF192">
        <f>_xlfn.XLOOKUP(B192,'[6]august-2025'!$A:$A,'[6]august-2025'!$J:$J,0,0)</f>
        <v>0</v>
      </c>
      <c r="EG192">
        <f>_xlfn.XLOOKUP(B192,'[7]september-2025'!$A:$A,'[7]september-2025'!$J:$J,0,0)</f>
        <v>0</v>
      </c>
      <c r="EH192">
        <f>_xlfn.XLOOKUP(B192,'[8]october-2025'!$A:$A,'[8]october-2025'!$J:$J,0,0)</f>
        <v>0</v>
      </c>
      <c r="EI192">
        <f>_xlfn.XLOOKUP(C192,'[9]november-2025'!$A:$A,'[9]november-2025'!$J:$J,0,0)</f>
        <v>0</v>
      </c>
      <c r="EJ192">
        <f>_xlfn.XLOOKUP(B192,'[10]december-2025'!$A:$A,'[10]december-2025'!$J:$J,0,0)</f>
        <v>0</v>
      </c>
      <c r="EK192">
        <f>_xlfn.XLOOKUP(B192,'[11]january-2026'!$A:$A,'[11]january-2026'!$J:$J,0,0)</f>
        <v>0</v>
      </c>
      <c r="EL192">
        <f>_xlfn.XLOOKUP(B192,'[12]february-2026'!$A:$A,'[12]february-2026'!$J:$J,0,0)</f>
        <v>0</v>
      </c>
      <c r="EM192">
        <f t="shared" si="409"/>
        <v>0</v>
      </c>
      <c r="EN192">
        <f t="shared" si="399"/>
        <v>544460</v>
      </c>
      <c r="EO192">
        <f t="shared" si="400"/>
        <v>2400</v>
      </c>
      <c r="EP192">
        <f t="shared" si="457"/>
        <v>50000</v>
      </c>
      <c r="EQ192">
        <v>0</v>
      </c>
      <c r="ER192">
        <f t="shared" si="410"/>
        <v>492060</v>
      </c>
      <c r="ES192">
        <f t="shared" si="401"/>
        <v>36000</v>
      </c>
      <c r="ET192">
        <f t="shared" si="402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458"/>
        <v>36000</v>
      </c>
      <c r="FF192">
        <f t="shared" si="459"/>
        <v>36000</v>
      </c>
      <c r="FG192">
        <f t="shared" si="460"/>
        <v>456060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403"/>
        <v>0</v>
      </c>
      <c r="FP192">
        <f t="shared" si="461"/>
        <v>456060</v>
      </c>
      <c r="FQ192">
        <f t="shared" si="462"/>
        <v>10303</v>
      </c>
      <c r="FR192">
        <f t="shared" si="463"/>
        <v>0</v>
      </c>
      <c r="FS192">
        <f t="shared" si="464"/>
        <v>10303</v>
      </c>
      <c r="FT192">
        <f t="shared" si="465"/>
        <v>0</v>
      </c>
      <c r="FU192">
        <f t="shared" si="466"/>
        <v>0</v>
      </c>
      <c r="FV192">
        <f t="shared" si="467"/>
        <v>0</v>
      </c>
      <c r="FW192">
        <v>0</v>
      </c>
      <c r="FX192">
        <f t="shared" si="468"/>
        <v>0</v>
      </c>
      <c r="FY192" t="b">
        <f t="shared" si="469"/>
        <v>1</v>
      </c>
      <c r="FZ192">
        <f t="shared" ca="1" si="470"/>
        <v>970</v>
      </c>
      <c r="GA192">
        <f t="shared" ca="1" si="471"/>
        <v>545430</v>
      </c>
      <c r="GB192">
        <f t="shared" si="472"/>
        <v>75000</v>
      </c>
      <c r="GC192">
        <f t="shared" ca="1" si="473"/>
        <v>470430</v>
      </c>
      <c r="GD192">
        <f t="shared" ca="1" si="474"/>
        <v>0</v>
      </c>
      <c r="GE192">
        <f t="shared" ca="1" si="475"/>
        <v>0</v>
      </c>
      <c r="GF192">
        <f t="shared" ca="1" si="476"/>
        <v>0</v>
      </c>
      <c r="GG192">
        <f t="shared" ca="1" si="477"/>
        <v>0</v>
      </c>
      <c r="GH192">
        <f t="shared" ca="1" si="478"/>
        <v>0</v>
      </c>
      <c r="GI192">
        <f t="shared" ca="1" si="479"/>
        <v>0</v>
      </c>
      <c r="GJ192">
        <f t="shared" ca="1" si="404"/>
        <v>0</v>
      </c>
      <c r="GK192">
        <f t="shared" ca="1" si="480"/>
        <v>0</v>
      </c>
      <c r="GL192">
        <f t="shared" ca="1" si="481"/>
        <v>0</v>
      </c>
      <c r="GM192">
        <f t="shared" ca="1" si="482"/>
        <v>0</v>
      </c>
      <c r="GN192">
        <f t="shared" ca="1" si="483"/>
        <v>70430</v>
      </c>
      <c r="GO192">
        <f t="shared" ca="1" si="484"/>
        <v>3521.5</v>
      </c>
      <c r="GP192">
        <f t="shared" ca="1" si="485"/>
        <v>3522</v>
      </c>
      <c r="GQ192">
        <f t="shared" ca="1" si="486"/>
        <v>0</v>
      </c>
      <c r="GR192">
        <f t="shared" ca="1" si="487"/>
        <v>0</v>
      </c>
      <c r="GS192">
        <f t="shared" ca="1" si="488"/>
        <v>3522</v>
      </c>
      <c r="GT192">
        <f t="shared" ca="1" si="489"/>
        <v>0</v>
      </c>
      <c r="GU192" t="b">
        <f t="shared" ca="1" si="490"/>
        <v>0</v>
      </c>
      <c r="GV192">
        <f t="shared" ca="1" si="491"/>
        <v>0</v>
      </c>
      <c r="GW192">
        <f t="shared" ca="1" si="492"/>
        <v>3522</v>
      </c>
      <c r="GX192">
        <f t="shared" ca="1" si="493"/>
        <v>0</v>
      </c>
      <c r="GY192">
        <f t="shared" ca="1" si="494"/>
        <v>0</v>
      </c>
      <c r="GZ192">
        <f t="shared" ca="1" si="495"/>
        <v>0</v>
      </c>
    </row>
    <row r="193" spans="1:208" x14ac:dyDescent="0.3">
      <c r="A193">
        <f>_xlfn.AGGREGATE(3,5,$B$2:B193)</f>
        <v>192</v>
      </c>
      <c r="B193" t="s">
        <v>491</v>
      </c>
      <c r="C193" t="s">
        <v>492</v>
      </c>
      <c r="D193" t="s">
        <v>798</v>
      </c>
      <c r="E193" t="s">
        <v>830</v>
      </c>
      <c r="F193" t="s">
        <v>956</v>
      </c>
      <c r="G193" t="s">
        <v>915</v>
      </c>
      <c r="H193">
        <f t="shared" si="498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412"/>
        <v>4004.0000000000005</v>
      </c>
      <c r="L193">
        <f t="shared" si="413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 t="shared" si="389"/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496"/>
        <v>150</v>
      </c>
      <c r="S193">
        <f t="shared" si="405"/>
        <v>30886</v>
      </c>
      <c r="T193">
        <f>_xlfn.XLOOKUP(B193,'[2]april-2025'!$A:$A,'[2]april-2025'!$C:$C,0,0)</f>
        <v>28600</v>
      </c>
      <c r="U193">
        <f t="shared" si="414"/>
        <v>5148</v>
      </c>
      <c r="V193">
        <f t="shared" si="415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406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416"/>
        <v>150</v>
      </c>
      <c r="AC193">
        <f t="shared" si="417"/>
        <v>32030</v>
      </c>
      <c r="AD193">
        <f>_xlfn.XLOOKUP(B193,'[3]may-2025'!$A:$A,'[3]may-2025'!$C:$C,0,0)</f>
        <v>28600</v>
      </c>
      <c r="AE193">
        <f t="shared" si="418"/>
        <v>5148</v>
      </c>
      <c r="AF193">
        <f t="shared" si="419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407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420"/>
        <v>150</v>
      </c>
      <c r="AM193">
        <f t="shared" si="421"/>
        <v>32030</v>
      </c>
      <c r="AN193">
        <f>_xlfn.XLOOKUP(B193,'[4]june-2025'!$A:$A,'[4]june-2025'!$C:$C,0,0)</f>
        <v>28600</v>
      </c>
      <c r="AO193">
        <f t="shared" si="422"/>
        <v>5148</v>
      </c>
      <c r="AP193">
        <f t="shared" si="423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408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424"/>
        <v>150</v>
      </c>
      <c r="AW193">
        <f t="shared" si="425"/>
        <v>32030</v>
      </c>
      <c r="AX193">
        <f>_xlfn.XLOOKUP(B193,'[5]july-2025'!$A:$A,'[5]july-2025'!$C:$C,0,0)</f>
        <v>29500</v>
      </c>
      <c r="AY193">
        <f t="shared" si="426"/>
        <v>5310</v>
      </c>
      <c r="AZ193">
        <v>0</v>
      </c>
      <c r="BA193">
        <f t="shared" si="427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 t="shared" si="390"/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428"/>
        <v>150</v>
      </c>
      <c r="BH193">
        <f t="shared" si="429"/>
        <v>33200</v>
      </c>
      <c r="BI193">
        <f>_xlfn.XLOOKUP(B193,'[6]august-2025'!$A:$A,'[6]august-2025'!$C:$C,0,0)</f>
        <v>29500</v>
      </c>
      <c r="BJ193">
        <f t="shared" si="430"/>
        <v>5310</v>
      </c>
      <c r="BK193">
        <f t="shared" si="431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432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 t="shared" si="391"/>
        <v>150</v>
      </c>
      <c r="BR193">
        <f t="shared" si="392"/>
        <v>33200</v>
      </c>
      <c r="BS193">
        <f>_xlfn.XLOOKUP(B193,'[7]september-2025'!$A:$A,'[7]september-2025'!$C:$C,0,0)</f>
        <v>29500</v>
      </c>
      <c r="BT193">
        <f t="shared" si="433"/>
        <v>5310</v>
      </c>
      <c r="BU193">
        <f t="shared" si="434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 t="shared" si="393"/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435"/>
        <v>150</v>
      </c>
      <c r="CB193">
        <f t="shared" si="436"/>
        <v>33200</v>
      </c>
      <c r="CC193">
        <f>_xlfn.XLOOKUP(B193,'[8]october-2025'!$A:$A,'[8]october-2025'!$C:$C,0,0)</f>
        <v>29500</v>
      </c>
      <c r="CD193">
        <f t="shared" si="437"/>
        <v>5310</v>
      </c>
      <c r="CE193">
        <f t="shared" si="438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 t="shared" si="394"/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439"/>
        <v>150</v>
      </c>
      <c r="CL193">
        <f t="shared" si="440"/>
        <v>33200</v>
      </c>
      <c r="CM193">
        <f>_xlfn.XLOOKUP(B193,'[9]november-2025'!$A:$A,'[9]november-2025'!$C:$C,0,0)</f>
        <v>29500</v>
      </c>
      <c r="CN193">
        <f t="shared" si="441"/>
        <v>5310</v>
      </c>
      <c r="CO193">
        <f t="shared" si="442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 t="shared" si="395"/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443"/>
        <v>150</v>
      </c>
      <c r="CV193">
        <f t="shared" si="444"/>
        <v>33200</v>
      </c>
      <c r="CW193">
        <f>_xlfn.XLOOKUP(B193,'[10]december-2025'!$A:$A,'[10]december-2025'!$C:$C,0,0)</f>
        <v>29500</v>
      </c>
      <c r="CX193">
        <f t="shared" si="445"/>
        <v>5310</v>
      </c>
      <c r="CY193">
        <f t="shared" si="446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 t="shared" si="396"/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447"/>
        <v>150</v>
      </c>
      <c r="DF193">
        <f t="shared" si="448"/>
        <v>33200</v>
      </c>
      <c r="DG193">
        <f>_xlfn.XLOOKUP(B193,'[11]january-2026'!$A:$A,'[11]january-2026'!$C:$C,0,0)</f>
        <v>29500</v>
      </c>
      <c r="DH193">
        <f t="shared" si="449"/>
        <v>5310</v>
      </c>
      <c r="DI193">
        <f t="shared" si="450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397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51"/>
        <v>150</v>
      </c>
      <c r="DP193">
        <f t="shared" si="452"/>
        <v>33200</v>
      </c>
      <c r="DQ193">
        <f>_xlfn.XLOOKUP(B193,'[12]february-2026'!$A:$A,'[12]february-2026'!$C:$C,0,0)</f>
        <v>29500</v>
      </c>
      <c r="DR193">
        <f t="shared" si="453"/>
        <v>5310</v>
      </c>
      <c r="DS193">
        <f t="shared" si="454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398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55"/>
        <v>150</v>
      </c>
      <c r="DZ193">
        <f t="shared" si="456"/>
        <v>33200</v>
      </c>
      <c r="EA193">
        <f>_xlfn.XLOOKUP(B193,'[1]march-2025'!$A:$A,'[1]march-2025'!$J:$J,0,0)</f>
        <v>0</v>
      </c>
      <c r="EB193">
        <f>_xlfn.XLOOKUP(B193,'[2]april-2025'!$A:$A,'[2]april-2025'!$J:$J,0,0)</f>
        <v>0</v>
      </c>
      <c r="EC193">
        <f>_xlfn.XLOOKUP(B193,'[3]may-2025'!$A:$A,'[3]may-2025'!$J:$J,0,0)</f>
        <v>0</v>
      </c>
      <c r="ED193">
        <f>_xlfn.XLOOKUP(B193,'[4]june-2025'!$A:$A,'[4]june-2025'!$J:$J,0,0)</f>
        <v>0</v>
      </c>
      <c r="EE193">
        <f>_xlfn.XLOOKUP(B193,'[5]july-2025'!$A:$A,'[5]july-2025'!$J:$J,0,0)</f>
        <v>0</v>
      </c>
      <c r="EF193">
        <f>_xlfn.XLOOKUP(B193,'[6]august-2025'!$A:$A,'[6]august-2025'!$J:$J,0,0)</f>
        <v>0</v>
      </c>
      <c r="EG193">
        <f>_xlfn.XLOOKUP(B193,'[7]september-2025'!$A:$A,'[7]september-2025'!$J:$J,0,0)</f>
        <v>0</v>
      </c>
      <c r="EH193">
        <f>_xlfn.XLOOKUP(B193,'[8]october-2025'!$A:$A,'[8]october-2025'!$J:$J,0,0)</f>
        <v>0</v>
      </c>
      <c r="EI193">
        <f>_xlfn.XLOOKUP(C193,'[9]november-2025'!$A:$A,'[9]november-2025'!$J:$J,0,0)</f>
        <v>0</v>
      </c>
      <c r="EJ193">
        <f>_xlfn.XLOOKUP(B193,'[10]december-2025'!$A:$A,'[10]december-2025'!$J:$J,0,0)</f>
        <v>0</v>
      </c>
      <c r="EK193">
        <f>_xlfn.XLOOKUP(B193,'[11]january-2026'!$A:$A,'[11]january-2026'!$J:$J,0,0)</f>
        <v>0</v>
      </c>
      <c r="EL193">
        <f>_xlfn.XLOOKUP(B193,'[12]february-2026'!$A:$A,'[12]february-2026'!$J:$J,0,0)</f>
        <v>0</v>
      </c>
      <c r="EM193">
        <f t="shared" si="409"/>
        <v>0</v>
      </c>
      <c r="EN193">
        <f t="shared" si="399"/>
        <v>461176</v>
      </c>
      <c r="EO193">
        <f t="shared" si="400"/>
        <v>1800</v>
      </c>
      <c r="EP193">
        <f t="shared" si="457"/>
        <v>50000</v>
      </c>
      <c r="EQ193">
        <v>0</v>
      </c>
      <c r="ER193">
        <f t="shared" si="410"/>
        <v>409376</v>
      </c>
      <c r="ES193">
        <f t="shared" si="401"/>
        <v>60000</v>
      </c>
      <c r="ET193">
        <f t="shared" si="402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458"/>
        <v>60000</v>
      </c>
      <c r="FF193">
        <f t="shared" si="459"/>
        <v>60000</v>
      </c>
      <c r="FG193">
        <f t="shared" si="460"/>
        <v>349376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403"/>
        <v>0</v>
      </c>
      <c r="FP193">
        <f t="shared" si="461"/>
        <v>349376</v>
      </c>
      <c r="FQ193">
        <f t="shared" si="462"/>
        <v>4969</v>
      </c>
      <c r="FR193">
        <f t="shared" si="463"/>
        <v>0</v>
      </c>
      <c r="FS193">
        <f t="shared" si="464"/>
        <v>4969</v>
      </c>
      <c r="FT193">
        <f t="shared" si="465"/>
        <v>0</v>
      </c>
      <c r="FU193">
        <f t="shared" si="466"/>
        <v>0</v>
      </c>
      <c r="FV193">
        <f t="shared" si="467"/>
        <v>0</v>
      </c>
      <c r="FW193">
        <v>0</v>
      </c>
      <c r="FX193">
        <f t="shared" si="468"/>
        <v>0</v>
      </c>
      <c r="FY193" t="b">
        <f t="shared" si="469"/>
        <v>0</v>
      </c>
      <c r="FZ193">
        <f t="shared" ca="1" si="470"/>
        <v>2803</v>
      </c>
      <c r="GA193">
        <f t="shared" ca="1" si="471"/>
        <v>463979</v>
      </c>
      <c r="GB193">
        <f t="shared" si="472"/>
        <v>75000</v>
      </c>
      <c r="GC193">
        <f t="shared" ca="1" si="473"/>
        <v>388979</v>
      </c>
      <c r="GD193">
        <f t="shared" ca="1" si="474"/>
        <v>0</v>
      </c>
      <c r="GE193">
        <f t="shared" ca="1" si="475"/>
        <v>0</v>
      </c>
      <c r="GF193">
        <f t="shared" ca="1" si="476"/>
        <v>0</v>
      </c>
      <c r="GG193">
        <f t="shared" ca="1" si="477"/>
        <v>0</v>
      </c>
      <c r="GH193">
        <f t="shared" ca="1" si="478"/>
        <v>0</v>
      </c>
      <c r="GI193">
        <f t="shared" ca="1" si="479"/>
        <v>0</v>
      </c>
      <c r="GJ193">
        <f t="shared" ca="1" si="404"/>
        <v>0</v>
      </c>
      <c r="GK193">
        <f t="shared" ca="1" si="480"/>
        <v>0</v>
      </c>
      <c r="GL193">
        <f t="shared" ca="1" si="481"/>
        <v>0</v>
      </c>
      <c r="GM193">
        <f t="shared" ca="1" si="482"/>
        <v>0</v>
      </c>
      <c r="GN193">
        <f t="shared" ca="1" si="483"/>
        <v>0</v>
      </c>
      <c r="GO193">
        <f t="shared" ca="1" si="484"/>
        <v>0</v>
      </c>
      <c r="GP193">
        <f t="shared" ca="1" si="485"/>
        <v>0</v>
      </c>
      <c r="GQ193">
        <f t="shared" ca="1" si="486"/>
        <v>0</v>
      </c>
      <c r="GR193">
        <f t="shared" ca="1" si="487"/>
        <v>0</v>
      </c>
      <c r="GS193">
        <f t="shared" ca="1" si="488"/>
        <v>0</v>
      </c>
      <c r="GT193">
        <f t="shared" ca="1" si="489"/>
        <v>0</v>
      </c>
      <c r="GU193" t="b">
        <f t="shared" ca="1" si="490"/>
        <v>0</v>
      </c>
      <c r="GV193">
        <f t="shared" ca="1" si="491"/>
        <v>0</v>
      </c>
      <c r="GW193">
        <f t="shared" ca="1" si="492"/>
        <v>0</v>
      </c>
      <c r="GX193">
        <f t="shared" ca="1" si="493"/>
        <v>0</v>
      </c>
      <c r="GY193">
        <f t="shared" ca="1" si="494"/>
        <v>0</v>
      </c>
      <c r="GZ193">
        <f t="shared" ca="1" si="495"/>
        <v>0</v>
      </c>
    </row>
    <row r="194" spans="1:208" x14ac:dyDescent="0.3">
      <c r="A194">
        <f>_xlfn.AGGREGATE(3,5,$B$2:B194)</f>
        <v>193</v>
      </c>
      <c r="B194" t="s">
        <v>493</v>
      </c>
      <c r="C194" t="s">
        <v>494</v>
      </c>
      <c r="D194" t="s">
        <v>799</v>
      </c>
      <c r="E194" t="s">
        <v>830</v>
      </c>
      <c r="F194" t="s">
        <v>957</v>
      </c>
      <c r="G194" t="s">
        <v>935</v>
      </c>
      <c r="H194">
        <f t="shared" si="498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412"/>
        <v>8232</v>
      </c>
      <c r="L194">
        <f t="shared" si="413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 t="shared" ref="O194:O257" si="499">IF(J194&gt;0,SUM(J194:N194),0)</f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496"/>
        <v>0</v>
      </c>
      <c r="S194">
        <f t="shared" si="405"/>
        <v>61988</v>
      </c>
      <c r="T194">
        <f>_xlfn.XLOOKUP(B194,'[2]april-2025'!$A:$A,'[2]april-2025'!$C:$C,0,0)</f>
        <v>58800</v>
      </c>
      <c r="U194">
        <f t="shared" si="414"/>
        <v>10584</v>
      </c>
      <c r="V194">
        <f t="shared" si="415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406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416"/>
        <v>0</v>
      </c>
      <c r="AC194">
        <f t="shared" si="417"/>
        <v>64340</v>
      </c>
      <c r="AD194">
        <f>_xlfn.XLOOKUP(B194,'[3]may-2025'!$A:$A,'[3]may-2025'!$C:$C,0,0)</f>
        <v>58800</v>
      </c>
      <c r="AE194">
        <f t="shared" si="418"/>
        <v>10584</v>
      </c>
      <c r="AF194">
        <f t="shared" si="419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407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420"/>
        <v>0</v>
      </c>
      <c r="AM194">
        <f t="shared" si="421"/>
        <v>64340</v>
      </c>
      <c r="AN194">
        <f>_xlfn.XLOOKUP(B194,'[4]june-2025'!$A:$A,'[4]june-2025'!$C:$C,0,0)</f>
        <v>58800</v>
      </c>
      <c r="AO194">
        <f t="shared" si="422"/>
        <v>10584</v>
      </c>
      <c r="AP194">
        <f t="shared" si="423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408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424"/>
        <v>0</v>
      </c>
      <c r="AW194">
        <f t="shared" si="425"/>
        <v>64340</v>
      </c>
      <c r="AX194">
        <f>_xlfn.XLOOKUP(B194,'[5]july-2025'!$A:$A,'[5]july-2025'!$C:$C,0,0)</f>
        <v>60600</v>
      </c>
      <c r="AY194">
        <f t="shared" si="426"/>
        <v>10908</v>
      </c>
      <c r="AZ194">
        <v>0</v>
      </c>
      <c r="BA194">
        <f t="shared" si="427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 t="shared" ref="BD194:BD257" si="500">IF(AX194&gt;0,SUM(AX194:BC194),0)</f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428"/>
        <v>0</v>
      </c>
      <c r="BH194">
        <f t="shared" si="429"/>
        <v>66680</v>
      </c>
      <c r="BI194">
        <f>_xlfn.XLOOKUP(B194,'[6]august-2025'!$A:$A,'[6]august-2025'!$C:$C,0,0)</f>
        <v>60600</v>
      </c>
      <c r="BJ194">
        <f t="shared" si="430"/>
        <v>10908</v>
      </c>
      <c r="BK194">
        <f t="shared" si="431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432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 t="shared" ref="BQ194:BQ257" si="501">IF($F194="YES",0,IF(BN194&gt;40000,200,IF(BN194&gt;25000,150,IF(BN194&gt;15000,130,IF(BN194&gt;10000,110,0)))))</f>
        <v>0</v>
      </c>
      <c r="BR194">
        <f t="shared" ref="BR194:BR257" si="502">BN194-BO194-BP194-BQ194</f>
        <v>66680</v>
      </c>
      <c r="BS194">
        <f>_xlfn.XLOOKUP(B194,'[7]september-2025'!$A:$A,'[7]september-2025'!$C:$C,0,0)</f>
        <v>60600</v>
      </c>
      <c r="BT194">
        <f t="shared" si="433"/>
        <v>10908</v>
      </c>
      <c r="BU194">
        <f t="shared" si="434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 t="shared" ref="BX194:BX257" si="503">IF(BS194&gt;0,SUM(BS194:BW194),0)</f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435"/>
        <v>0</v>
      </c>
      <c r="CB194">
        <f t="shared" si="436"/>
        <v>66680</v>
      </c>
      <c r="CC194">
        <f>_xlfn.XLOOKUP(B194,'[8]october-2025'!$A:$A,'[8]october-2025'!$C:$C,0,0)</f>
        <v>60600</v>
      </c>
      <c r="CD194">
        <f t="shared" si="437"/>
        <v>10908</v>
      </c>
      <c r="CE194">
        <f t="shared" si="438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 t="shared" ref="CH194:CH257" si="504">IF(CC194&gt;0,SUM(CC194:CG194),0)</f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439"/>
        <v>0</v>
      </c>
      <c r="CL194">
        <f t="shared" si="440"/>
        <v>66680</v>
      </c>
      <c r="CM194">
        <f>_xlfn.XLOOKUP(B194,'[9]november-2025'!$A:$A,'[9]november-2025'!$C:$C,0,0)</f>
        <v>60600</v>
      </c>
      <c r="CN194">
        <f t="shared" si="441"/>
        <v>10908</v>
      </c>
      <c r="CO194">
        <f t="shared" si="442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 t="shared" ref="CR194:CR257" si="505">IF(CM194&gt;0,SUM(CM194:CQ194),0)</f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443"/>
        <v>0</v>
      </c>
      <c r="CV194">
        <f t="shared" si="444"/>
        <v>66680</v>
      </c>
      <c r="CW194">
        <f>_xlfn.XLOOKUP(B194,'[10]december-2025'!$A:$A,'[10]december-2025'!$C:$C,0,0)</f>
        <v>60600</v>
      </c>
      <c r="CX194">
        <f t="shared" si="445"/>
        <v>10908</v>
      </c>
      <c r="CY194">
        <f t="shared" si="446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 t="shared" ref="DB194:DB257" si="506">IF(CW194&gt;0,SUM(CW194:DA194),0)</f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447"/>
        <v>0</v>
      </c>
      <c r="DF194">
        <f t="shared" si="448"/>
        <v>66680</v>
      </c>
      <c r="DG194">
        <f>_xlfn.XLOOKUP(B194,'[11]january-2026'!$A:$A,'[11]january-2026'!$C:$C,0,0)</f>
        <v>60600</v>
      </c>
      <c r="DH194">
        <f t="shared" si="449"/>
        <v>10908</v>
      </c>
      <c r="DI194">
        <f t="shared" si="450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ref="DL194:DL257" si="507">IF(DG194&gt;0,SUM(DG194:DK194),0)</f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51"/>
        <v>0</v>
      </c>
      <c r="DP194">
        <f t="shared" si="452"/>
        <v>66680</v>
      </c>
      <c r="DQ194">
        <f>_xlfn.XLOOKUP(B194,'[12]february-2026'!$A:$A,'[12]february-2026'!$C:$C,0,0)</f>
        <v>60600</v>
      </c>
      <c r="DR194">
        <f t="shared" si="453"/>
        <v>10908</v>
      </c>
      <c r="DS194">
        <f t="shared" si="454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ref="DV194:DV257" si="508">IF(DQ194&gt;0,SUM(DQ194:DU194),0)</f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55"/>
        <v>0</v>
      </c>
      <c r="DZ194">
        <f t="shared" si="456"/>
        <v>66680</v>
      </c>
      <c r="EA194">
        <f>_xlfn.XLOOKUP(B194,'[1]march-2025'!$A:$A,'[1]march-2025'!$J:$J,0,0)</f>
        <v>0</v>
      </c>
      <c r="EB194">
        <f>_xlfn.XLOOKUP(B194,'[2]april-2025'!$A:$A,'[2]april-2025'!$J:$J,0,0)</f>
        <v>0</v>
      </c>
      <c r="EC194">
        <f>_xlfn.XLOOKUP(B194,'[3]may-2025'!$A:$A,'[3]may-2025'!$J:$J,0,0)</f>
        <v>0</v>
      </c>
      <c r="ED194">
        <f>_xlfn.XLOOKUP(B194,'[4]june-2025'!$A:$A,'[4]june-2025'!$J:$J,0,0)</f>
        <v>0</v>
      </c>
      <c r="EE194">
        <f>_xlfn.XLOOKUP(B194,'[5]july-2025'!$A:$A,'[5]july-2025'!$J:$J,0,0)</f>
        <v>0</v>
      </c>
      <c r="EF194">
        <f>_xlfn.XLOOKUP(B194,'[6]august-2025'!$A:$A,'[6]august-2025'!$J:$J,0,0)</f>
        <v>0</v>
      </c>
      <c r="EG194">
        <f>_xlfn.XLOOKUP(B194,'[7]september-2025'!$A:$A,'[7]september-2025'!$J:$J,0,0)</f>
        <v>0</v>
      </c>
      <c r="EH194">
        <f>_xlfn.XLOOKUP(B194,'[8]october-2025'!$A:$A,'[8]october-2025'!$J:$J,0,0)</f>
        <v>0</v>
      </c>
      <c r="EI194">
        <f>_xlfn.XLOOKUP(C194,'[9]november-2025'!$A:$A,'[9]november-2025'!$J:$J,0,0)</f>
        <v>0</v>
      </c>
      <c r="EJ194">
        <f>_xlfn.XLOOKUP(B194,'[10]december-2025'!$A:$A,'[10]december-2025'!$J:$J,0,0)</f>
        <v>0</v>
      </c>
      <c r="EK194">
        <f>_xlfn.XLOOKUP(B194,'[11]january-2026'!$A:$A,'[11]january-2026'!$J:$J,0,0)</f>
        <v>0</v>
      </c>
      <c r="EL194">
        <f>_xlfn.XLOOKUP(B194,'[12]february-2026'!$A:$A,'[12]february-2026'!$J:$J,0,0)</f>
        <v>0</v>
      </c>
      <c r="EM194">
        <f t="shared" si="409"/>
        <v>0</v>
      </c>
      <c r="EN194">
        <f t="shared" ref="EN194:EN257" si="509">DV194+DL194+DB194+CR194+CH194+BX194+BN194+BD194+AS194+AI194+Y194+O194+H194+I194</f>
        <v>951248</v>
      </c>
      <c r="EO194">
        <f t="shared" ref="EO194:EO257" si="510">DY194+DO194+DE194+CU194+CK194+CA194+BQ194+BG194+AV194+AL194+AB194+R194</f>
        <v>0</v>
      </c>
      <c r="EP194">
        <f t="shared" si="457"/>
        <v>50000</v>
      </c>
      <c r="EQ194">
        <v>0</v>
      </c>
      <c r="ER194">
        <f t="shared" si="410"/>
        <v>901248</v>
      </c>
      <c r="ES194">
        <f t="shared" ref="ES194:ES257" si="511">DW194+DM194+DC194+CS194+CI194+BY194+BO194+BE194+AT194+AJ194+Z194+P194</f>
        <v>156000</v>
      </c>
      <c r="ET194">
        <f t="shared" ref="ET194:ET257" si="512">DX194+DN194+DD194+CT194+CJ194+BZ194+BP194+BF194+AU194+AK194+AA194+Q194</f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458"/>
        <v>156000</v>
      </c>
      <c r="FF194">
        <f t="shared" si="459"/>
        <v>150000</v>
      </c>
      <c r="FG194">
        <f t="shared" si="460"/>
        <v>751248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ref="FO194:FO257" si="513">SUM(FH194:FN194)+(IF(F194="YES",50000,0))</f>
        <v>50000</v>
      </c>
      <c r="FP194">
        <f t="shared" si="461"/>
        <v>701248</v>
      </c>
      <c r="FQ194">
        <f t="shared" si="462"/>
        <v>12500</v>
      </c>
      <c r="FR194">
        <f t="shared" si="463"/>
        <v>40250</v>
      </c>
      <c r="FS194">
        <f t="shared" si="464"/>
        <v>52750</v>
      </c>
      <c r="FT194">
        <f t="shared" si="465"/>
        <v>52750</v>
      </c>
      <c r="FU194">
        <f t="shared" si="466"/>
        <v>2110</v>
      </c>
      <c r="FV194">
        <f t="shared" si="467"/>
        <v>54860</v>
      </c>
      <c r="FW194">
        <v>0</v>
      </c>
      <c r="FX194">
        <f t="shared" si="468"/>
        <v>54860</v>
      </c>
      <c r="FY194" t="b">
        <f t="shared" si="469"/>
        <v>1</v>
      </c>
      <c r="FZ194">
        <f t="shared" ca="1" si="470"/>
        <v>868</v>
      </c>
      <c r="GA194">
        <f t="shared" ca="1" si="471"/>
        <v>952116</v>
      </c>
      <c r="GB194">
        <f t="shared" si="472"/>
        <v>75000</v>
      </c>
      <c r="GC194">
        <f t="shared" ca="1" si="473"/>
        <v>877116</v>
      </c>
      <c r="GD194">
        <f t="shared" ca="1" si="474"/>
        <v>0</v>
      </c>
      <c r="GE194">
        <f t="shared" ca="1" si="475"/>
        <v>0</v>
      </c>
      <c r="GF194">
        <f t="shared" ca="1" si="476"/>
        <v>0</v>
      </c>
      <c r="GG194">
        <f t="shared" ca="1" si="477"/>
        <v>0</v>
      </c>
      <c r="GH194">
        <f t="shared" ca="1" si="478"/>
        <v>0</v>
      </c>
      <c r="GI194">
        <f t="shared" ca="1" si="479"/>
        <v>0</v>
      </c>
      <c r="GJ194">
        <f t="shared" ref="GJ194:GJ257" ca="1" si="514">IF(GC194&gt;1200000,GC194-1200000-IF(F194="YES",50000,0)-GH194,0)</f>
        <v>0</v>
      </c>
      <c r="GK194">
        <f t="shared" ca="1" si="480"/>
        <v>0</v>
      </c>
      <c r="GL194">
        <f t="shared" ca="1" si="481"/>
        <v>77116</v>
      </c>
      <c r="GM194">
        <f t="shared" ca="1" si="482"/>
        <v>7711.6</v>
      </c>
      <c r="GN194">
        <f t="shared" ca="1" si="483"/>
        <v>400000</v>
      </c>
      <c r="GO194">
        <f t="shared" ca="1" si="484"/>
        <v>20000</v>
      </c>
      <c r="GP194">
        <f t="shared" ca="1" si="485"/>
        <v>27712</v>
      </c>
      <c r="GQ194">
        <f t="shared" ca="1" si="486"/>
        <v>0</v>
      </c>
      <c r="GR194">
        <f t="shared" ca="1" si="487"/>
        <v>0</v>
      </c>
      <c r="GS194">
        <f t="shared" ca="1" si="488"/>
        <v>27712</v>
      </c>
      <c r="GT194">
        <f t="shared" ca="1" si="489"/>
        <v>0</v>
      </c>
      <c r="GU194" t="b">
        <f t="shared" ca="1" si="490"/>
        <v>0</v>
      </c>
      <c r="GV194">
        <f t="shared" ca="1" si="491"/>
        <v>0</v>
      </c>
      <c r="GW194">
        <f t="shared" ca="1" si="492"/>
        <v>27712</v>
      </c>
      <c r="GX194">
        <f t="shared" ca="1" si="493"/>
        <v>0</v>
      </c>
      <c r="GY194">
        <f t="shared" ca="1" si="494"/>
        <v>0</v>
      </c>
      <c r="GZ194">
        <f t="shared" ca="1" si="495"/>
        <v>0</v>
      </c>
    </row>
    <row r="195" spans="1:208" x14ac:dyDescent="0.3">
      <c r="A195">
        <f>_xlfn.AGGREGATE(3,5,$B$2:B195)</f>
        <v>194</v>
      </c>
      <c r="B195" t="s">
        <v>495</v>
      </c>
      <c r="C195" t="s">
        <v>496</v>
      </c>
      <c r="D195" t="s">
        <v>799</v>
      </c>
      <c r="E195" t="s">
        <v>830</v>
      </c>
      <c r="F195" t="s">
        <v>956</v>
      </c>
      <c r="G195" t="s">
        <v>892</v>
      </c>
      <c r="H195">
        <f t="shared" si="498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412"/>
        <v>4830.0000000000009</v>
      </c>
      <c r="L195">
        <f t="shared" si="413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99"/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496"/>
        <v>200</v>
      </c>
      <c r="S195">
        <f t="shared" ref="S195:S258" si="515">O195-P195-Q195-R195</f>
        <v>38270</v>
      </c>
      <c r="T195">
        <f>_xlfn.XLOOKUP(B195,'[2]april-2025'!$A:$A,'[2]april-2025'!$C:$C,0,0)</f>
        <v>34500</v>
      </c>
      <c r="U195">
        <f t="shared" si="414"/>
        <v>6210</v>
      </c>
      <c r="V195">
        <f t="shared" si="415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ref="Y195:Y258" si="516">IF(T195&gt;0,SUM(T195:X195),0)</f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416"/>
        <v>200</v>
      </c>
      <c r="AC195">
        <f t="shared" si="417"/>
        <v>39650</v>
      </c>
      <c r="AD195">
        <f>_xlfn.XLOOKUP(B195,'[3]may-2025'!$A:$A,'[3]may-2025'!$C:$C,0,0)</f>
        <v>34500</v>
      </c>
      <c r="AE195">
        <f t="shared" si="418"/>
        <v>6210</v>
      </c>
      <c r="AF195">
        <f t="shared" si="419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ref="AI195:AI258" si="517">IF(AD195&gt;0,SUM(AD195:AH195),0)</f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420"/>
        <v>200</v>
      </c>
      <c r="AM195">
        <f t="shared" si="421"/>
        <v>39650</v>
      </c>
      <c r="AN195">
        <f>_xlfn.XLOOKUP(B195,'[4]june-2025'!$A:$A,'[4]june-2025'!$C:$C,0,0)</f>
        <v>34500</v>
      </c>
      <c r="AO195">
        <f t="shared" si="422"/>
        <v>6210</v>
      </c>
      <c r="AP195">
        <f t="shared" si="423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ref="AS195:AS258" si="518">IF(AN195&gt;0,SUM(AN195:AR195),0)</f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424"/>
        <v>200</v>
      </c>
      <c r="AW195">
        <f t="shared" si="425"/>
        <v>39650</v>
      </c>
      <c r="AX195">
        <f>_xlfn.XLOOKUP(B195,'[5]july-2025'!$A:$A,'[5]july-2025'!$C:$C,0,0)</f>
        <v>35500</v>
      </c>
      <c r="AY195">
        <f t="shared" si="426"/>
        <v>6390</v>
      </c>
      <c r="AZ195">
        <v>0</v>
      </c>
      <c r="BA195">
        <f t="shared" si="427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500"/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428"/>
        <v>200</v>
      </c>
      <c r="BH195">
        <f t="shared" si="429"/>
        <v>40950</v>
      </c>
      <c r="BI195">
        <f>_xlfn.XLOOKUP(B195,'[6]august-2025'!$A:$A,'[6]august-2025'!$C:$C,0,0)</f>
        <v>35500</v>
      </c>
      <c r="BJ195">
        <f t="shared" si="430"/>
        <v>6390</v>
      </c>
      <c r="BK195">
        <f t="shared" si="431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432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 t="shared" si="501"/>
        <v>200</v>
      </c>
      <c r="BR195">
        <f t="shared" si="502"/>
        <v>40950</v>
      </c>
      <c r="BS195">
        <f>_xlfn.XLOOKUP(B195,'[7]september-2025'!$A:$A,'[7]september-2025'!$C:$C,0,0)</f>
        <v>35500</v>
      </c>
      <c r="BT195">
        <f t="shared" si="433"/>
        <v>6390</v>
      </c>
      <c r="BU195">
        <f t="shared" si="434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503"/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435"/>
        <v>200</v>
      </c>
      <c r="CB195">
        <f t="shared" si="436"/>
        <v>40950</v>
      </c>
      <c r="CC195">
        <f>_xlfn.XLOOKUP(B195,'[8]october-2025'!$A:$A,'[8]october-2025'!$C:$C,0,0)</f>
        <v>35500</v>
      </c>
      <c r="CD195">
        <f t="shared" si="437"/>
        <v>6390</v>
      </c>
      <c r="CE195">
        <f t="shared" si="438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504"/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439"/>
        <v>200</v>
      </c>
      <c r="CL195">
        <f t="shared" si="440"/>
        <v>40950</v>
      </c>
      <c r="CM195">
        <f>_xlfn.XLOOKUP(B195,'[9]november-2025'!$A:$A,'[9]november-2025'!$C:$C,0,0)</f>
        <v>35500</v>
      </c>
      <c r="CN195">
        <f t="shared" si="441"/>
        <v>6390</v>
      </c>
      <c r="CO195">
        <f t="shared" si="442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505"/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443"/>
        <v>200</v>
      </c>
      <c r="CV195">
        <f t="shared" si="444"/>
        <v>40950</v>
      </c>
      <c r="CW195">
        <f>_xlfn.XLOOKUP(B195,'[10]december-2025'!$A:$A,'[10]december-2025'!$C:$C,0,0)</f>
        <v>35500</v>
      </c>
      <c r="CX195">
        <f t="shared" si="445"/>
        <v>6390</v>
      </c>
      <c r="CY195">
        <f t="shared" si="446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506"/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447"/>
        <v>200</v>
      </c>
      <c r="DF195">
        <f t="shared" si="448"/>
        <v>40950</v>
      </c>
      <c r="DG195">
        <f>_xlfn.XLOOKUP(B195,'[11]january-2026'!$A:$A,'[11]january-2026'!$C:$C,0,0)</f>
        <v>35500</v>
      </c>
      <c r="DH195">
        <f t="shared" si="449"/>
        <v>6390</v>
      </c>
      <c r="DI195">
        <f t="shared" si="450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507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51"/>
        <v>200</v>
      </c>
      <c r="DP195">
        <f t="shared" si="452"/>
        <v>40950</v>
      </c>
      <c r="DQ195">
        <f>_xlfn.XLOOKUP(B195,'[12]february-2026'!$A:$A,'[12]february-2026'!$C:$C,0,0)</f>
        <v>35500</v>
      </c>
      <c r="DR195">
        <f t="shared" si="453"/>
        <v>6390</v>
      </c>
      <c r="DS195">
        <f t="shared" si="454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508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55"/>
        <v>200</v>
      </c>
      <c r="DZ195">
        <f t="shared" si="456"/>
        <v>40950</v>
      </c>
      <c r="EA195">
        <f>_xlfn.XLOOKUP(B195,'[1]march-2025'!$A:$A,'[1]march-2025'!$J:$J,0,0)</f>
        <v>0</v>
      </c>
      <c r="EB195">
        <f>_xlfn.XLOOKUP(B195,'[2]april-2025'!$A:$A,'[2]april-2025'!$J:$J,0,0)</f>
        <v>0</v>
      </c>
      <c r="EC195">
        <f>_xlfn.XLOOKUP(B195,'[3]may-2025'!$A:$A,'[3]may-2025'!$J:$J,0,0)</f>
        <v>0</v>
      </c>
      <c r="ED195">
        <f>_xlfn.XLOOKUP(B195,'[4]june-2025'!$A:$A,'[4]june-2025'!$J:$J,0,0)</f>
        <v>0</v>
      </c>
      <c r="EE195">
        <f>_xlfn.XLOOKUP(B195,'[5]july-2025'!$A:$A,'[5]july-2025'!$J:$J,0,0)</f>
        <v>0</v>
      </c>
      <c r="EF195">
        <f>_xlfn.XLOOKUP(B195,'[6]august-2025'!$A:$A,'[6]august-2025'!$J:$J,0,0)</f>
        <v>0</v>
      </c>
      <c r="EG195">
        <f>_xlfn.XLOOKUP(B195,'[7]september-2025'!$A:$A,'[7]september-2025'!$J:$J,0,0)</f>
        <v>0</v>
      </c>
      <c r="EH195">
        <f>_xlfn.XLOOKUP(B195,'[8]october-2025'!$A:$A,'[8]october-2025'!$J:$J,0,0)</f>
        <v>0</v>
      </c>
      <c r="EI195">
        <f>_xlfn.XLOOKUP(C195,'[9]november-2025'!$A:$A,'[9]november-2025'!$J:$J,0,0)</f>
        <v>0</v>
      </c>
      <c r="EJ195">
        <f>_xlfn.XLOOKUP(B195,'[10]december-2025'!$A:$A,'[10]december-2025'!$J:$J,0,0)</f>
        <v>0</v>
      </c>
      <c r="EK195">
        <f>_xlfn.XLOOKUP(B195,'[11]january-2026'!$A:$A,'[11]january-2026'!$J:$J,0,0)</f>
        <v>0</v>
      </c>
      <c r="EL195">
        <f>_xlfn.XLOOKUP(B195,'[12]february-2026'!$A:$A,'[12]february-2026'!$J:$J,0,0)</f>
        <v>0</v>
      </c>
      <c r="EM195">
        <f t="shared" ref="EM195:EM258" si="519">SUM(EA195:EL195)</f>
        <v>0</v>
      </c>
      <c r="EN195">
        <f t="shared" si="509"/>
        <v>560020</v>
      </c>
      <c r="EO195">
        <f t="shared" si="510"/>
        <v>2400</v>
      </c>
      <c r="EP195">
        <f t="shared" si="457"/>
        <v>50000</v>
      </c>
      <c r="EQ195">
        <v>0</v>
      </c>
      <c r="ER195">
        <f t="shared" ref="ER195:ER258" si="520">EN195-EO195-EP195+EM195</f>
        <v>507620</v>
      </c>
      <c r="ES195">
        <f t="shared" si="511"/>
        <v>66000</v>
      </c>
      <c r="ET195">
        <f t="shared" si="512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458"/>
        <v>66000</v>
      </c>
      <c r="FF195">
        <f t="shared" si="459"/>
        <v>66000</v>
      </c>
      <c r="FG195">
        <f t="shared" si="460"/>
        <v>441620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513"/>
        <v>0</v>
      </c>
      <c r="FP195">
        <f t="shared" si="461"/>
        <v>441620</v>
      </c>
      <c r="FQ195">
        <f t="shared" si="462"/>
        <v>9581</v>
      </c>
      <c r="FR195">
        <f t="shared" si="463"/>
        <v>0</v>
      </c>
      <c r="FS195">
        <f t="shared" si="464"/>
        <v>9581</v>
      </c>
      <c r="FT195">
        <f t="shared" si="465"/>
        <v>0</v>
      </c>
      <c r="FU195">
        <f t="shared" si="466"/>
        <v>0</v>
      </c>
      <c r="FV195">
        <f t="shared" si="467"/>
        <v>0</v>
      </c>
      <c r="FW195">
        <v>0</v>
      </c>
      <c r="FX195">
        <f t="shared" si="468"/>
        <v>0</v>
      </c>
      <c r="FY195" t="b">
        <f t="shared" si="469"/>
        <v>1</v>
      </c>
      <c r="FZ195">
        <f t="shared" ca="1" si="470"/>
        <v>769</v>
      </c>
      <c r="GA195">
        <f t="shared" ca="1" si="471"/>
        <v>560789</v>
      </c>
      <c r="GB195">
        <f t="shared" si="472"/>
        <v>75000</v>
      </c>
      <c r="GC195">
        <f t="shared" ca="1" si="473"/>
        <v>485789</v>
      </c>
      <c r="GD195">
        <f t="shared" ca="1" si="474"/>
        <v>0</v>
      </c>
      <c r="GE195">
        <f t="shared" ca="1" si="475"/>
        <v>0</v>
      </c>
      <c r="GF195">
        <f t="shared" ca="1" si="476"/>
        <v>0</v>
      </c>
      <c r="GG195">
        <f t="shared" ca="1" si="477"/>
        <v>0</v>
      </c>
      <c r="GH195">
        <f t="shared" ca="1" si="478"/>
        <v>0</v>
      </c>
      <c r="GI195">
        <f t="shared" ca="1" si="479"/>
        <v>0</v>
      </c>
      <c r="GJ195">
        <f t="shared" ca="1" si="514"/>
        <v>0</v>
      </c>
      <c r="GK195">
        <f t="shared" ca="1" si="480"/>
        <v>0</v>
      </c>
      <c r="GL195">
        <f t="shared" ca="1" si="481"/>
        <v>0</v>
      </c>
      <c r="GM195">
        <f t="shared" ca="1" si="482"/>
        <v>0</v>
      </c>
      <c r="GN195">
        <f t="shared" ca="1" si="483"/>
        <v>85789</v>
      </c>
      <c r="GO195">
        <f t="shared" ca="1" si="484"/>
        <v>4289.45</v>
      </c>
      <c r="GP195">
        <f t="shared" ca="1" si="485"/>
        <v>4289</v>
      </c>
      <c r="GQ195">
        <f t="shared" ca="1" si="486"/>
        <v>0</v>
      </c>
      <c r="GR195">
        <f t="shared" ca="1" si="487"/>
        <v>0</v>
      </c>
      <c r="GS195">
        <f t="shared" ca="1" si="488"/>
        <v>4289</v>
      </c>
      <c r="GT195">
        <f t="shared" ca="1" si="489"/>
        <v>0</v>
      </c>
      <c r="GU195" t="b">
        <f t="shared" ca="1" si="490"/>
        <v>0</v>
      </c>
      <c r="GV195">
        <f t="shared" ca="1" si="491"/>
        <v>0</v>
      </c>
      <c r="GW195">
        <f t="shared" ca="1" si="492"/>
        <v>4289</v>
      </c>
      <c r="GX195">
        <f t="shared" ca="1" si="493"/>
        <v>0</v>
      </c>
      <c r="GY195">
        <f t="shared" ca="1" si="494"/>
        <v>0</v>
      </c>
      <c r="GZ195">
        <f t="shared" ca="1" si="495"/>
        <v>0</v>
      </c>
    </row>
    <row r="196" spans="1:208" x14ac:dyDescent="0.3">
      <c r="A196">
        <f>_xlfn.AGGREGATE(3,5,$B$2:B196)</f>
        <v>195</v>
      </c>
      <c r="B196" t="s">
        <v>497</v>
      </c>
      <c r="C196" t="s">
        <v>498</v>
      </c>
      <c r="D196" t="s">
        <v>799</v>
      </c>
      <c r="E196" t="s">
        <v>830</v>
      </c>
      <c r="F196" t="s">
        <v>956</v>
      </c>
      <c r="G196" t="s">
        <v>879</v>
      </c>
      <c r="H196">
        <f t="shared" si="498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521">J196*0.14</f>
        <v>7028.0000000000009</v>
      </c>
      <c r="L196">
        <f t="shared" ref="L196:L259" si="522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si="499"/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496"/>
        <v>200</v>
      </c>
      <c r="S196">
        <f t="shared" si="515"/>
        <v>58552</v>
      </c>
      <c r="T196">
        <f>_xlfn.XLOOKUP(B196,'[2]april-2025'!$A:$A,'[2]april-2025'!$C:$C,0,0)</f>
        <v>50200</v>
      </c>
      <c r="U196">
        <f t="shared" ref="U196:U259" si="523">T196*0.18</f>
        <v>9036</v>
      </c>
      <c r="V196">
        <f t="shared" ref="V196:V259" si="524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si="516"/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525">IF($F196="YES",0,IF(Y196&gt;40000,200,IF(Y196&gt;25000,150,IF(Y196&gt;15000,130,IF(Y196&gt;10000,110,0)))))</f>
        <v>200</v>
      </c>
      <c r="AC196">
        <f t="shared" ref="AC196:AC259" si="526">Y196-Z196-AA196-AB196</f>
        <v>60560</v>
      </c>
      <c r="AD196">
        <f>_xlfn.XLOOKUP(B196,'[3]may-2025'!$A:$A,'[3]may-2025'!$C:$C,0,0)</f>
        <v>50200</v>
      </c>
      <c r="AE196">
        <f t="shared" ref="AE196:AE259" si="527">AD196*0.18</f>
        <v>9036</v>
      </c>
      <c r="AF196">
        <f t="shared" ref="AF196:AF259" si="528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si="517"/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529">IF($F196="YES",0,IF(AI196&gt;40000,200,IF(AI196&gt;25000,150,IF(AI196&gt;15000,130,IF(AI196&gt;10000,110,0)))))</f>
        <v>200</v>
      </c>
      <c r="AM196">
        <f t="shared" ref="AM196:AM259" si="530">AI196-AJ196-AK196-AL196</f>
        <v>60560</v>
      </c>
      <c r="AN196">
        <f>_xlfn.XLOOKUP(B196,'[4]june-2025'!$A:$A,'[4]june-2025'!$C:$C,0,0)</f>
        <v>50200</v>
      </c>
      <c r="AO196">
        <f t="shared" ref="AO196:AO259" si="531">AN196*0.18</f>
        <v>9036</v>
      </c>
      <c r="AP196">
        <f t="shared" ref="AP196:AP259" si="532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si="518"/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533">IF($F196="YES",0,IF(AS196&gt;40000,200,IF(AS196&gt;25000,150,IF(AS196&gt;15000,130,IF(AS196&gt;10000,110,0)))))</f>
        <v>200</v>
      </c>
      <c r="AW196">
        <f t="shared" ref="AW196:AW259" si="534">AS196-AT196-AU196-AV196</f>
        <v>60560</v>
      </c>
      <c r="AX196">
        <f>_xlfn.XLOOKUP(B196,'[5]july-2025'!$A:$A,'[5]july-2025'!$C:$C,0,0)</f>
        <v>51700</v>
      </c>
      <c r="AY196">
        <f t="shared" ref="AY196:AY259" si="535">AX196*0.18</f>
        <v>9306</v>
      </c>
      <c r="AZ196">
        <v>0</v>
      </c>
      <c r="BA196">
        <f t="shared" ref="BA196:BA259" si="536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si="500"/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537">IF($F196="YES",0,IF(BD196&gt;40000,200,IF(BD196&gt;25000,150,IF(BD196&gt;15000,130,IF(BD196&gt;10000,110,0)))))</f>
        <v>200</v>
      </c>
      <c r="BH196">
        <f t="shared" ref="BH196:BH259" si="538">BD196-BE196-BF196-BG196</f>
        <v>62510</v>
      </c>
      <c r="BI196">
        <f>_xlfn.XLOOKUP(B196,'[6]august-2025'!$A:$A,'[6]august-2025'!$C:$C,0,0)</f>
        <v>51700</v>
      </c>
      <c r="BJ196">
        <f t="shared" ref="BJ196:BJ259" si="539">BI196*0.18</f>
        <v>9306</v>
      </c>
      <c r="BK196">
        <f t="shared" ref="BK196:BK259" si="540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541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si="501"/>
        <v>200</v>
      </c>
      <c r="BR196">
        <f t="shared" si="502"/>
        <v>62510</v>
      </c>
      <c r="BS196">
        <f>_xlfn.XLOOKUP(B196,'[7]september-2025'!$A:$A,'[7]september-2025'!$C:$C,0,0)</f>
        <v>51700</v>
      </c>
      <c r="BT196">
        <f t="shared" ref="BT196:BT259" si="542">BS196*0.18</f>
        <v>9306</v>
      </c>
      <c r="BU196">
        <f t="shared" ref="BU196:BU259" si="543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si="503"/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544">IF($F196="YES",0,IF(BX196&gt;40000,200,IF(BX196&gt;25000,150,IF(BX196&gt;15000,130,IF(BX196&gt;10000,110,0)))))</f>
        <v>200</v>
      </c>
      <c r="CB196">
        <f t="shared" ref="CB196:CB259" si="545">BX196-BY196-BZ196-CA196</f>
        <v>62510</v>
      </c>
      <c r="CC196">
        <f>_xlfn.XLOOKUP(B196,'[8]october-2025'!$A:$A,'[8]october-2025'!$C:$C,0,0)</f>
        <v>51700</v>
      </c>
      <c r="CD196">
        <f t="shared" ref="CD196:CD259" si="546">CC196*0.18</f>
        <v>9306</v>
      </c>
      <c r="CE196">
        <f t="shared" ref="CE196:CE259" si="547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si="504"/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548">IF($F196="YES",0,IF(CH196&gt;40000,200,IF(CH196&gt;25000,150,IF(CH196&gt;15000,130,IF(CH196&gt;10000,110,0)))))</f>
        <v>200</v>
      </c>
      <c r="CL196">
        <f t="shared" ref="CL196:CL259" si="549">CH196-CI196-CJ196-CK196</f>
        <v>62510</v>
      </c>
      <c r="CM196">
        <f>_xlfn.XLOOKUP(B196,'[9]november-2025'!$A:$A,'[9]november-2025'!$C:$C,0,0)</f>
        <v>51700</v>
      </c>
      <c r="CN196">
        <f t="shared" ref="CN196:CN259" si="550">CM196*0.18</f>
        <v>9306</v>
      </c>
      <c r="CO196">
        <f t="shared" ref="CO196:CO259" si="551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si="505"/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552">IF($F196="YES",0,IF(CR196&gt;40000,200,IF(CR196&gt;25000,150,IF(CR196&gt;15000,130,IF(CR196&gt;10000,110,0)))))</f>
        <v>200</v>
      </c>
      <c r="CV196">
        <f t="shared" ref="CV196:CV259" si="553">CR196-CS196-CT196-CU196</f>
        <v>62510</v>
      </c>
      <c r="CW196">
        <f>_xlfn.XLOOKUP(B196,'[10]december-2025'!$A:$A,'[10]december-2025'!$C:$C,0,0)</f>
        <v>51700</v>
      </c>
      <c r="CX196">
        <f t="shared" ref="CX196:CX259" si="554">ROUND(CW196*0.18,0)</f>
        <v>9306</v>
      </c>
      <c r="CY196">
        <f t="shared" ref="CY196:CY259" si="555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si="506"/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556">IF($F196="YES",0,IF(DB196&gt;40000,200,IF(DB196&gt;25000,150,IF(DB196&gt;15000,130,IF(DB196&gt;10000,110,0)))))</f>
        <v>200</v>
      </c>
      <c r="DF196">
        <f t="shared" ref="DF196:DF259" si="557">DB196-DC196-DD196-DE196</f>
        <v>62510</v>
      </c>
      <c r="DG196">
        <f>_xlfn.XLOOKUP(B196,'[11]january-2026'!$A:$A,'[11]january-2026'!$C:$C,0,0)</f>
        <v>51700</v>
      </c>
      <c r="DH196">
        <f t="shared" ref="DH196:DH259" si="558">DG196*0.18</f>
        <v>9306</v>
      </c>
      <c r="DI196">
        <f t="shared" ref="DI196:DI259" si="559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si="507"/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60">IF($F196="YES",0,IF(DL196&gt;40000,200,IF(DL196&gt;25000,150,IF(DL196&gt;15000,130,IF(DL196&gt;10000,110,0)))))</f>
        <v>200</v>
      </c>
      <c r="DP196">
        <f t="shared" ref="DP196:DP259" si="561">DL196-DM196-DN196-DO196</f>
        <v>62510</v>
      </c>
      <c r="DQ196">
        <f>_xlfn.XLOOKUP(B196,'[12]february-2026'!$A:$A,'[12]february-2026'!$C:$C,0,0)</f>
        <v>51700</v>
      </c>
      <c r="DR196">
        <f t="shared" ref="DR196:DR259" si="562">DQ196*0.18</f>
        <v>9306</v>
      </c>
      <c r="DS196">
        <f t="shared" ref="DS196:DS259" si="563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si="508"/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64">IF($F196="YES",0,IF(DV196&gt;40000,200,IF(DV196&gt;25000,150,IF(DV196&gt;15000,130,IF(DV196&gt;10000,110,0)))))</f>
        <v>200</v>
      </c>
      <c r="DZ196">
        <f t="shared" ref="DZ196:DZ259" si="565">DV196-DW196-DX196-DY196</f>
        <v>62510</v>
      </c>
      <c r="EA196">
        <f>_xlfn.XLOOKUP(B196,'[1]march-2025'!$A:$A,'[1]march-2025'!$J:$J,0,0)</f>
        <v>0</v>
      </c>
      <c r="EB196">
        <f>_xlfn.XLOOKUP(B196,'[2]april-2025'!$A:$A,'[2]april-2025'!$J:$J,0,0)</f>
        <v>0</v>
      </c>
      <c r="EC196">
        <f>_xlfn.XLOOKUP(B196,'[3]may-2025'!$A:$A,'[3]may-2025'!$J:$J,0,0)</f>
        <v>0</v>
      </c>
      <c r="ED196">
        <f>_xlfn.XLOOKUP(B196,'[4]june-2025'!$A:$A,'[4]june-2025'!$J:$J,0,0)</f>
        <v>0</v>
      </c>
      <c r="EE196">
        <f>_xlfn.XLOOKUP(B196,'[5]july-2025'!$A:$A,'[5]july-2025'!$J:$J,0,0)</f>
        <v>0</v>
      </c>
      <c r="EF196">
        <f>_xlfn.XLOOKUP(B196,'[6]august-2025'!$A:$A,'[6]august-2025'!$J:$J,0,0)</f>
        <v>0</v>
      </c>
      <c r="EG196">
        <f>_xlfn.XLOOKUP(B196,'[7]september-2025'!$A:$A,'[7]september-2025'!$J:$J,0,0)</f>
        <v>0</v>
      </c>
      <c r="EH196">
        <f>_xlfn.XLOOKUP(B196,'[8]october-2025'!$A:$A,'[8]october-2025'!$J:$J,0,0)</f>
        <v>0</v>
      </c>
      <c r="EI196">
        <f>_xlfn.XLOOKUP(C196,'[9]november-2025'!$A:$A,'[9]november-2025'!$J:$J,0,0)</f>
        <v>0</v>
      </c>
      <c r="EJ196">
        <f>_xlfn.XLOOKUP(B196,'[10]december-2025'!$A:$A,'[10]december-2025'!$J:$J,0,0)</f>
        <v>0</v>
      </c>
      <c r="EK196">
        <f>_xlfn.XLOOKUP(B196,'[11]january-2026'!$A:$A,'[11]january-2026'!$J:$J,0,0)</f>
        <v>0</v>
      </c>
      <c r="EL196">
        <f>_xlfn.XLOOKUP(B196,'[12]february-2026'!$A:$A,'[12]february-2026'!$J:$J,0,0)</f>
        <v>0</v>
      </c>
      <c r="EM196">
        <f t="shared" si="519"/>
        <v>0</v>
      </c>
      <c r="EN196">
        <f t="shared" si="509"/>
        <v>809512</v>
      </c>
      <c r="EO196">
        <f t="shared" si="510"/>
        <v>2400</v>
      </c>
      <c r="EP196">
        <f t="shared" ref="EP196:EP259" si="566">IF(EN196&gt;0,50000,0)</f>
        <v>50000</v>
      </c>
      <c r="EQ196">
        <v>0</v>
      </c>
      <c r="ER196">
        <f t="shared" si="520"/>
        <v>757112</v>
      </c>
      <c r="ES196">
        <f t="shared" si="511"/>
        <v>60000</v>
      </c>
      <c r="ET196">
        <f t="shared" si="512"/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ref="FE196:FE259" si="567">SUM(ES196:FD196)</f>
        <v>60000</v>
      </c>
      <c r="FF196">
        <f t="shared" ref="FF196:FF259" si="568">IF(FE196&gt;=150000,150000,FE196)</f>
        <v>60000</v>
      </c>
      <c r="FG196">
        <f t="shared" ref="FG196:FG259" si="569">ER196-FF196</f>
        <v>697112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si="513"/>
        <v>0</v>
      </c>
      <c r="FP196">
        <f t="shared" ref="FP196:FP259" si="570">FG196-FO196</f>
        <v>697112</v>
      </c>
      <c r="FQ196">
        <f t="shared" ref="FQ196:FQ259" si="571">ROUND(IF(FP196&gt;0,IF(FP196&gt;500000,12500,(FP196-250000)*0.05),0),0)</f>
        <v>12500</v>
      </c>
      <c r="FR196">
        <f t="shared" ref="FR196:FR259" si="572">IF(ROUND(IF(FP196&gt;0,IF(FP196&gt;1000000,25000,(FP196-500000)*0.2),0),0)&lt;0,0,ROUND(IF(FP196&gt;0,IF(FP196&gt;1000000,25000,(FP196-500000)*0.2),0),0))</f>
        <v>39422</v>
      </c>
      <c r="FS196">
        <f t="shared" ref="FS196:FS259" si="573">FQ196+FR196</f>
        <v>51922</v>
      </c>
      <c r="FT196">
        <f t="shared" ref="FT196:FT259" si="574">IF(FS196&lt;12500,0,FS196)</f>
        <v>51922</v>
      </c>
      <c r="FU196">
        <f t="shared" ref="FU196:FU259" si="575">FT196*0.04</f>
        <v>2076.88</v>
      </c>
      <c r="FV196">
        <f t="shared" ref="FV196:FV259" si="576">ROUND(FU196+FT196,0)</f>
        <v>53999</v>
      </c>
      <c r="FW196">
        <v>0</v>
      </c>
      <c r="FX196">
        <f t="shared" ref="FX196:FX259" si="577">FV196-FW196</f>
        <v>53999</v>
      </c>
      <c r="FY196" t="b">
        <f t="shared" ref="FY196:FY259" si="578">IF(EN196&gt;500000,TRUE,FALSE)</f>
        <v>1</v>
      </c>
      <c r="FZ196">
        <f t="shared" ref="FZ196:FZ259" ca="1" si="579">IF(FY196,RANDBETWEEN(500,1000),RANDBETWEEN(1000,3000))</f>
        <v>874</v>
      </c>
      <c r="GA196">
        <f t="shared" ref="GA196:GA259" ca="1" si="580">EN196+FZ196</f>
        <v>810386</v>
      </c>
      <c r="GB196">
        <f t="shared" ref="GB196:GB259" si="581">IF(EN196&gt;0,75000,0)</f>
        <v>75000</v>
      </c>
      <c r="GC196">
        <f t="shared" ref="GC196:GC259" ca="1" si="582">GA196-GB196</f>
        <v>735386</v>
      </c>
      <c r="GD196">
        <f t="shared" ref="GD196:GD259" ca="1" si="583">IF(GC196&gt;2400000,GC196-2400000,0)</f>
        <v>0</v>
      </c>
      <c r="GE196">
        <f t="shared" ref="GE196:GE259" ca="1" si="584">GD196*0.3</f>
        <v>0</v>
      </c>
      <c r="GF196">
        <f t="shared" ref="GF196:GF259" ca="1" si="585">IF(GC196&gt;2000000,GC196-2000000,0)</f>
        <v>0</v>
      </c>
      <c r="GG196">
        <f t="shared" ref="GG196:GG259" ca="1" si="586">GF196*0.25</f>
        <v>0</v>
      </c>
      <c r="GH196">
        <f t="shared" ref="GH196:GH259" ca="1" si="587">IF(GC196&gt;1600000,GC196-1600000-GD196,0)</f>
        <v>0</v>
      </c>
      <c r="GI196">
        <f t="shared" ref="GI196:GI259" ca="1" si="588">GH196*0.2</f>
        <v>0</v>
      </c>
      <c r="GJ196">
        <f t="shared" ca="1" si="514"/>
        <v>0</v>
      </c>
      <c r="GK196">
        <f t="shared" ref="GK196:GK259" ca="1" si="589">GJ196*0.15</f>
        <v>0</v>
      </c>
      <c r="GL196">
        <f t="shared" ref="GL196:GL259" ca="1" si="590">IF(GC196&gt;800000,GC196-800000-GD196-GH196-GJ196,0)</f>
        <v>0</v>
      </c>
      <c r="GM196">
        <f t="shared" ref="GM196:GM259" ca="1" si="591">GL196*0.1</f>
        <v>0</v>
      </c>
      <c r="GN196">
        <f t="shared" ref="GN196:GN259" ca="1" si="592">IF(GC196&gt;400000,GC196-400000-GD196-GH196-GJ196-GL196,0)</f>
        <v>335386</v>
      </c>
      <c r="GO196">
        <f t="shared" ref="GO196:GO259" ca="1" si="593">GN196*0.05</f>
        <v>16769.3</v>
      </c>
      <c r="GP196">
        <f t="shared" ref="GP196:GP259" ca="1" si="594">ROUND(GE196+GG196+GI196+GK196+GM196+GO196,0)</f>
        <v>16769</v>
      </c>
      <c r="GQ196">
        <f t="shared" ref="GQ196:GQ259" ca="1" si="595">IF(GC196&gt;1200000,GC196,0)</f>
        <v>0</v>
      </c>
      <c r="GR196">
        <f t="shared" ref="GR196:GR259" ca="1" si="596">IF(GC196&gt;1200000,GQ196-1200000,0)</f>
        <v>0</v>
      </c>
      <c r="GS196">
        <f t="shared" ref="GS196:GS259" ca="1" si="597">IF(GC196&lt;1200001,MIN(GP196,60000),0)</f>
        <v>16769</v>
      </c>
      <c r="GT196">
        <f t="shared" ref="GT196:GT259" ca="1" si="598">IF(GC196&gt;1200000,GP196-GR196,0)</f>
        <v>0</v>
      </c>
      <c r="GU196" t="b">
        <f t="shared" ref="GU196:GU259" ca="1" si="599">IF(GT196&gt;0,TRUE,FALSE)</f>
        <v>0</v>
      </c>
      <c r="GV196">
        <f t="shared" ref="GV196:GV259" ca="1" si="600">IF(GU196,GT196,0)</f>
        <v>0</v>
      </c>
      <c r="GW196">
        <f t="shared" ref="GW196:GW259" ca="1" si="601">GS196+GV196</f>
        <v>16769</v>
      </c>
      <c r="GX196">
        <f t="shared" ref="GX196:GX259" ca="1" si="602">ROUND(GP196-GW196,0)</f>
        <v>0</v>
      </c>
      <c r="GY196">
        <f t="shared" ref="GY196:GY259" ca="1" si="603">GX196*0.04</f>
        <v>0</v>
      </c>
      <c r="GZ196">
        <f t="shared" ref="GZ196:GZ259" ca="1" si="604">ROUNDUP(GX196+GY196,0)</f>
        <v>0</v>
      </c>
    </row>
    <row r="197" spans="1:208" x14ac:dyDescent="0.3">
      <c r="A197">
        <f>_xlfn.AGGREGATE(3,5,$B$2:B197)</f>
        <v>196</v>
      </c>
      <c r="B197" t="s">
        <v>499</v>
      </c>
      <c r="C197" t="s">
        <v>500</v>
      </c>
      <c r="D197" t="s">
        <v>799</v>
      </c>
      <c r="E197" t="s">
        <v>830</v>
      </c>
      <c r="F197" t="s">
        <v>956</v>
      </c>
      <c r="G197" t="s">
        <v>923</v>
      </c>
      <c r="H197">
        <f t="shared" si="498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521"/>
        <v>4690</v>
      </c>
      <c r="L197">
        <f t="shared" si="522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499"/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605">IF($F197="YES",0,IF(O197&gt;40000,200,IF(O197&gt;25000,150,IF(O197&gt;15000,130,IF(O197&gt;10000,110,0)))))</f>
        <v>200</v>
      </c>
      <c r="S197">
        <f t="shared" si="515"/>
        <v>37510</v>
      </c>
      <c r="T197">
        <f>_xlfn.XLOOKUP(B197,'[2]april-2025'!$A:$A,'[2]april-2025'!$C:$C,0,0)</f>
        <v>33500</v>
      </c>
      <c r="U197">
        <f t="shared" si="523"/>
        <v>6030</v>
      </c>
      <c r="V197">
        <f t="shared" si="524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516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525"/>
        <v>200</v>
      </c>
      <c r="AC197">
        <f t="shared" si="526"/>
        <v>38850</v>
      </c>
      <c r="AD197">
        <f>_xlfn.XLOOKUP(B197,'[3]may-2025'!$A:$A,'[3]may-2025'!$C:$C,0,0)</f>
        <v>33500</v>
      </c>
      <c r="AE197">
        <f t="shared" si="527"/>
        <v>6030</v>
      </c>
      <c r="AF197">
        <f t="shared" si="528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517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529"/>
        <v>200</v>
      </c>
      <c r="AM197">
        <f t="shared" si="530"/>
        <v>38850</v>
      </c>
      <c r="AN197">
        <f>_xlfn.XLOOKUP(B197,'[4]june-2025'!$A:$A,'[4]june-2025'!$C:$C,0,0)</f>
        <v>33500</v>
      </c>
      <c r="AO197">
        <f t="shared" si="531"/>
        <v>6030</v>
      </c>
      <c r="AP197">
        <f t="shared" si="532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518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533"/>
        <v>200</v>
      </c>
      <c r="AW197">
        <f t="shared" si="534"/>
        <v>38850</v>
      </c>
      <c r="AX197">
        <f>_xlfn.XLOOKUP(B197,'[5]july-2025'!$A:$A,'[5]july-2025'!$C:$C,0,0)</f>
        <v>34500</v>
      </c>
      <c r="AY197">
        <f t="shared" si="535"/>
        <v>6210</v>
      </c>
      <c r="AZ197">
        <v>0</v>
      </c>
      <c r="BA197">
        <f t="shared" si="536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500"/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537"/>
        <v>200</v>
      </c>
      <c r="BH197">
        <f t="shared" si="538"/>
        <v>40150</v>
      </c>
      <c r="BI197">
        <f>_xlfn.XLOOKUP(B197,'[6]august-2025'!$A:$A,'[6]august-2025'!$C:$C,0,0)</f>
        <v>34500</v>
      </c>
      <c r="BJ197">
        <f t="shared" si="539"/>
        <v>6210</v>
      </c>
      <c r="BK197">
        <f t="shared" si="540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541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 t="shared" si="501"/>
        <v>200</v>
      </c>
      <c r="BR197">
        <f t="shared" si="502"/>
        <v>40150</v>
      </c>
      <c r="BS197">
        <f>_xlfn.XLOOKUP(B197,'[7]september-2025'!$A:$A,'[7]september-2025'!$C:$C,0,0)</f>
        <v>34500</v>
      </c>
      <c r="BT197">
        <f t="shared" si="542"/>
        <v>6210</v>
      </c>
      <c r="BU197">
        <f t="shared" si="543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503"/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544"/>
        <v>200</v>
      </c>
      <c r="CB197">
        <f t="shared" si="545"/>
        <v>40150</v>
      </c>
      <c r="CC197">
        <f>_xlfn.XLOOKUP(B197,'[8]october-2025'!$A:$A,'[8]october-2025'!$C:$C,0,0)</f>
        <v>34500</v>
      </c>
      <c r="CD197">
        <f t="shared" si="546"/>
        <v>6210</v>
      </c>
      <c r="CE197">
        <f t="shared" si="547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504"/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548"/>
        <v>200</v>
      </c>
      <c r="CL197">
        <f t="shared" si="549"/>
        <v>40150</v>
      </c>
      <c r="CM197">
        <f>_xlfn.XLOOKUP(B197,'[9]november-2025'!$A:$A,'[9]november-2025'!$C:$C,0,0)</f>
        <v>34500</v>
      </c>
      <c r="CN197">
        <f t="shared" si="550"/>
        <v>6210</v>
      </c>
      <c r="CO197">
        <f t="shared" si="551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505"/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552"/>
        <v>200</v>
      </c>
      <c r="CV197">
        <f t="shared" si="553"/>
        <v>40150</v>
      </c>
      <c r="CW197">
        <f>_xlfn.XLOOKUP(B197,'[10]december-2025'!$A:$A,'[10]december-2025'!$C:$C,0,0)</f>
        <v>34500</v>
      </c>
      <c r="CX197">
        <f t="shared" si="554"/>
        <v>6210</v>
      </c>
      <c r="CY197">
        <f t="shared" si="555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506"/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556"/>
        <v>200</v>
      </c>
      <c r="DF197">
        <f t="shared" si="557"/>
        <v>40150</v>
      </c>
      <c r="DG197">
        <f>_xlfn.XLOOKUP(B197,'[11]january-2026'!$A:$A,'[11]january-2026'!$C:$C,0,0)</f>
        <v>34500</v>
      </c>
      <c r="DH197">
        <f t="shared" si="558"/>
        <v>6210</v>
      </c>
      <c r="DI197">
        <f t="shared" si="559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07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60"/>
        <v>200</v>
      </c>
      <c r="DP197">
        <f t="shared" si="561"/>
        <v>40150</v>
      </c>
      <c r="DQ197">
        <f>_xlfn.XLOOKUP(B197,'[12]february-2026'!$A:$A,'[12]february-2026'!$C:$C,0,0)</f>
        <v>34500</v>
      </c>
      <c r="DR197">
        <f t="shared" si="562"/>
        <v>6210</v>
      </c>
      <c r="DS197">
        <f t="shared" si="563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08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64"/>
        <v>200</v>
      </c>
      <c r="DZ197">
        <f t="shared" si="565"/>
        <v>40150</v>
      </c>
      <c r="EA197">
        <f>_xlfn.XLOOKUP(B197,'[1]march-2025'!$A:$A,'[1]march-2025'!$J:$J,0,0)</f>
        <v>0</v>
      </c>
      <c r="EB197">
        <f>_xlfn.XLOOKUP(B197,'[2]april-2025'!$A:$A,'[2]april-2025'!$J:$J,0,0)</f>
        <v>0</v>
      </c>
      <c r="EC197">
        <f>_xlfn.XLOOKUP(B197,'[3]may-2025'!$A:$A,'[3]may-2025'!$J:$J,0,0)</f>
        <v>0</v>
      </c>
      <c r="ED197">
        <f>_xlfn.XLOOKUP(B197,'[4]june-2025'!$A:$A,'[4]june-2025'!$J:$J,0,0)</f>
        <v>0</v>
      </c>
      <c r="EE197">
        <f>_xlfn.XLOOKUP(B197,'[5]july-2025'!$A:$A,'[5]july-2025'!$J:$J,0,0)</f>
        <v>0</v>
      </c>
      <c r="EF197">
        <f>_xlfn.XLOOKUP(B197,'[6]august-2025'!$A:$A,'[6]august-2025'!$J:$J,0,0)</f>
        <v>0</v>
      </c>
      <c r="EG197">
        <f>_xlfn.XLOOKUP(B197,'[7]september-2025'!$A:$A,'[7]september-2025'!$J:$J,0,0)</f>
        <v>0</v>
      </c>
      <c r="EH197">
        <f>_xlfn.XLOOKUP(B197,'[8]october-2025'!$A:$A,'[8]october-2025'!$J:$J,0,0)</f>
        <v>0</v>
      </c>
      <c r="EI197">
        <f>_xlfn.XLOOKUP(C197,'[9]november-2025'!$A:$A,'[9]november-2025'!$J:$J,0,0)</f>
        <v>0</v>
      </c>
      <c r="EJ197">
        <f>_xlfn.XLOOKUP(B197,'[10]december-2025'!$A:$A,'[10]december-2025'!$J:$J,0,0)</f>
        <v>0</v>
      </c>
      <c r="EK197">
        <f>_xlfn.XLOOKUP(B197,'[11]january-2026'!$A:$A,'[11]january-2026'!$J:$J,0,0)</f>
        <v>0</v>
      </c>
      <c r="EL197">
        <f>_xlfn.XLOOKUP(B197,'[12]february-2026'!$A:$A,'[12]february-2026'!$J:$J,0,0)</f>
        <v>0</v>
      </c>
      <c r="EM197">
        <f t="shared" si="519"/>
        <v>0</v>
      </c>
      <c r="EN197">
        <f t="shared" si="509"/>
        <v>544460</v>
      </c>
      <c r="EO197">
        <f t="shared" si="510"/>
        <v>2400</v>
      </c>
      <c r="EP197">
        <f t="shared" si="566"/>
        <v>50000</v>
      </c>
      <c r="EQ197">
        <v>0</v>
      </c>
      <c r="ER197">
        <f t="shared" si="520"/>
        <v>492060</v>
      </c>
      <c r="ES197">
        <f t="shared" si="511"/>
        <v>60000</v>
      </c>
      <c r="ET197">
        <f t="shared" si="512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67"/>
        <v>60000</v>
      </c>
      <c r="FF197">
        <f t="shared" si="568"/>
        <v>60000</v>
      </c>
      <c r="FG197">
        <f t="shared" si="569"/>
        <v>432060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513"/>
        <v>0</v>
      </c>
      <c r="FP197">
        <f t="shared" si="570"/>
        <v>432060</v>
      </c>
      <c r="FQ197">
        <f t="shared" si="571"/>
        <v>9103</v>
      </c>
      <c r="FR197">
        <f t="shared" si="572"/>
        <v>0</v>
      </c>
      <c r="FS197">
        <f t="shared" si="573"/>
        <v>9103</v>
      </c>
      <c r="FT197">
        <f t="shared" si="574"/>
        <v>0</v>
      </c>
      <c r="FU197">
        <f t="shared" si="575"/>
        <v>0</v>
      </c>
      <c r="FV197">
        <f t="shared" si="576"/>
        <v>0</v>
      </c>
      <c r="FW197">
        <v>0</v>
      </c>
      <c r="FX197">
        <f t="shared" si="577"/>
        <v>0</v>
      </c>
      <c r="FY197" t="b">
        <f t="shared" si="578"/>
        <v>1</v>
      </c>
      <c r="FZ197">
        <f t="shared" ca="1" si="579"/>
        <v>699</v>
      </c>
      <c r="GA197">
        <f t="shared" ca="1" si="580"/>
        <v>545159</v>
      </c>
      <c r="GB197">
        <f t="shared" si="581"/>
        <v>75000</v>
      </c>
      <c r="GC197">
        <f t="shared" ca="1" si="582"/>
        <v>470159</v>
      </c>
      <c r="GD197">
        <f t="shared" ca="1" si="583"/>
        <v>0</v>
      </c>
      <c r="GE197">
        <f t="shared" ca="1" si="584"/>
        <v>0</v>
      </c>
      <c r="GF197">
        <f t="shared" ca="1" si="585"/>
        <v>0</v>
      </c>
      <c r="GG197">
        <f t="shared" ca="1" si="586"/>
        <v>0</v>
      </c>
      <c r="GH197">
        <f t="shared" ca="1" si="587"/>
        <v>0</v>
      </c>
      <c r="GI197">
        <f t="shared" ca="1" si="588"/>
        <v>0</v>
      </c>
      <c r="GJ197">
        <f t="shared" ca="1" si="514"/>
        <v>0</v>
      </c>
      <c r="GK197">
        <f t="shared" ca="1" si="589"/>
        <v>0</v>
      </c>
      <c r="GL197">
        <f t="shared" ca="1" si="590"/>
        <v>0</v>
      </c>
      <c r="GM197">
        <f t="shared" ca="1" si="591"/>
        <v>0</v>
      </c>
      <c r="GN197">
        <f t="shared" ca="1" si="592"/>
        <v>70159</v>
      </c>
      <c r="GO197">
        <f t="shared" ca="1" si="593"/>
        <v>3507.9500000000003</v>
      </c>
      <c r="GP197">
        <f t="shared" ca="1" si="594"/>
        <v>3508</v>
      </c>
      <c r="GQ197">
        <f t="shared" ca="1" si="595"/>
        <v>0</v>
      </c>
      <c r="GR197">
        <f t="shared" ca="1" si="596"/>
        <v>0</v>
      </c>
      <c r="GS197">
        <f t="shared" ca="1" si="597"/>
        <v>3508</v>
      </c>
      <c r="GT197">
        <f t="shared" ca="1" si="598"/>
        <v>0</v>
      </c>
      <c r="GU197" t="b">
        <f t="shared" ca="1" si="599"/>
        <v>0</v>
      </c>
      <c r="GV197">
        <f t="shared" ca="1" si="600"/>
        <v>0</v>
      </c>
      <c r="GW197">
        <f t="shared" ca="1" si="601"/>
        <v>3508</v>
      </c>
      <c r="GX197">
        <f t="shared" ca="1" si="602"/>
        <v>0</v>
      </c>
      <c r="GY197">
        <f t="shared" ca="1" si="603"/>
        <v>0</v>
      </c>
      <c r="GZ197">
        <f t="shared" ca="1" si="604"/>
        <v>0</v>
      </c>
    </row>
    <row r="198" spans="1:208" x14ac:dyDescent="0.3">
      <c r="A198">
        <f>_xlfn.AGGREGATE(3,5,$B$2:B198)</f>
        <v>197</v>
      </c>
      <c r="B198" t="s">
        <v>501</v>
      </c>
      <c r="C198" t="s">
        <v>502</v>
      </c>
      <c r="D198" t="s">
        <v>799</v>
      </c>
      <c r="E198" t="s">
        <v>830</v>
      </c>
      <c r="F198" t="s">
        <v>956</v>
      </c>
      <c r="G198" t="s">
        <v>923</v>
      </c>
      <c r="H198">
        <f t="shared" si="498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521"/>
        <v>4690</v>
      </c>
      <c r="L198">
        <f t="shared" si="522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499"/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605"/>
        <v>200</v>
      </c>
      <c r="S198">
        <f t="shared" si="515"/>
        <v>40010</v>
      </c>
      <c r="T198">
        <f>_xlfn.XLOOKUP(B198,'[2]april-2025'!$A:$A,'[2]april-2025'!$C:$C,0,0)</f>
        <v>33500</v>
      </c>
      <c r="U198">
        <f t="shared" si="523"/>
        <v>6030</v>
      </c>
      <c r="V198">
        <f t="shared" si="524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516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525"/>
        <v>200</v>
      </c>
      <c r="AC198">
        <f t="shared" si="526"/>
        <v>41350</v>
      </c>
      <c r="AD198">
        <f>_xlfn.XLOOKUP(B198,'[3]may-2025'!$A:$A,'[3]may-2025'!$C:$C,0,0)</f>
        <v>33500</v>
      </c>
      <c r="AE198">
        <f t="shared" si="527"/>
        <v>6030</v>
      </c>
      <c r="AF198">
        <f t="shared" si="528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517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529"/>
        <v>200</v>
      </c>
      <c r="AM198">
        <f t="shared" si="530"/>
        <v>41350</v>
      </c>
      <c r="AN198">
        <f>_xlfn.XLOOKUP(B198,'[4]june-2025'!$A:$A,'[4]june-2025'!$C:$C,0,0)</f>
        <v>33500</v>
      </c>
      <c r="AO198">
        <f t="shared" si="531"/>
        <v>6030</v>
      </c>
      <c r="AP198">
        <f t="shared" si="532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518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533"/>
        <v>200</v>
      </c>
      <c r="AW198">
        <f t="shared" si="534"/>
        <v>41350</v>
      </c>
      <c r="AX198">
        <f>_xlfn.XLOOKUP(B198,'[5]july-2025'!$A:$A,'[5]july-2025'!$C:$C,0,0)</f>
        <v>34500</v>
      </c>
      <c r="AY198">
        <f t="shared" si="535"/>
        <v>6210</v>
      </c>
      <c r="AZ198">
        <v>0</v>
      </c>
      <c r="BA198">
        <f t="shared" si="536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500"/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537"/>
        <v>200</v>
      </c>
      <c r="BH198">
        <f t="shared" si="538"/>
        <v>42650</v>
      </c>
      <c r="BI198">
        <f>_xlfn.XLOOKUP(B198,'[6]august-2025'!$A:$A,'[6]august-2025'!$C:$C,0,0)</f>
        <v>34500</v>
      </c>
      <c r="BJ198">
        <f t="shared" si="539"/>
        <v>6210</v>
      </c>
      <c r="BK198">
        <f t="shared" si="540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541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 t="shared" si="501"/>
        <v>200</v>
      </c>
      <c r="BR198">
        <f t="shared" si="502"/>
        <v>42650</v>
      </c>
      <c r="BS198">
        <f>_xlfn.XLOOKUP(B198,'[7]september-2025'!$A:$A,'[7]september-2025'!$C:$C,0,0)</f>
        <v>34500</v>
      </c>
      <c r="BT198">
        <f t="shared" si="542"/>
        <v>6210</v>
      </c>
      <c r="BU198">
        <f t="shared" si="543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503"/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544"/>
        <v>200</v>
      </c>
      <c r="CB198">
        <f t="shared" si="545"/>
        <v>42650</v>
      </c>
      <c r="CC198">
        <f>_xlfn.XLOOKUP(B198,'[8]october-2025'!$A:$A,'[8]october-2025'!$C:$C,0,0)</f>
        <v>34500</v>
      </c>
      <c r="CD198">
        <f t="shared" si="546"/>
        <v>6210</v>
      </c>
      <c r="CE198">
        <f t="shared" si="547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504"/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548"/>
        <v>200</v>
      </c>
      <c r="CL198">
        <f t="shared" si="549"/>
        <v>42650</v>
      </c>
      <c r="CM198">
        <f>_xlfn.XLOOKUP(B198,'[9]november-2025'!$A:$A,'[9]november-2025'!$C:$C,0,0)</f>
        <v>34500</v>
      </c>
      <c r="CN198">
        <f t="shared" si="550"/>
        <v>6210</v>
      </c>
      <c r="CO198">
        <f t="shared" si="551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505"/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552"/>
        <v>200</v>
      </c>
      <c r="CV198">
        <f t="shared" si="553"/>
        <v>42650</v>
      </c>
      <c r="CW198">
        <f>_xlfn.XLOOKUP(B198,'[10]december-2025'!$A:$A,'[10]december-2025'!$C:$C,0,0)</f>
        <v>34500</v>
      </c>
      <c r="CX198">
        <f t="shared" si="554"/>
        <v>6210</v>
      </c>
      <c r="CY198">
        <f t="shared" si="555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506"/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556"/>
        <v>200</v>
      </c>
      <c r="DF198">
        <f t="shared" si="557"/>
        <v>42650</v>
      </c>
      <c r="DG198">
        <f>_xlfn.XLOOKUP(B198,'[11]january-2026'!$A:$A,'[11]january-2026'!$C:$C,0,0)</f>
        <v>34500</v>
      </c>
      <c r="DH198">
        <f t="shared" si="558"/>
        <v>6210</v>
      </c>
      <c r="DI198">
        <f t="shared" si="559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07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60"/>
        <v>200</v>
      </c>
      <c r="DP198">
        <f t="shared" si="561"/>
        <v>42650</v>
      </c>
      <c r="DQ198">
        <f>_xlfn.XLOOKUP(B198,'[12]february-2026'!$A:$A,'[12]february-2026'!$C:$C,0,0)</f>
        <v>34500</v>
      </c>
      <c r="DR198">
        <f t="shared" si="562"/>
        <v>6210</v>
      </c>
      <c r="DS198">
        <f t="shared" si="563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08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64"/>
        <v>200</v>
      </c>
      <c r="DZ198">
        <f t="shared" si="565"/>
        <v>42650</v>
      </c>
      <c r="EA198">
        <f>_xlfn.XLOOKUP(B198,'[1]march-2025'!$A:$A,'[1]march-2025'!$J:$J,0,0)</f>
        <v>0</v>
      </c>
      <c r="EB198">
        <f>_xlfn.XLOOKUP(B198,'[2]april-2025'!$A:$A,'[2]april-2025'!$J:$J,0,0)</f>
        <v>0</v>
      </c>
      <c r="EC198">
        <f>_xlfn.XLOOKUP(B198,'[3]may-2025'!$A:$A,'[3]may-2025'!$J:$J,0,0)</f>
        <v>0</v>
      </c>
      <c r="ED198">
        <f>_xlfn.XLOOKUP(B198,'[4]june-2025'!$A:$A,'[4]june-2025'!$J:$J,0,0)</f>
        <v>0</v>
      </c>
      <c r="EE198">
        <f>_xlfn.XLOOKUP(B198,'[5]july-2025'!$A:$A,'[5]july-2025'!$J:$J,0,0)</f>
        <v>0</v>
      </c>
      <c r="EF198">
        <f>_xlfn.XLOOKUP(B198,'[6]august-2025'!$A:$A,'[6]august-2025'!$J:$J,0,0)</f>
        <v>0</v>
      </c>
      <c r="EG198">
        <f>_xlfn.XLOOKUP(B198,'[7]september-2025'!$A:$A,'[7]september-2025'!$J:$J,0,0)</f>
        <v>0</v>
      </c>
      <c r="EH198">
        <f>_xlfn.XLOOKUP(B198,'[8]october-2025'!$A:$A,'[8]october-2025'!$J:$J,0,0)</f>
        <v>0</v>
      </c>
      <c r="EI198">
        <f>_xlfn.XLOOKUP(C198,'[9]november-2025'!$A:$A,'[9]november-2025'!$J:$J,0,0)</f>
        <v>0</v>
      </c>
      <c r="EJ198">
        <f>_xlfn.XLOOKUP(B198,'[10]december-2025'!$A:$A,'[10]december-2025'!$J:$J,0,0)</f>
        <v>0</v>
      </c>
      <c r="EK198">
        <f>_xlfn.XLOOKUP(B198,'[11]january-2026'!$A:$A,'[11]january-2026'!$J:$J,0,0)</f>
        <v>0</v>
      </c>
      <c r="EL198">
        <f>_xlfn.XLOOKUP(B198,'[12]february-2026'!$A:$A,'[12]february-2026'!$J:$J,0,0)</f>
        <v>0</v>
      </c>
      <c r="EM198">
        <f t="shared" si="519"/>
        <v>0</v>
      </c>
      <c r="EN198">
        <f t="shared" si="509"/>
        <v>544460</v>
      </c>
      <c r="EO198">
        <f t="shared" si="510"/>
        <v>2400</v>
      </c>
      <c r="EP198">
        <f t="shared" si="566"/>
        <v>50000</v>
      </c>
      <c r="EQ198">
        <v>0</v>
      </c>
      <c r="ER198">
        <f t="shared" si="520"/>
        <v>492060</v>
      </c>
      <c r="ES198">
        <f t="shared" si="511"/>
        <v>30000</v>
      </c>
      <c r="ET198">
        <f t="shared" si="512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67"/>
        <v>30000</v>
      </c>
      <c r="FF198">
        <f t="shared" si="568"/>
        <v>30000</v>
      </c>
      <c r="FG198">
        <f t="shared" si="569"/>
        <v>462060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513"/>
        <v>0</v>
      </c>
      <c r="FP198">
        <f t="shared" si="570"/>
        <v>462060</v>
      </c>
      <c r="FQ198">
        <f t="shared" si="571"/>
        <v>10603</v>
      </c>
      <c r="FR198">
        <f t="shared" si="572"/>
        <v>0</v>
      </c>
      <c r="FS198">
        <f t="shared" si="573"/>
        <v>10603</v>
      </c>
      <c r="FT198">
        <f t="shared" si="574"/>
        <v>0</v>
      </c>
      <c r="FU198">
        <f t="shared" si="575"/>
        <v>0</v>
      </c>
      <c r="FV198">
        <f t="shared" si="576"/>
        <v>0</v>
      </c>
      <c r="FW198">
        <v>0</v>
      </c>
      <c r="FX198">
        <f t="shared" si="577"/>
        <v>0</v>
      </c>
      <c r="FY198" t="b">
        <f t="shared" si="578"/>
        <v>1</v>
      </c>
      <c r="FZ198">
        <f t="shared" ca="1" si="579"/>
        <v>706</v>
      </c>
      <c r="GA198">
        <f t="shared" ca="1" si="580"/>
        <v>545166</v>
      </c>
      <c r="GB198">
        <f t="shared" si="581"/>
        <v>75000</v>
      </c>
      <c r="GC198">
        <f t="shared" ca="1" si="582"/>
        <v>470166</v>
      </c>
      <c r="GD198">
        <f t="shared" ca="1" si="583"/>
        <v>0</v>
      </c>
      <c r="GE198">
        <f t="shared" ca="1" si="584"/>
        <v>0</v>
      </c>
      <c r="GF198">
        <f t="shared" ca="1" si="585"/>
        <v>0</v>
      </c>
      <c r="GG198">
        <f t="shared" ca="1" si="586"/>
        <v>0</v>
      </c>
      <c r="GH198">
        <f t="shared" ca="1" si="587"/>
        <v>0</v>
      </c>
      <c r="GI198">
        <f t="shared" ca="1" si="588"/>
        <v>0</v>
      </c>
      <c r="GJ198">
        <f t="shared" ca="1" si="514"/>
        <v>0</v>
      </c>
      <c r="GK198">
        <f t="shared" ca="1" si="589"/>
        <v>0</v>
      </c>
      <c r="GL198">
        <f t="shared" ca="1" si="590"/>
        <v>0</v>
      </c>
      <c r="GM198">
        <f t="shared" ca="1" si="591"/>
        <v>0</v>
      </c>
      <c r="GN198">
        <f t="shared" ca="1" si="592"/>
        <v>70166</v>
      </c>
      <c r="GO198">
        <f t="shared" ca="1" si="593"/>
        <v>3508.3</v>
      </c>
      <c r="GP198">
        <f t="shared" ca="1" si="594"/>
        <v>3508</v>
      </c>
      <c r="GQ198">
        <f t="shared" ca="1" si="595"/>
        <v>0</v>
      </c>
      <c r="GR198">
        <f t="shared" ca="1" si="596"/>
        <v>0</v>
      </c>
      <c r="GS198">
        <f t="shared" ca="1" si="597"/>
        <v>3508</v>
      </c>
      <c r="GT198">
        <f t="shared" ca="1" si="598"/>
        <v>0</v>
      </c>
      <c r="GU198" t="b">
        <f t="shared" ca="1" si="599"/>
        <v>0</v>
      </c>
      <c r="GV198">
        <f t="shared" ca="1" si="600"/>
        <v>0</v>
      </c>
      <c r="GW198">
        <f t="shared" ca="1" si="601"/>
        <v>3508</v>
      </c>
      <c r="GX198">
        <f t="shared" ca="1" si="602"/>
        <v>0</v>
      </c>
      <c r="GY198">
        <f t="shared" ca="1" si="603"/>
        <v>0</v>
      </c>
      <c r="GZ198">
        <f t="shared" ca="1" si="604"/>
        <v>0</v>
      </c>
    </row>
    <row r="199" spans="1:208" x14ac:dyDescent="0.3">
      <c r="A199">
        <f>_xlfn.AGGREGATE(3,5,$B$2:B199)</f>
        <v>198</v>
      </c>
      <c r="B199" t="s">
        <v>503</v>
      </c>
      <c r="C199" t="s">
        <v>504</v>
      </c>
      <c r="D199" t="s">
        <v>799</v>
      </c>
      <c r="E199" t="s">
        <v>830</v>
      </c>
      <c r="F199" t="s">
        <v>956</v>
      </c>
      <c r="G199" t="s">
        <v>923</v>
      </c>
      <c r="H199">
        <f t="shared" ref="H199:H230" si="606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521"/>
        <v>4690</v>
      </c>
      <c r="L199">
        <f t="shared" si="522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499"/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605"/>
        <v>200</v>
      </c>
      <c r="S199">
        <f t="shared" si="515"/>
        <v>39510</v>
      </c>
      <c r="T199">
        <f>_xlfn.XLOOKUP(B199,'[2]april-2025'!$A:$A,'[2]april-2025'!$C:$C,0,0)</f>
        <v>33500</v>
      </c>
      <c r="U199">
        <f t="shared" si="523"/>
        <v>6030</v>
      </c>
      <c r="V199">
        <f t="shared" si="524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516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525"/>
        <v>200</v>
      </c>
      <c r="AC199">
        <f t="shared" si="526"/>
        <v>40850</v>
      </c>
      <c r="AD199">
        <f>_xlfn.XLOOKUP(B199,'[3]may-2025'!$A:$A,'[3]may-2025'!$C:$C,0,0)</f>
        <v>33500</v>
      </c>
      <c r="AE199">
        <f t="shared" si="527"/>
        <v>6030</v>
      </c>
      <c r="AF199">
        <f t="shared" si="528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517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529"/>
        <v>200</v>
      </c>
      <c r="AM199">
        <f t="shared" si="530"/>
        <v>40850</v>
      </c>
      <c r="AN199">
        <f>_xlfn.XLOOKUP(B199,'[4]june-2025'!$A:$A,'[4]june-2025'!$C:$C,0,0)</f>
        <v>33500</v>
      </c>
      <c r="AO199">
        <f t="shared" si="531"/>
        <v>6030</v>
      </c>
      <c r="AP199">
        <f t="shared" si="532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518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533"/>
        <v>200</v>
      </c>
      <c r="AW199">
        <f t="shared" si="534"/>
        <v>40850</v>
      </c>
      <c r="AX199">
        <f>_xlfn.XLOOKUP(B199,'[5]july-2025'!$A:$A,'[5]july-2025'!$C:$C,0,0)</f>
        <v>34500</v>
      </c>
      <c r="AY199">
        <f t="shared" si="535"/>
        <v>6210</v>
      </c>
      <c r="AZ199">
        <v>0</v>
      </c>
      <c r="BA199">
        <f t="shared" si="536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500"/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537"/>
        <v>200</v>
      </c>
      <c r="BH199">
        <f t="shared" si="538"/>
        <v>42150</v>
      </c>
      <c r="BI199">
        <f>_xlfn.XLOOKUP(B199,'[6]august-2025'!$A:$A,'[6]august-2025'!$C:$C,0,0)</f>
        <v>34500</v>
      </c>
      <c r="BJ199">
        <f t="shared" si="539"/>
        <v>6210</v>
      </c>
      <c r="BK199">
        <f t="shared" si="540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541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 t="shared" si="501"/>
        <v>200</v>
      </c>
      <c r="BR199">
        <f t="shared" si="502"/>
        <v>42150</v>
      </c>
      <c r="BS199">
        <f>_xlfn.XLOOKUP(B199,'[7]september-2025'!$A:$A,'[7]september-2025'!$C:$C,0,0)</f>
        <v>34500</v>
      </c>
      <c r="BT199">
        <f t="shared" si="542"/>
        <v>6210</v>
      </c>
      <c r="BU199">
        <f t="shared" si="543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503"/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544"/>
        <v>200</v>
      </c>
      <c r="CB199">
        <f t="shared" si="545"/>
        <v>42150</v>
      </c>
      <c r="CC199">
        <f>_xlfn.XLOOKUP(B199,'[8]october-2025'!$A:$A,'[8]october-2025'!$C:$C,0,0)</f>
        <v>34500</v>
      </c>
      <c r="CD199">
        <f t="shared" si="546"/>
        <v>6210</v>
      </c>
      <c r="CE199">
        <f t="shared" si="547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504"/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548"/>
        <v>200</v>
      </c>
      <c r="CL199">
        <f t="shared" si="549"/>
        <v>42150</v>
      </c>
      <c r="CM199">
        <f>_xlfn.XLOOKUP(B199,'[9]november-2025'!$A:$A,'[9]november-2025'!$C:$C,0,0)</f>
        <v>34500</v>
      </c>
      <c r="CN199">
        <f t="shared" si="550"/>
        <v>6210</v>
      </c>
      <c r="CO199">
        <f t="shared" si="551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505"/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552"/>
        <v>200</v>
      </c>
      <c r="CV199">
        <f t="shared" si="553"/>
        <v>42150</v>
      </c>
      <c r="CW199">
        <f>_xlfn.XLOOKUP(B199,'[10]december-2025'!$A:$A,'[10]december-2025'!$C:$C,0,0)</f>
        <v>34500</v>
      </c>
      <c r="CX199">
        <f t="shared" si="554"/>
        <v>6210</v>
      </c>
      <c r="CY199">
        <f t="shared" si="555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506"/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556"/>
        <v>200</v>
      </c>
      <c r="DF199">
        <f t="shared" si="557"/>
        <v>42150</v>
      </c>
      <c r="DG199">
        <f>_xlfn.XLOOKUP(B199,'[11]january-2026'!$A:$A,'[11]january-2026'!$C:$C,0,0)</f>
        <v>34500</v>
      </c>
      <c r="DH199">
        <f t="shared" si="558"/>
        <v>6210</v>
      </c>
      <c r="DI199">
        <f t="shared" si="559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07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60"/>
        <v>200</v>
      </c>
      <c r="DP199">
        <f t="shared" si="561"/>
        <v>42150</v>
      </c>
      <c r="DQ199">
        <f>_xlfn.XLOOKUP(B199,'[12]february-2026'!$A:$A,'[12]february-2026'!$C:$C,0,0)</f>
        <v>34500</v>
      </c>
      <c r="DR199">
        <f t="shared" si="562"/>
        <v>6210</v>
      </c>
      <c r="DS199">
        <f t="shared" si="563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08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64"/>
        <v>200</v>
      </c>
      <c r="DZ199">
        <f t="shared" si="565"/>
        <v>42150</v>
      </c>
      <c r="EA199">
        <f>_xlfn.XLOOKUP(B199,'[1]march-2025'!$A:$A,'[1]march-2025'!$J:$J,0,0)</f>
        <v>0</v>
      </c>
      <c r="EB199">
        <f>_xlfn.XLOOKUP(B199,'[2]april-2025'!$A:$A,'[2]april-2025'!$J:$J,0,0)</f>
        <v>0</v>
      </c>
      <c r="EC199">
        <f>_xlfn.XLOOKUP(B199,'[3]may-2025'!$A:$A,'[3]may-2025'!$J:$J,0,0)</f>
        <v>0</v>
      </c>
      <c r="ED199">
        <f>_xlfn.XLOOKUP(B199,'[4]june-2025'!$A:$A,'[4]june-2025'!$J:$J,0,0)</f>
        <v>0</v>
      </c>
      <c r="EE199">
        <f>_xlfn.XLOOKUP(B199,'[5]july-2025'!$A:$A,'[5]july-2025'!$J:$J,0,0)</f>
        <v>0</v>
      </c>
      <c r="EF199">
        <f>_xlfn.XLOOKUP(B199,'[6]august-2025'!$A:$A,'[6]august-2025'!$J:$J,0,0)</f>
        <v>0</v>
      </c>
      <c r="EG199">
        <f>_xlfn.XLOOKUP(B199,'[7]september-2025'!$A:$A,'[7]september-2025'!$J:$J,0,0)</f>
        <v>0</v>
      </c>
      <c r="EH199">
        <f>_xlfn.XLOOKUP(B199,'[8]october-2025'!$A:$A,'[8]october-2025'!$J:$J,0,0)</f>
        <v>0</v>
      </c>
      <c r="EI199">
        <f>_xlfn.XLOOKUP(C199,'[9]november-2025'!$A:$A,'[9]november-2025'!$J:$J,0,0)</f>
        <v>0</v>
      </c>
      <c r="EJ199">
        <f>_xlfn.XLOOKUP(B199,'[10]december-2025'!$A:$A,'[10]december-2025'!$J:$J,0,0)</f>
        <v>0</v>
      </c>
      <c r="EK199">
        <f>_xlfn.XLOOKUP(B199,'[11]january-2026'!$A:$A,'[11]january-2026'!$J:$J,0,0)</f>
        <v>0</v>
      </c>
      <c r="EL199">
        <f>_xlfn.XLOOKUP(B199,'[12]february-2026'!$A:$A,'[12]february-2026'!$J:$J,0,0)</f>
        <v>0</v>
      </c>
      <c r="EM199">
        <f t="shared" si="519"/>
        <v>0</v>
      </c>
      <c r="EN199">
        <f t="shared" si="509"/>
        <v>544460</v>
      </c>
      <c r="EO199">
        <f t="shared" si="510"/>
        <v>2400</v>
      </c>
      <c r="EP199">
        <f t="shared" si="566"/>
        <v>50000</v>
      </c>
      <c r="EQ199">
        <v>0</v>
      </c>
      <c r="ER199">
        <f t="shared" si="520"/>
        <v>492060</v>
      </c>
      <c r="ES199">
        <f t="shared" si="511"/>
        <v>36000</v>
      </c>
      <c r="ET199">
        <f t="shared" si="512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67"/>
        <v>36000</v>
      </c>
      <c r="FF199">
        <f t="shared" si="568"/>
        <v>36000</v>
      </c>
      <c r="FG199">
        <f t="shared" si="569"/>
        <v>456060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513"/>
        <v>0</v>
      </c>
      <c r="FP199">
        <f t="shared" si="570"/>
        <v>456060</v>
      </c>
      <c r="FQ199">
        <f t="shared" si="571"/>
        <v>10303</v>
      </c>
      <c r="FR199">
        <f t="shared" si="572"/>
        <v>0</v>
      </c>
      <c r="FS199">
        <f t="shared" si="573"/>
        <v>10303</v>
      </c>
      <c r="FT199">
        <f t="shared" si="574"/>
        <v>0</v>
      </c>
      <c r="FU199">
        <f t="shared" si="575"/>
        <v>0</v>
      </c>
      <c r="FV199">
        <f t="shared" si="576"/>
        <v>0</v>
      </c>
      <c r="FW199">
        <v>0</v>
      </c>
      <c r="FX199">
        <f t="shared" si="577"/>
        <v>0</v>
      </c>
      <c r="FY199" t="b">
        <f t="shared" si="578"/>
        <v>1</v>
      </c>
      <c r="FZ199">
        <f t="shared" ca="1" si="579"/>
        <v>851</v>
      </c>
      <c r="GA199">
        <f t="shared" ca="1" si="580"/>
        <v>545311</v>
      </c>
      <c r="GB199">
        <f t="shared" si="581"/>
        <v>75000</v>
      </c>
      <c r="GC199">
        <f t="shared" ca="1" si="582"/>
        <v>470311</v>
      </c>
      <c r="GD199">
        <f t="shared" ca="1" si="583"/>
        <v>0</v>
      </c>
      <c r="GE199">
        <f t="shared" ca="1" si="584"/>
        <v>0</v>
      </c>
      <c r="GF199">
        <f t="shared" ca="1" si="585"/>
        <v>0</v>
      </c>
      <c r="GG199">
        <f t="shared" ca="1" si="586"/>
        <v>0</v>
      </c>
      <c r="GH199">
        <f t="shared" ca="1" si="587"/>
        <v>0</v>
      </c>
      <c r="GI199">
        <f t="shared" ca="1" si="588"/>
        <v>0</v>
      </c>
      <c r="GJ199">
        <f t="shared" ca="1" si="514"/>
        <v>0</v>
      </c>
      <c r="GK199">
        <f t="shared" ca="1" si="589"/>
        <v>0</v>
      </c>
      <c r="GL199">
        <f t="shared" ca="1" si="590"/>
        <v>0</v>
      </c>
      <c r="GM199">
        <f t="shared" ca="1" si="591"/>
        <v>0</v>
      </c>
      <c r="GN199">
        <f t="shared" ca="1" si="592"/>
        <v>70311</v>
      </c>
      <c r="GO199">
        <f t="shared" ca="1" si="593"/>
        <v>3515.55</v>
      </c>
      <c r="GP199">
        <f t="shared" ca="1" si="594"/>
        <v>3516</v>
      </c>
      <c r="GQ199">
        <f t="shared" ca="1" si="595"/>
        <v>0</v>
      </c>
      <c r="GR199">
        <f t="shared" ca="1" si="596"/>
        <v>0</v>
      </c>
      <c r="GS199">
        <f t="shared" ca="1" si="597"/>
        <v>3516</v>
      </c>
      <c r="GT199">
        <f t="shared" ca="1" si="598"/>
        <v>0</v>
      </c>
      <c r="GU199" t="b">
        <f t="shared" ca="1" si="599"/>
        <v>0</v>
      </c>
      <c r="GV199">
        <f t="shared" ca="1" si="600"/>
        <v>0</v>
      </c>
      <c r="GW199">
        <f t="shared" ca="1" si="601"/>
        <v>3516</v>
      </c>
      <c r="GX199">
        <f t="shared" ca="1" si="602"/>
        <v>0</v>
      </c>
      <c r="GY199">
        <f t="shared" ca="1" si="603"/>
        <v>0</v>
      </c>
      <c r="GZ199">
        <f t="shared" ca="1" si="604"/>
        <v>0</v>
      </c>
    </row>
    <row r="200" spans="1:208" x14ac:dyDescent="0.3">
      <c r="A200">
        <f>_xlfn.AGGREGATE(3,5,$B$2:B200)</f>
        <v>199</v>
      </c>
      <c r="B200" t="s">
        <v>505</v>
      </c>
      <c r="C200" t="s">
        <v>506</v>
      </c>
      <c r="D200" t="s">
        <v>799</v>
      </c>
      <c r="E200" t="s">
        <v>830</v>
      </c>
      <c r="F200" t="s">
        <v>957</v>
      </c>
      <c r="G200" t="s">
        <v>936</v>
      </c>
      <c r="H200">
        <f t="shared" si="606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521"/>
        <v>5278.0000000000009</v>
      </c>
      <c r="L200">
        <f t="shared" si="522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499"/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605"/>
        <v>0</v>
      </c>
      <c r="S200">
        <f t="shared" si="515"/>
        <v>43002</v>
      </c>
      <c r="T200">
        <f>_xlfn.XLOOKUP(B200,'[2]april-2025'!$A:$A,'[2]april-2025'!$C:$C,0,0)</f>
        <v>37700</v>
      </c>
      <c r="U200">
        <f t="shared" si="523"/>
        <v>6786</v>
      </c>
      <c r="V200">
        <f t="shared" si="524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516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525"/>
        <v>0</v>
      </c>
      <c r="AC200">
        <f t="shared" si="526"/>
        <v>44510</v>
      </c>
      <c r="AD200">
        <f>_xlfn.XLOOKUP(B200,'[3]may-2025'!$A:$A,'[3]may-2025'!$C:$C,0,0)</f>
        <v>37700</v>
      </c>
      <c r="AE200">
        <f t="shared" si="527"/>
        <v>6786</v>
      </c>
      <c r="AF200">
        <f t="shared" si="528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517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529"/>
        <v>0</v>
      </c>
      <c r="AM200">
        <f t="shared" si="530"/>
        <v>44510</v>
      </c>
      <c r="AN200">
        <f>_xlfn.XLOOKUP(B200,'[4]june-2025'!$A:$A,'[4]june-2025'!$C:$C,0,0)</f>
        <v>37700</v>
      </c>
      <c r="AO200">
        <f t="shared" si="531"/>
        <v>6786</v>
      </c>
      <c r="AP200">
        <f t="shared" si="532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518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533"/>
        <v>0</v>
      </c>
      <c r="AW200">
        <f t="shared" si="534"/>
        <v>44510</v>
      </c>
      <c r="AX200">
        <f>_xlfn.XLOOKUP(B200,'[5]july-2025'!$A:$A,'[5]july-2025'!$C:$C,0,0)</f>
        <v>38800</v>
      </c>
      <c r="AY200">
        <f t="shared" si="535"/>
        <v>6984</v>
      </c>
      <c r="AZ200">
        <v>0</v>
      </c>
      <c r="BA200">
        <f t="shared" si="536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500"/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537"/>
        <v>0</v>
      </c>
      <c r="BH200">
        <f t="shared" si="538"/>
        <v>45940</v>
      </c>
      <c r="BI200">
        <f>_xlfn.XLOOKUP(B200,'[6]august-2025'!$A:$A,'[6]august-2025'!$C:$C,0,0)</f>
        <v>38800</v>
      </c>
      <c r="BJ200">
        <f t="shared" si="539"/>
        <v>6984</v>
      </c>
      <c r="BK200">
        <f t="shared" si="540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541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 t="shared" si="501"/>
        <v>0</v>
      </c>
      <c r="BR200">
        <f t="shared" si="502"/>
        <v>45940</v>
      </c>
      <c r="BS200">
        <f>_xlfn.XLOOKUP(B200,'[7]september-2025'!$A:$A,'[7]september-2025'!$C:$C,0,0)</f>
        <v>38800</v>
      </c>
      <c r="BT200">
        <f t="shared" si="542"/>
        <v>6984</v>
      </c>
      <c r="BU200">
        <f t="shared" si="543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503"/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544"/>
        <v>0</v>
      </c>
      <c r="CB200">
        <f t="shared" si="545"/>
        <v>45940</v>
      </c>
      <c r="CC200">
        <f>_xlfn.XLOOKUP(B200,'[8]october-2025'!$A:$A,'[8]october-2025'!$C:$C,0,0)</f>
        <v>38800</v>
      </c>
      <c r="CD200">
        <f t="shared" si="546"/>
        <v>6984</v>
      </c>
      <c r="CE200">
        <f t="shared" si="547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504"/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548"/>
        <v>0</v>
      </c>
      <c r="CL200">
        <f t="shared" si="549"/>
        <v>45940</v>
      </c>
      <c r="CM200">
        <f>_xlfn.XLOOKUP(B200,'[9]november-2025'!$A:$A,'[9]november-2025'!$C:$C,0,0)</f>
        <v>38800</v>
      </c>
      <c r="CN200">
        <f t="shared" si="550"/>
        <v>6984</v>
      </c>
      <c r="CO200">
        <f t="shared" si="551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505"/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552"/>
        <v>0</v>
      </c>
      <c r="CV200">
        <f t="shared" si="553"/>
        <v>45940</v>
      </c>
      <c r="CW200">
        <f>_xlfn.XLOOKUP(B200,'[10]december-2025'!$A:$A,'[10]december-2025'!$C:$C,0,0)</f>
        <v>38800</v>
      </c>
      <c r="CX200">
        <f t="shared" si="554"/>
        <v>6984</v>
      </c>
      <c r="CY200">
        <f t="shared" si="555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506"/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556"/>
        <v>0</v>
      </c>
      <c r="DF200">
        <f t="shared" si="557"/>
        <v>45940</v>
      </c>
      <c r="DG200">
        <f>_xlfn.XLOOKUP(B200,'[11]january-2026'!$A:$A,'[11]january-2026'!$C:$C,0,0)</f>
        <v>38800</v>
      </c>
      <c r="DH200">
        <f t="shared" si="558"/>
        <v>6984</v>
      </c>
      <c r="DI200">
        <f t="shared" si="559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07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60"/>
        <v>0</v>
      </c>
      <c r="DP200">
        <f t="shared" si="561"/>
        <v>45940</v>
      </c>
      <c r="DQ200">
        <f>_xlfn.XLOOKUP(B200,'[12]february-2026'!$A:$A,'[12]february-2026'!$C:$C,0,0)</f>
        <v>38800</v>
      </c>
      <c r="DR200">
        <f t="shared" si="562"/>
        <v>6984</v>
      </c>
      <c r="DS200">
        <f t="shared" si="563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08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64"/>
        <v>0</v>
      </c>
      <c r="DZ200">
        <f t="shared" si="565"/>
        <v>45940</v>
      </c>
      <c r="EA200">
        <f>_xlfn.XLOOKUP(B200,'[1]march-2025'!$A:$A,'[1]march-2025'!$J:$J,0,0)</f>
        <v>0</v>
      </c>
      <c r="EB200">
        <f>_xlfn.XLOOKUP(B200,'[2]april-2025'!$A:$A,'[2]april-2025'!$J:$J,0,0)</f>
        <v>0</v>
      </c>
      <c r="EC200">
        <f>_xlfn.XLOOKUP(B200,'[3]may-2025'!$A:$A,'[3]may-2025'!$J:$J,0,0)</f>
        <v>0</v>
      </c>
      <c r="ED200">
        <f>_xlfn.XLOOKUP(B200,'[4]june-2025'!$A:$A,'[4]june-2025'!$J:$J,0,0)</f>
        <v>0</v>
      </c>
      <c r="EE200">
        <f>_xlfn.XLOOKUP(B200,'[5]july-2025'!$A:$A,'[5]july-2025'!$J:$J,0,0)</f>
        <v>0</v>
      </c>
      <c r="EF200">
        <f>_xlfn.XLOOKUP(B200,'[6]august-2025'!$A:$A,'[6]august-2025'!$J:$J,0,0)</f>
        <v>0</v>
      </c>
      <c r="EG200">
        <f>_xlfn.XLOOKUP(B200,'[7]september-2025'!$A:$A,'[7]september-2025'!$J:$J,0,0)</f>
        <v>0</v>
      </c>
      <c r="EH200">
        <f>_xlfn.XLOOKUP(B200,'[8]october-2025'!$A:$A,'[8]october-2025'!$J:$J,0,0)</f>
        <v>0</v>
      </c>
      <c r="EI200">
        <f>_xlfn.XLOOKUP(C200,'[9]november-2025'!$A:$A,'[9]november-2025'!$J:$J,0,0)</f>
        <v>0</v>
      </c>
      <c r="EJ200">
        <f>_xlfn.XLOOKUP(B200,'[10]december-2025'!$A:$A,'[10]december-2025'!$J:$J,0,0)</f>
        <v>0</v>
      </c>
      <c r="EK200">
        <f>_xlfn.XLOOKUP(B200,'[11]january-2026'!$A:$A,'[11]january-2026'!$J:$J,0,0)</f>
        <v>0</v>
      </c>
      <c r="EL200">
        <f>_xlfn.XLOOKUP(B200,'[12]february-2026'!$A:$A,'[12]february-2026'!$J:$J,0,0)</f>
        <v>0</v>
      </c>
      <c r="EM200">
        <f t="shared" si="519"/>
        <v>0</v>
      </c>
      <c r="EN200">
        <f t="shared" si="509"/>
        <v>610852</v>
      </c>
      <c r="EO200">
        <f t="shared" si="510"/>
        <v>0</v>
      </c>
      <c r="EP200">
        <f t="shared" si="566"/>
        <v>50000</v>
      </c>
      <c r="EQ200">
        <v>0</v>
      </c>
      <c r="ER200">
        <f t="shared" si="520"/>
        <v>560852</v>
      </c>
      <c r="ES200">
        <f t="shared" si="511"/>
        <v>60000</v>
      </c>
      <c r="ET200">
        <f t="shared" si="512"/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si="567"/>
        <v>60000</v>
      </c>
      <c r="FF200">
        <f t="shared" si="568"/>
        <v>60000</v>
      </c>
      <c r="FG200">
        <f t="shared" si="569"/>
        <v>500852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si="513"/>
        <v>50000</v>
      </c>
      <c r="FP200">
        <f t="shared" si="570"/>
        <v>450852</v>
      </c>
      <c r="FQ200">
        <f t="shared" si="571"/>
        <v>10043</v>
      </c>
      <c r="FR200">
        <f t="shared" si="572"/>
        <v>0</v>
      </c>
      <c r="FS200">
        <f t="shared" si="573"/>
        <v>10043</v>
      </c>
      <c r="FT200">
        <f t="shared" si="574"/>
        <v>0</v>
      </c>
      <c r="FU200">
        <f t="shared" si="575"/>
        <v>0</v>
      </c>
      <c r="FV200">
        <f t="shared" si="576"/>
        <v>0</v>
      </c>
      <c r="FW200">
        <v>0</v>
      </c>
      <c r="FX200">
        <f t="shared" si="577"/>
        <v>0</v>
      </c>
      <c r="FY200" t="b">
        <f t="shared" si="578"/>
        <v>1</v>
      </c>
      <c r="FZ200">
        <f t="shared" ca="1" si="579"/>
        <v>650</v>
      </c>
      <c r="GA200">
        <f t="shared" ca="1" si="580"/>
        <v>611502</v>
      </c>
      <c r="GB200">
        <f t="shared" si="581"/>
        <v>75000</v>
      </c>
      <c r="GC200">
        <f t="shared" ca="1" si="582"/>
        <v>536502</v>
      </c>
      <c r="GD200">
        <f t="shared" ca="1" si="583"/>
        <v>0</v>
      </c>
      <c r="GE200">
        <f t="shared" ca="1" si="584"/>
        <v>0</v>
      </c>
      <c r="GF200">
        <f t="shared" ca="1" si="585"/>
        <v>0</v>
      </c>
      <c r="GG200">
        <f t="shared" ca="1" si="586"/>
        <v>0</v>
      </c>
      <c r="GH200">
        <f t="shared" ca="1" si="587"/>
        <v>0</v>
      </c>
      <c r="GI200">
        <f t="shared" ca="1" si="588"/>
        <v>0</v>
      </c>
      <c r="GJ200">
        <f t="shared" ca="1" si="514"/>
        <v>0</v>
      </c>
      <c r="GK200">
        <f t="shared" ca="1" si="589"/>
        <v>0</v>
      </c>
      <c r="GL200">
        <f t="shared" ca="1" si="590"/>
        <v>0</v>
      </c>
      <c r="GM200">
        <f t="shared" ca="1" si="591"/>
        <v>0</v>
      </c>
      <c r="GN200">
        <f t="shared" ca="1" si="592"/>
        <v>136502</v>
      </c>
      <c r="GO200">
        <f t="shared" ca="1" si="593"/>
        <v>6825.1</v>
      </c>
      <c r="GP200">
        <f t="shared" ca="1" si="594"/>
        <v>6825</v>
      </c>
      <c r="GQ200">
        <f t="shared" ca="1" si="595"/>
        <v>0</v>
      </c>
      <c r="GR200">
        <f t="shared" ca="1" si="596"/>
        <v>0</v>
      </c>
      <c r="GS200">
        <f t="shared" ca="1" si="597"/>
        <v>6825</v>
      </c>
      <c r="GT200">
        <f t="shared" ca="1" si="598"/>
        <v>0</v>
      </c>
      <c r="GU200" t="b">
        <f t="shared" ca="1" si="599"/>
        <v>0</v>
      </c>
      <c r="GV200">
        <f t="shared" ca="1" si="600"/>
        <v>0</v>
      </c>
      <c r="GW200">
        <f t="shared" ca="1" si="601"/>
        <v>6825</v>
      </c>
      <c r="GX200">
        <f t="shared" ca="1" si="602"/>
        <v>0</v>
      </c>
      <c r="GY200">
        <f t="shared" ca="1" si="603"/>
        <v>0</v>
      </c>
      <c r="GZ200">
        <f t="shared" ca="1" si="604"/>
        <v>0</v>
      </c>
    </row>
    <row r="201" spans="1:208" x14ac:dyDescent="0.3">
      <c r="A201">
        <f>_xlfn.AGGREGATE(3,5,$B$2:B201)</f>
        <v>200</v>
      </c>
      <c r="B201" t="s">
        <v>507</v>
      </c>
      <c r="C201" t="s">
        <v>508</v>
      </c>
      <c r="D201" t="s">
        <v>799</v>
      </c>
      <c r="E201" t="s">
        <v>830</v>
      </c>
      <c r="F201" t="s">
        <v>956</v>
      </c>
      <c r="G201" t="s">
        <v>937</v>
      </c>
      <c r="H201">
        <f t="shared" si="606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521"/>
        <v>4046.0000000000005</v>
      </c>
      <c r="L201">
        <f t="shared" si="522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499"/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605"/>
        <v>150</v>
      </c>
      <c r="S201">
        <f t="shared" si="515"/>
        <v>34764</v>
      </c>
      <c r="T201">
        <f>_xlfn.XLOOKUP(B201,'[2]april-2025'!$A:$A,'[2]april-2025'!$C:$C,0,0)</f>
        <v>28900</v>
      </c>
      <c r="U201">
        <f t="shared" si="523"/>
        <v>5202</v>
      </c>
      <c r="V201">
        <f t="shared" si="524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516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525"/>
        <v>150</v>
      </c>
      <c r="AC201">
        <f t="shared" si="526"/>
        <v>35920</v>
      </c>
      <c r="AD201">
        <f>_xlfn.XLOOKUP(B201,'[3]may-2025'!$A:$A,'[3]may-2025'!$C:$C,0,0)</f>
        <v>28900</v>
      </c>
      <c r="AE201">
        <f t="shared" si="527"/>
        <v>5202</v>
      </c>
      <c r="AF201">
        <f t="shared" si="528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517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529"/>
        <v>150</v>
      </c>
      <c r="AM201">
        <f t="shared" si="530"/>
        <v>35920</v>
      </c>
      <c r="AN201">
        <f>_xlfn.XLOOKUP(B201,'[4]june-2025'!$A:$A,'[4]june-2025'!$C:$C,0,0)</f>
        <v>28900</v>
      </c>
      <c r="AO201">
        <f t="shared" si="531"/>
        <v>5202</v>
      </c>
      <c r="AP201">
        <f t="shared" si="532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518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533"/>
        <v>150</v>
      </c>
      <c r="AW201">
        <f t="shared" si="534"/>
        <v>35920</v>
      </c>
      <c r="AX201">
        <f>_xlfn.XLOOKUP(B201,'[5]july-2025'!$A:$A,'[5]july-2025'!$C:$C,0,0)</f>
        <v>29800</v>
      </c>
      <c r="AY201">
        <f t="shared" si="535"/>
        <v>5364</v>
      </c>
      <c r="AZ201">
        <v>0</v>
      </c>
      <c r="BA201">
        <f t="shared" si="536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500"/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537"/>
        <v>150</v>
      </c>
      <c r="BH201">
        <f t="shared" si="538"/>
        <v>37090</v>
      </c>
      <c r="BI201">
        <f>_xlfn.XLOOKUP(B201,'[6]august-2025'!$A:$A,'[6]august-2025'!$C:$C,0,0)</f>
        <v>29800</v>
      </c>
      <c r="BJ201">
        <f t="shared" si="539"/>
        <v>5364</v>
      </c>
      <c r="BK201">
        <f t="shared" si="540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541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501"/>
        <v>150</v>
      </c>
      <c r="BR201">
        <f t="shared" si="502"/>
        <v>37090</v>
      </c>
      <c r="BS201">
        <f>_xlfn.XLOOKUP(B201,'[7]september-2025'!$A:$A,'[7]september-2025'!$C:$C,0,0)</f>
        <v>29800</v>
      </c>
      <c r="BT201">
        <f t="shared" si="542"/>
        <v>5364</v>
      </c>
      <c r="BU201">
        <f t="shared" si="543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503"/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544"/>
        <v>150</v>
      </c>
      <c r="CB201">
        <f t="shared" si="545"/>
        <v>37090</v>
      </c>
      <c r="CC201">
        <f>_xlfn.XLOOKUP(B201,'[8]october-2025'!$A:$A,'[8]october-2025'!$C:$C,0,0)</f>
        <v>29800</v>
      </c>
      <c r="CD201">
        <f t="shared" si="546"/>
        <v>5364</v>
      </c>
      <c r="CE201">
        <f t="shared" si="547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504"/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548"/>
        <v>150</v>
      </c>
      <c r="CL201">
        <f t="shared" si="549"/>
        <v>37090</v>
      </c>
      <c r="CM201">
        <f>_xlfn.XLOOKUP(B201,'[9]november-2025'!$A:$A,'[9]november-2025'!$C:$C,0,0)</f>
        <v>29800</v>
      </c>
      <c r="CN201">
        <f t="shared" si="550"/>
        <v>5364</v>
      </c>
      <c r="CO201">
        <f t="shared" si="551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505"/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552"/>
        <v>150</v>
      </c>
      <c r="CV201">
        <f t="shared" si="553"/>
        <v>37090</v>
      </c>
      <c r="CW201">
        <f>_xlfn.XLOOKUP(B201,'[10]december-2025'!$A:$A,'[10]december-2025'!$C:$C,0,0)</f>
        <v>29800</v>
      </c>
      <c r="CX201">
        <f t="shared" si="554"/>
        <v>5364</v>
      </c>
      <c r="CY201">
        <f t="shared" si="555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506"/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556"/>
        <v>150</v>
      </c>
      <c r="DF201">
        <f t="shared" si="557"/>
        <v>37090</v>
      </c>
      <c r="DG201">
        <f>_xlfn.XLOOKUP(B201,'[11]january-2026'!$A:$A,'[11]january-2026'!$C:$C,0,0)</f>
        <v>29800</v>
      </c>
      <c r="DH201">
        <f t="shared" si="558"/>
        <v>5364</v>
      </c>
      <c r="DI201">
        <f t="shared" si="559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07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60"/>
        <v>150</v>
      </c>
      <c r="DP201">
        <f t="shared" si="561"/>
        <v>37090</v>
      </c>
      <c r="DQ201">
        <f>_xlfn.XLOOKUP(B201,'[12]february-2026'!$A:$A,'[12]february-2026'!$C:$C,0,0)</f>
        <v>29800</v>
      </c>
      <c r="DR201">
        <f t="shared" si="562"/>
        <v>5364</v>
      </c>
      <c r="DS201">
        <f t="shared" si="563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08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64"/>
        <v>150</v>
      </c>
      <c r="DZ201">
        <f t="shared" si="565"/>
        <v>37090</v>
      </c>
      <c r="EA201">
        <f>_xlfn.XLOOKUP(B201,'[1]march-2025'!$A:$A,'[1]march-2025'!$J:$J,0,0)</f>
        <v>0</v>
      </c>
      <c r="EB201">
        <f>_xlfn.XLOOKUP(B201,'[2]april-2025'!$A:$A,'[2]april-2025'!$J:$J,0,0)</f>
        <v>0</v>
      </c>
      <c r="EC201">
        <f>_xlfn.XLOOKUP(B201,'[3]may-2025'!$A:$A,'[3]may-2025'!$J:$J,0,0)</f>
        <v>51784</v>
      </c>
      <c r="ED201">
        <f>_xlfn.XLOOKUP(B201,'[4]june-2025'!$A:$A,'[4]june-2025'!$J:$J,0,0)</f>
        <v>0</v>
      </c>
      <c r="EE201">
        <f>_xlfn.XLOOKUP(B201,'[5]july-2025'!$A:$A,'[5]july-2025'!$J:$J,0,0)</f>
        <v>0</v>
      </c>
      <c r="EF201">
        <f>_xlfn.XLOOKUP(B201,'[6]august-2025'!$A:$A,'[6]august-2025'!$J:$J,0,0)</f>
        <v>0</v>
      </c>
      <c r="EG201">
        <f>_xlfn.XLOOKUP(B201,'[7]september-2025'!$A:$A,'[7]september-2025'!$J:$J,0,0)</f>
        <v>0</v>
      </c>
      <c r="EH201">
        <f>_xlfn.XLOOKUP(B201,'[8]october-2025'!$A:$A,'[8]october-2025'!$J:$J,0,0)</f>
        <v>0</v>
      </c>
      <c r="EI201">
        <f>_xlfn.XLOOKUP(C201,'[9]november-2025'!$A:$A,'[9]november-2025'!$J:$J,0,0)</f>
        <v>0</v>
      </c>
      <c r="EJ201">
        <f>_xlfn.XLOOKUP(B201,'[10]december-2025'!$A:$A,'[10]december-2025'!$J:$J,0,0)</f>
        <v>0</v>
      </c>
      <c r="EK201">
        <f>_xlfn.XLOOKUP(B201,'[11]january-2026'!$A:$A,'[11]january-2026'!$J:$J,0,0)</f>
        <v>0</v>
      </c>
      <c r="EL201">
        <f>_xlfn.XLOOKUP(B201,'[12]february-2026'!$A:$A,'[12]february-2026'!$J:$J,0,0)</f>
        <v>0</v>
      </c>
      <c r="EM201">
        <f t="shared" si="519"/>
        <v>51784</v>
      </c>
      <c r="EN201">
        <f t="shared" si="509"/>
        <v>471844</v>
      </c>
      <c r="EO201">
        <f t="shared" si="510"/>
        <v>1800</v>
      </c>
      <c r="EP201">
        <f t="shared" si="566"/>
        <v>50000</v>
      </c>
      <c r="EQ201">
        <v>0</v>
      </c>
      <c r="ER201">
        <f t="shared" si="520"/>
        <v>471828</v>
      </c>
      <c r="ES201">
        <f t="shared" si="511"/>
        <v>24000</v>
      </c>
      <c r="ET201">
        <f t="shared" si="512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567"/>
        <v>24000</v>
      </c>
      <c r="FF201">
        <f t="shared" si="568"/>
        <v>24000</v>
      </c>
      <c r="FG201">
        <f t="shared" si="569"/>
        <v>447828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513"/>
        <v>0</v>
      </c>
      <c r="FP201">
        <f t="shared" si="570"/>
        <v>447828</v>
      </c>
      <c r="FQ201">
        <f t="shared" si="571"/>
        <v>9891</v>
      </c>
      <c r="FR201">
        <f t="shared" si="572"/>
        <v>0</v>
      </c>
      <c r="FS201">
        <f t="shared" si="573"/>
        <v>9891</v>
      </c>
      <c r="FT201">
        <f t="shared" si="574"/>
        <v>0</v>
      </c>
      <c r="FU201">
        <f t="shared" si="575"/>
        <v>0</v>
      </c>
      <c r="FV201">
        <f t="shared" si="576"/>
        <v>0</v>
      </c>
      <c r="FW201">
        <v>0</v>
      </c>
      <c r="FX201">
        <f t="shared" si="577"/>
        <v>0</v>
      </c>
      <c r="FY201" t="b">
        <f t="shared" si="578"/>
        <v>0</v>
      </c>
      <c r="FZ201">
        <f t="shared" ca="1" si="579"/>
        <v>2124</v>
      </c>
      <c r="GA201">
        <f t="shared" ca="1" si="580"/>
        <v>473968</v>
      </c>
      <c r="GB201">
        <f t="shared" si="581"/>
        <v>75000</v>
      </c>
      <c r="GC201">
        <f t="shared" ca="1" si="582"/>
        <v>398968</v>
      </c>
      <c r="GD201">
        <f t="shared" ca="1" si="583"/>
        <v>0</v>
      </c>
      <c r="GE201">
        <f t="shared" ca="1" si="584"/>
        <v>0</v>
      </c>
      <c r="GF201">
        <f t="shared" ca="1" si="585"/>
        <v>0</v>
      </c>
      <c r="GG201">
        <f t="shared" ca="1" si="586"/>
        <v>0</v>
      </c>
      <c r="GH201">
        <f t="shared" ca="1" si="587"/>
        <v>0</v>
      </c>
      <c r="GI201">
        <f t="shared" ca="1" si="588"/>
        <v>0</v>
      </c>
      <c r="GJ201">
        <f t="shared" ca="1" si="514"/>
        <v>0</v>
      </c>
      <c r="GK201">
        <f t="shared" ca="1" si="589"/>
        <v>0</v>
      </c>
      <c r="GL201">
        <f t="shared" ca="1" si="590"/>
        <v>0</v>
      </c>
      <c r="GM201">
        <f t="shared" ca="1" si="591"/>
        <v>0</v>
      </c>
      <c r="GN201">
        <f t="shared" ca="1" si="592"/>
        <v>0</v>
      </c>
      <c r="GO201">
        <f t="shared" ca="1" si="593"/>
        <v>0</v>
      </c>
      <c r="GP201">
        <f t="shared" ca="1" si="594"/>
        <v>0</v>
      </c>
      <c r="GQ201">
        <f t="shared" ca="1" si="595"/>
        <v>0</v>
      </c>
      <c r="GR201">
        <f t="shared" ca="1" si="596"/>
        <v>0</v>
      </c>
      <c r="GS201">
        <f t="shared" ca="1" si="597"/>
        <v>0</v>
      </c>
      <c r="GT201">
        <f t="shared" ca="1" si="598"/>
        <v>0</v>
      </c>
      <c r="GU201" t="b">
        <f t="shared" ca="1" si="599"/>
        <v>0</v>
      </c>
      <c r="GV201">
        <f t="shared" ca="1" si="600"/>
        <v>0</v>
      </c>
      <c r="GW201">
        <f t="shared" ca="1" si="601"/>
        <v>0</v>
      </c>
      <c r="GX201">
        <f t="shared" ca="1" si="602"/>
        <v>0</v>
      </c>
      <c r="GY201">
        <f t="shared" ca="1" si="603"/>
        <v>0</v>
      </c>
      <c r="GZ201">
        <f t="shared" ca="1" si="604"/>
        <v>0</v>
      </c>
    </row>
    <row r="202" spans="1:208" x14ac:dyDescent="0.3">
      <c r="A202">
        <f>_xlfn.AGGREGATE(3,5,$B$2:B202)</f>
        <v>201</v>
      </c>
      <c r="B202" t="s">
        <v>509</v>
      </c>
      <c r="C202" t="s">
        <v>510</v>
      </c>
      <c r="D202" t="s">
        <v>800</v>
      </c>
      <c r="E202" t="s">
        <v>830</v>
      </c>
      <c r="F202" t="s">
        <v>956</v>
      </c>
      <c r="G202" t="s">
        <v>932</v>
      </c>
      <c r="H202">
        <f t="shared" si="606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521"/>
        <v>4690</v>
      </c>
      <c r="L202">
        <f t="shared" si="522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 t="shared" si="499"/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605"/>
        <v>200</v>
      </c>
      <c r="S202">
        <f t="shared" si="515"/>
        <v>39910</v>
      </c>
      <c r="T202">
        <f>_xlfn.XLOOKUP(B202,'[2]april-2025'!$A:$A,'[2]april-2025'!$C:$C,0,0)</f>
        <v>33500</v>
      </c>
      <c r="U202">
        <f t="shared" si="523"/>
        <v>6030</v>
      </c>
      <c r="V202">
        <f t="shared" si="524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516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525"/>
        <v>200</v>
      </c>
      <c r="AC202">
        <f t="shared" si="526"/>
        <v>41250</v>
      </c>
      <c r="AD202">
        <f>_xlfn.XLOOKUP(B202,'[3]may-2025'!$A:$A,'[3]may-2025'!$C:$C,0,0)</f>
        <v>33500</v>
      </c>
      <c r="AE202">
        <f t="shared" si="527"/>
        <v>6030</v>
      </c>
      <c r="AF202">
        <f t="shared" si="528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517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529"/>
        <v>200</v>
      </c>
      <c r="AM202">
        <f t="shared" si="530"/>
        <v>41250</v>
      </c>
      <c r="AN202">
        <f>_xlfn.XLOOKUP(B202,'[4]june-2025'!$A:$A,'[4]june-2025'!$C:$C,0,0)</f>
        <v>33500</v>
      </c>
      <c r="AO202">
        <f t="shared" si="531"/>
        <v>6030</v>
      </c>
      <c r="AP202">
        <f t="shared" si="532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518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533"/>
        <v>200</v>
      </c>
      <c r="AW202">
        <f t="shared" si="534"/>
        <v>41250</v>
      </c>
      <c r="AX202">
        <f>_xlfn.XLOOKUP(B202,'[5]july-2025'!$A:$A,'[5]july-2025'!$C:$C,0,0)</f>
        <v>34500</v>
      </c>
      <c r="AY202">
        <f t="shared" si="535"/>
        <v>6210</v>
      </c>
      <c r="AZ202">
        <v>0</v>
      </c>
      <c r="BA202">
        <f t="shared" si="536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 t="shared" si="500"/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537"/>
        <v>200</v>
      </c>
      <c r="BH202">
        <f t="shared" si="538"/>
        <v>42550</v>
      </c>
      <c r="BI202">
        <f>_xlfn.XLOOKUP(B202,'[6]august-2025'!$A:$A,'[6]august-2025'!$C:$C,0,0)</f>
        <v>34500</v>
      </c>
      <c r="BJ202">
        <f t="shared" si="539"/>
        <v>6210</v>
      </c>
      <c r="BK202">
        <f t="shared" si="540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541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 t="shared" si="501"/>
        <v>200</v>
      </c>
      <c r="BR202">
        <f t="shared" si="502"/>
        <v>42550</v>
      </c>
      <c r="BS202">
        <f>_xlfn.XLOOKUP(B202,'[7]september-2025'!$A:$A,'[7]september-2025'!$C:$C,0,0)</f>
        <v>34500</v>
      </c>
      <c r="BT202">
        <f t="shared" si="542"/>
        <v>6210</v>
      </c>
      <c r="BU202">
        <f t="shared" si="543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 t="shared" si="503"/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544"/>
        <v>200</v>
      </c>
      <c r="CB202">
        <f t="shared" si="545"/>
        <v>42550</v>
      </c>
      <c r="CC202">
        <f>_xlfn.XLOOKUP(B202,'[8]october-2025'!$A:$A,'[8]october-2025'!$C:$C,0,0)</f>
        <v>34500</v>
      </c>
      <c r="CD202">
        <f t="shared" si="546"/>
        <v>6210</v>
      </c>
      <c r="CE202">
        <f t="shared" si="547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 t="shared" si="504"/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548"/>
        <v>200</v>
      </c>
      <c r="CL202">
        <f t="shared" si="549"/>
        <v>42550</v>
      </c>
      <c r="CM202">
        <f>_xlfn.XLOOKUP(B202,'[9]november-2025'!$A:$A,'[9]november-2025'!$C:$C,0,0)</f>
        <v>34500</v>
      </c>
      <c r="CN202">
        <f t="shared" si="550"/>
        <v>6210</v>
      </c>
      <c r="CO202">
        <f t="shared" si="551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 t="shared" si="505"/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552"/>
        <v>200</v>
      </c>
      <c r="CV202">
        <f t="shared" si="553"/>
        <v>42550</v>
      </c>
      <c r="CW202">
        <f>_xlfn.XLOOKUP(B202,'[10]december-2025'!$A:$A,'[10]december-2025'!$C:$C,0,0)</f>
        <v>34500</v>
      </c>
      <c r="CX202">
        <f t="shared" si="554"/>
        <v>6210</v>
      </c>
      <c r="CY202">
        <f t="shared" si="555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 t="shared" si="506"/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556"/>
        <v>200</v>
      </c>
      <c r="DF202">
        <f t="shared" si="557"/>
        <v>42550</v>
      </c>
      <c r="DG202">
        <f>_xlfn.XLOOKUP(B202,'[11]january-2026'!$A:$A,'[11]january-2026'!$C:$C,0,0)</f>
        <v>34500</v>
      </c>
      <c r="DH202">
        <f t="shared" si="558"/>
        <v>6210</v>
      </c>
      <c r="DI202">
        <f t="shared" si="559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07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60"/>
        <v>200</v>
      </c>
      <c r="DP202">
        <f t="shared" si="561"/>
        <v>42550</v>
      </c>
      <c r="DQ202">
        <f>_xlfn.XLOOKUP(B202,'[12]february-2026'!$A:$A,'[12]february-2026'!$C:$C,0,0)</f>
        <v>34500</v>
      </c>
      <c r="DR202">
        <f t="shared" si="562"/>
        <v>6210</v>
      </c>
      <c r="DS202">
        <f t="shared" si="563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08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64"/>
        <v>200</v>
      </c>
      <c r="DZ202">
        <f t="shared" si="565"/>
        <v>42550</v>
      </c>
      <c r="EA202">
        <f>_xlfn.XLOOKUP(B202,'[1]march-2025'!$A:$A,'[1]march-2025'!$J:$J,0,0)</f>
        <v>0</v>
      </c>
      <c r="EB202">
        <f>_xlfn.XLOOKUP(B202,'[2]april-2025'!$A:$A,'[2]april-2025'!$J:$J,0,0)</f>
        <v>0</v>
      </c>
      <c r="EC202">
        <f>_xlfn.XLOOKUP(B202,'[3]may-2025'!$A:$A,'[3]may-2025'!$J:$J,0,0)</f>
        <v>0</v>
      </c>
      <c r="ED202">
        <f>_xlfn.XLOOKUP(B202,'[4]june-2025'!$A:$A,'[4]june-2025'!$J:$J,0,0)</f>
        <v>0</v>
      </c>
      <c r="EE202">
        <f>_xlfn.XLOOKUP(B202,'[5]july-2025'!$A:$A,'[5]july-2025'!$J:$J,0,0)</f>
        <v>0</v>
      </c>
      <c r="EF202">
        <f>_xlfn.XLOOKUP(B202,'[6]august-2025'!$A:$A,'[6]august-2025'!$J:$J,0,0)</f>
        <v>0</v>
      </c>
      <c r="EG202">
        <f>_xlfn.XLOOKUP(B202,'[7]september-2025'!$A:$A,'[7]september-2025'!$J:$J,0,0)</f>
        <v>0</v>
      </c>
      <c r="EH202">
        <f>_xlfn.XLOOKUP(B202,'[8]october-2025'!$A:$A,'[8]october-2025'!$J:$J,0,0)</f>
        <v>0</v>
      </c>
      <c r="EI202">
        <f>_xlfn.XLOOKUP(C202,'[9]november-2025'!$A:$A,'[9]november-2025'!$J:$J,0,0)</f>
        <v>0</v>
      </c>
      <c r="EJ202">
        <f>_xlfn.XLOOKUP(B202,'[10]december-2025'!$A:$A,'[10]december-2025'!$J:$J,0,0)</f>
        <v>0</v>
      </c>
      <c r="EK202">
        <f>_xlfn.XLOOKUP(B202,'[11]january-2026'!$A:$A,'[11]january-2026'!$J:$J,0,0)</f>
        <v>0</v>
      </c>
      <c r="EL202">
        <f>_xlfn.XLOOKUP(B202,'[12]february-2026'!$A:$A,'[12]february-2026'!$J:$J,0,0)</f>
        <v>0</v>
      </c>
      <c r="EM202">
        <f t="shared" si="519"/>
        <v>0</v>
      </c>
      <c r="EN202">
        <f t="shared" si="509"/>
        <v>549260</v>
      </c>
      <c r="EO202">
        <f t="shared" si="510"/>
        <v>2400</v>
      </c>
      <c r="EP202">
        <f t="shared" si="566"/>
        <v>50000</v>
      </c>
      <c r="EQ202">
        <v>0</v>
      </c>
      <c r="ER202">
        <f t="shared" si="520"/>
        <v>496860</v>
      </c>
      <c r="ES202">
        <f t="shared" si="511"/>
        <v>36000</v>
      </c>
      <c r="ET202">
        <f t="shared" si="512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567"/>
        <v>36000</v>
      </c>
      <c r="FF202">
        <f t="shared" si="568"/>
        <v>36000</v>
      </c>
      <c r="FG202">
        <f t="shared" si="569"/>
        <v>460860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513"/>
        <v>0</v>
      </c>
      <c r="FP202">
        <f t="shared" si="570"/>
        <v>460860</v>
      </c>
      <c r="FQ202">
        <f t="shared" si="571"/>
        <v>10543</v>
      </c>
      <c r="FR202">
        <f t="shared" si="572"/>
        <v>0</v>
      </c>
      <c r="FS202">
        <f t="shared" si="573"/>
        <v>10543</v>
      </c>
      <c r="FT202">
        <f t="shared" si="574"/>
        <v>0</v>
      </c>
      <c r="FU202">
        <f t="shared" si="575"/>
        <v>0</v>
      </c>
      <c r="FV202">
        <f t="shared" si="576"/>
        <v>0</v>
      </c>
      <c r="FW202">
        <v>0</v>
      </c>
      <c r="FX202">
        <f t="shared" si="577"/>
        <v>0</v>
      </c>
      <c r="FY202" t="b">
        <f t="shared" si="578"/>
        <v>1</v>
      </c>
      <c r="FZ202">
        <f t="shared" ca="1" si="579"/>
        <v>508</v>
      </c>
      <c r="GA202">
        <f t="shared" ca="1" si="580"/>
        <v>549768</v>
      </c>
      <c r="GB202">
        <f t="shared" si="581"/>
        <v>75000</v>
      </c>
      <c r="GC202">
        <f t="shared" ca="1" si="582"/>
        <v>474768</v>
      </c>
      <c r="GD202">
        <f t="shared" ca="1" si="583"/>
        <v>0</v>
      </c>
      <c r="GE202">
        <f t="shared" ca="1" si="584"/>
        <v>0</v>
      </c>
      <c r="GF202">
        <f t="shared" ca="1" si="585"/>
        <v>0</v>
      </c>
      <c r="GG202">
        <f t="shared" ca="1" si="586"/>
        <v>0</v>
      </c>
      <c r="GH202">
        <f t="shared" ca="1" si="587"/>
        <v>0</v>
      </c>
      <c r="GI202">
        <f t="shared" ca="1" si="588"/>
        <v>0</v>
      </c>
      <c r="GJ202">
        <f t="shared" ca="1" si="514"/>
        <v>0</v>
      </c>
      <c r="GK202">
        <f t="shared" ca="1" si="589"/>
        <v>0</v>
      </c>
      <c r="GL202">
        <f t="shared" ca="1" si="590"/>
        <v>0</v>
      </c>
      <c r="GM202">
        <f t="shared" ca="1" si="591"/>
        <v>0</v>
      </c>
      <c r="GN202">
        <f t="shared" ca="1" si="592"/>
        <v>74768</v>
      </c>
      <c r="GO202">
        <f t="shared" ca="1" si="593"/>
        <v>3738.4</v>
      </c>
      <c r="GP202">
        <f t="shared" ca="1" si="594"/>
        <v>3738</v>
      </c>
      <c r="GQ202">
        <f t="shared" ca="1" si="595"/>
        <v>0</v>
      </c>
      <c r="GR202">
        <f t="shared" ca="1" si="596"/>
        <v>0</v>
      </c>
      <c r="GS202">
        <f t="shared" ca="1" si="597"/>
        <v>3738</v>
      </c>
      <c r="GT202">
        <f t="shared" ca="1" si="598"/>
        <v>0</v>
      </c>
      <c r="GU202" t="b">
        <f t="shared" ca="1" si="599"/>
        <v>0</v>
      </c>
      <c r="GV202">
        <f t="shared" ca="1" si="600"/>
        <v>0</v>
      </c>
      <c r="GW202">
        <f t="shared" ca="1" si="601"/>
        <v>3738</v>
      </c>
      <c r="GX202">
        <f t="shared" ca="1" si="602"/>
        <v>0</v>
      </c>
      <c r="GY202">
        <f t="shared" ca="1" si="603"/>
        <v>0</v>
      </c>
      <c r="GZ202">
        <f t="shared" ca="1" si="604"/>
        <v>0</v>
      </c>
    </row>
    <row r="203" spans="1:208" x14ac:dyDescent="0.3">
      <c r="A203">
        <f>_xlfn.AGGREGATE(3,5,$B$2:B203)</f>
        <v>202</v>
      </c>
      <c r="B203" t="s">
        <v>511</v>
      </c>
      <c r="C203" t="s">
        <v>512</v>
      </c>
      <c r="D203" t="s">
        <v>800</v>
      </c>
      <c r="E203" t="s">
        <v>830</v>
      </c>
      <c r="F203" t="s">
        <v>956</v>
      </c>
      <c r="G203" t="s">
        <v>878</v>
      </c>
      <c r="H203">
        <f t="shared" si="606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521"/>
        <v>3780.0000000000005</v>
      </c>
      <c r="L203">
        <f t="shared" si="522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 t="shared" si="499"/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605"/>
        <v>150</v>
      </c>
      <c r="S203">
        <f t="shared" si="515"/>
        <v>32370</v>
      </c>
      <c r="T203">
        <f>_xlfn.XLOOKUP(B203,'[2]april-2025'!$A:$A,'[2]april-2025'!$C:$C,0,0)</f>
        <v>27000</v>
      </c>
      <c r="U203">
        <f t="shared" si="523"/>
        <v>4860</v>
      </c>
      <c r="V203">
        <f t="shared" si="524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516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525"/>
        <v>150</v>
      </c>
      <c r="AC203">
        <f t="shared" si="526"/>
        <v>33450</v>
      </c>
      <c r="AD203">
        <f>_xlfn.XLOOKUP(B203,'[3]may-2025'!$A:$A,'[3]may-2025'!$C:$C,0,0)</f>
        <v>31600</v>
      </c>
      <c r="AE203">
        <f t="shared" si="527"/>
        <v>5688</v>
      </c>
      <c r="AF203">
        <f t="shared" si="528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517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529"/>
        <v>200</v>
      </c>
      <c r="AM203">
        <f t="shared" si="530"/>
        <v>39380</v>
      </c>
      <c r="AN203">
        <f>_xlfn.XLOOKUP(B203,'[4]june-2025'!$A:$A,'[4]june-2025'!$C:$C,0,0)</f>
        <v>31600</v>
      </c>
      <c r="AO203">
        <f t="shared" si="531"/>
        <v>5688</v>
      </c>
      <c r="AP203">
        <f t="shared" si="532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518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533"/>
        <v>200</v>
      </c>
      <c r="AW203">
        <f t="shared" si="534"/>
        <v>39380</v>
      </c>
      <c r="AX203">
        <f>_xlfn.XLOOKUP(B203,'[5]july-2025'!$A:$A,'[5]july-2025'!$C:$C,0,0)</f>
        <v>32500</v>
      </c>
      <c r="AY203">
        <f t="shared" si="535"/>
        <v>5850</v>
      </c>
      <c r="AZ203">
        <v>0</v>
      </c>
      <c r="BA203">
        <f t="shared" si="536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 t="shared" si="500"/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537"/>
        <v>200</v>
      </c>
      <c r="BH203">
        <f t="shared" si="538"/>
        <v>40550</v>
      </c>
      <c r="BI203">
        <f>_xlfn.XLOOKUP(B203,'[6]august-2025'!$A:$A,'[6]august-2025'!$C:$C,0,0)</f>
        <v>32500</v>
      </c>
      <c r="BJ203">
        <f t="shared" si="539"/>
        <v>5850</v>
      </c>
      <c r="BK203">
        <f t="shared" si="540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541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 t="shared" si="501"/>
        <v>200</v>
      </c>
      <c r="BR203">
        <f t="shared" si="502"/>
        <v>40550</v>
      </c>
      <c r="BS203">
        <f>_xlfn.XLOOKUP(B203,'[7]september-2025'!$A:$A,'[7]september-2025'!$C:$C,0,0)</f>
        <v>32500</v>
      </c>
      <c r="BT203">
        <f t="shared" si="542"/>
        <v>5850</v>
      </c>
      <c r="BU203">
        <f t="shared" si="543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 t="shared" si="503"/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544"/>
        <v>200</v>
      </c>
      <c r="CB203">
        <f t="shared" si="545"/>
        <v>40550</v>
      </c>
      <c r="CC203">
        <f>_xlfn.XLOOKUP(B203,'[8]october-2025'!$A:$A,'[8]october-2025'!$C:$C,0,0)</f>
        <v>32500</v>
      </c>
      <c r="CD203">
        <f t="shared" si="546"/>
        <v>5850</v>
      </c>
      <c r="CE203">
        <f t="shared" si="547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 t="shared" si="504"/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548"/>
        <v>200</v>
      </c>
      <c r="CL203">
        <f t="shared" si="549"/>
        <v>40550</v>
      </c>
      <c r="CM203">
        <f>_xlfn.XLOOKUP(B203,'[9]november-2025'!$A:$A,'[9]november-2025'!$C:$C,0,0)</f>
        <v>32500</v>
      </c>
      <c r="CN203">
        <f t="shared" si="550"/>
        <v>5850</v>
      </c>
      <c r="CO203">
        <f t="shared" si="551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 t="shared" si="505"/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552"/>
        <v>200</v>
      </c>
      <c r="CV203">
        <f t="shared" si="553"/>
        <v>40550</v>
      </c>
      <c r="CW203">
        <f>_xlfn.XLOOKUP(B203,'[10]december-2025'!$A:$A,'[10]december-2025'!$C:$C,0,0)</f>
        <v>32500</v>
      </c>
      <c r="CX203">
        <f t="shared" si="554"/>
        <v>5850</v>
      </c>
      <c r="CY203">
        <f t="shared" si="555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 t="shared" si="506"/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556"/>
        <v>200</v>
      </c>
      <c r="DF203">
        <f t="shared" si="557"/>
        <v>40550</v>
      </c>
      <c r="DG203">
        <f>_xlfn.XLOOKUP(B203,'[11]january-2026'!$A:$A,'[11]january-2026'!$C:$C,0,0)</f>
        <v>32500</v>
      </c>
      <c r="DH203">
        <f t="shared" si="558"/>
        <v>5850</v>
      </c>
      <c r="DI203">
        <f t="shared" si="559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07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60"/>
        <v>200</v>
      </c>
      <c r="DP203">
        <f t="shared" si="561"/>
        <v>40550</v>
      </c>
      <c r="DQ203">
        <f>_xlfn.XLOOKUP(B203,'[12]february-2026'!$A:$A,'[12]february-2026'!$C:$C,0,0)</f>
        <v>32500</v>
      </c>
      <c r="DR203">
        <f t="shared" si="562"/>
        <v>5850</v>
      </c>
      <c r="DS203">
        <f t="shared" si="563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08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64"/>
        <v>200</v>
      </c>
      <c r="DZ203">
        <f t="shared" si="565"/>
        <v>40550</v>
      </c>
      <c r="EA203">
        <f>_xlfn.XLOOKUP(B203,'[1]march-2025'!$A:$A,'[1]march-2025'!$J:$J,0,0)</f>
        <v>0</v>
      </c>
      <c r="EB203">
        <f>_xlfn.XLOOKUP(B203,'[2]april-2025'!$A:$A,'[2]april-2025'!$J:$J,0,0)</f>
        <v>0</v>
      </c>
      <c r="EC203">
        <f>_xlfn.XLOOKUP(B203,'[3]may-2025'!$A:$A,'[3]may-2025'!$J:$J,0,0)</f>
        <v>0</v>
      </c>
      <c r="ED203">
        <f>_xlfn.XLOOKUP(B203,'[4]june-2025'!$A:$A,'[4]june-2025'!$J:$J,0,0)</f>
        <v>0</v>
      </c>
      <c r="EE203">
        <f>_xlfn.XLOOKUP(B203,'[5]july-2025'!$A:$A,'[5]july-2025'!$J:$J,0,0)</f>
        <v>0</v>
      </c>
      <c r="EF203">
        <f>_xlfn.XLOOKUP(B203,'[6]august-2025'!$A:$A,'[6]august-2025'!$J:$J,0,0)</f>
        <v>0</v>
      </c>
      <c r="EG203">
        <f>_xlfn.XLOOKUP(B203,'[7]september-2025'!$A:$A,'[7]september-2025'!$J:$J,0,0)</f>
        <v>0</v>
      </c>
      <c r="EH203">
        <f>_xlfn.XLOOKUP(B203,'[8]october-2025'!$A:$A,'[8]october-2025'!$J:$J,0,0)</f>
        <v>0</v>
      </c>
      <c r="EI203">
        <f>_xlfn.XLOOKUP(C203,'[9]november-2025'!$A:$A,'[9]november-2025'!$J:$J,0,0)</f>
        <v>0</v>
      </c>
      <c r="EJ203">
        <f>_xlfn.XLOOKUP(B203,'[10]december-2025'!$A:$A,'[10]december-2025'!$J:$J,0,0)</f>
        <v>0</v>
      </c>
      <c r="EK203">
        <f>_xlfn.XLOOKUP(B203,'[11]january-2026'!$A:$A,'[11]january-2026'!$J:$J,0,0)</f>
        <v>0</v>
      </c>
      <c r="EL203">
        <f>_xlfn.XLOOKUP(B203,'[12]february-2026'!$A:$A,'[12]february-2026'!$J:$J,0,0)</f>
        <v>0</v>
      </c>
      <c r="EM203">
        <f t="shared" si="519"/>
        <v>0</v>
      </c>
      <c r="EN203">
        <f t="shared" si="509"/>
        <v>502080</v>
      </c>
      <c r="EO203">
        <f t="shared" si="510"/>
        <v>2300</v>
      </c>
      <c r="EP203">
        <f t="shared" si="566"/>
        <v>50000</v>
      </c>
      <c r="EQ203">
        <v>0</v>
      </c>
      <c r="ER203">
        <f t="shared" si="520"/>
        <v>449780</v>
      </c>
      <c r="ES203">
        <f t="shared" si="511"/>
        <v>24000</v>
      </c>
      <c r="ET203">
        <f t="shared" si="512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567"/>
        <v>24000</v>
      </c>
      <c r="FF203">
        <f t="shared" si="568"/>
        <v>24000</v>
      </c>
      <c r="FG203">
        <f t="shared" si="569"/>
        <v>425780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513"/>
        <v>0</v>
      </c>
      <c r="FP203">
        <f t="shared" si="570"/>
        <v>425780</v>
      </c>
      <c r="FQ203">
        <f t="shared" si="571"/>
        <v>8789</v>
      </c>
      <c r="FR203">
        <f t="shared" si="572"/>
        <v>0</v>
      </c>
      <c r="FS203">
        <f t="shared" si="573"/>
        <v>8789</v>
      </c>
      <c r="FT203">
        <f t="shared" si="574"/>
        <v>0</v>
      </c>
      <c r="FU203">
        <f t="shared" si="575"/>
        <v>0</v>
      </c>
      <c r="FV203">
        <f t="shared" si="576"/>
        <v>0</v>
      </c>
      <c r="FW203">
        <v>0</v>
      </c>
      <c r="FX203">
        <f t="shared" si="577"/>
        <v>0</v>
      </c>
      <c r="FY203" t="b">
        <f t="shared" si="578"/>
        <v>1</v>
      </c>
      <c r="FZ203">
        <f t="shared" ca="1" si="579"/>
        <v>866</v>
      </c>
      <c r="GA203">
        <f t="shared" ca="1" si="580"/>
        <v>502946</v>
      </c>
      <c r="GB203">
        <f t="shared" si="581"/>
        <v>75000</v>
      </c>
      <c r="GC203">
        <f t="shared" ca="1" si="582"/>
        <v>427946</v>
      </c>
      <c r="GD203">
        <f t="shared" ca="1" si="583"/>
        <v>0</v>
      </c>
      <c r="GE203">
        <f t="shared" ca="1" si="584"/>
        <v>0</v>
      </c>
      <c r="GF203">
        <f t="shared" ca="1" si="585"/>
        <v>0</v>
      </c>
      <c r="GG203">
        <f t="shared" ca="1" si="586"/>
        <v>0</v>
      </c>
      <c r="GH203">
        <f t="shared" ca="1" si="587"/>
        <v>0</v>
      </c>
      <c r="GI203">
        <f t="shared" ca="1" si="588"/>
        <v>0</v>
      </c>
      <c r="GJ203">
        <f t="shared" ca="1" si="514"/>
        <v>0</v>
      </c>
      <c r="GK203">
        <f t="shared" ca="1" si="589"/>
        <v>0</v>
      </c>
      <c r="GL203">
        <f t="shared" ca="1" si="590"/>
        <v>0</v>
      </c>
      <c r="GM203">
        <f t="shared" ca="1" si="591"/>
        <v>0</v>
      </c>
      <c r="GN203">
        <f t="shared" ca="1" si="592"/>
        <v>27946</v>
      </c>
      <c r="GO203">
        <f t="shared" ca="1" si="593"/>
        <v>1397.3000000000002</v>
      </c>
      <c r="GP203">
        <f t="shared" ca="1" si="594"/>
        <v>1397</v>
      </c>
      <c r="GQ203">
        <f t="shared" ca="1" si="595"/>
        <v>0</v>
      </c>
      <c r="GR203">
        <f t="shared" ca="1" si="596"/>
        <v>0</v>
      </c>
      <c r="GS203">
        <f t="shared" ca="1" si="597"/>
        <v>1397</v>
      </c>
      <c r="GT203">
        <f t="shared" ca="1" si="598"/>
        <v>0</v>
      </c>
      <c r="GU203" t="b">
        <f t="shared" ca="1" si="599"/>
        <v>0</v>
      </c>
      <c r="GV203">
        <f t="shared" ca="1" si="600"/>
        <v>0</v>
      </c>
      <c r="GW203">
        <f t="shared" ca="1" si="601"/>
        <v>1397</v>
      </c>
      <c r="GX203">
        <f t="shared" ca="1" si="602"/>
        <v>0</v>
      </c>
      <c r="GY203">
        <f t="shared" ca="1" si="603"/>
        <v>0</v>
      </c>
      <c r="GZ203">
        <f t="shared" ca="1" si="604"/>
        <v>0</v>
      </c>
    </row>
    <row r="204" spans="1:208" x14ac:dyDescent="0.3">
      <c r="A204">
        <f>_xlfn.AGGREGATE(3,5,$B$2:B204)</f>
        <v>203</v>
      </c>
      <c r="B204" t="s">
        <v>866</v>
      </c>
      <c r="C204" t="s">
        <v>867</v>
      </c>
      <c r="D204" t="s">
        <v>800</v>
      </c>
      <c r="E204" t="s">
        <v>830</v>
      </c>
      <c r="F204" t="s">
        <v>957</v>
      </c>
      <c r="G204" t="s">
        <v>938</v>
      </c>
      <c r="H204">
        <f t="shared" si="606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521"/>
        <v>0</v>
      </c>
      <c r="L204">
        <f t="shared" si="522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 t="shared" si="499"/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605"/>
        <v>0</v>
      </c>
      <c r="S204">
        <f t="shared" si="515"/>
        <v>0</v>
      </c>
      <c r="T204">
        <f>_xlfn.XLOOKUP(B204,'[2]april-2025'!$A:$A,'[2]april-2025'!$C:$C,0,0)</f>
        <v>0</v>
      </c>
      <c r="U204">
        <f t="shared" si="523"/>
        <v>0</v>
      </c>
      <c r="V204">
        <f t="shared" si="524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516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525"/>
        <v>0</v>
      </c>
      <c r="AC204">
        <f t="shared" si="526"/>
        <v>0</v>
      </c>
      <c r="AD204">
        <f>_xlfn.XLOOKUP(B204,'[3]may-2025'!$A:$A,'[3]may-2025'!$C:$C,0,0)</f>
        <v>24700</v>
      </c>
      <c r="AE204">
        <f t="shared" si="527"/>
        <v>4446</v>
      </c>
      <c r="AF204">
        <f t="shared" si="528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517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529"/>
        <v>0</v>
      </c>
      <c r="AM204">
        <f t="shared" si="530"/>
        <v>32110</v>
      </c>
      <c r="AN204">
        <f>_xlfn.XLOOKUP(B204,'[4]june-2025'!$A:$A,'[4]june-2025'!$C:$C,0,0)</f>
        <v>24700</v>
      </c>
      <c r="AO204">
        <f t="shared" si="531"/>
        <v>4446</v>
      </c>
      <c r="AP204">
        <f t="shared" si="532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518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533"/>
        <v>0</v>
      </c>
      <c r="AW204">
        <f t="shared" si="534"/>
        <v>32110</v>
      </c>
      <c r="AX204">
        <f>_xlfn.XLOOKUP(B204,'[5]july-2025'!$A:$A,'[5]july-2025'!$C:$C,0,0)</f>
        <v>24700</v>
      </c>
      <c r="AY204">
        <f t="shared" si="535"/>
        <v>4446</v>
      </c>
      <c r="AZ204">
        <v>0</v>
      </c>
      <c r="BA204">
        <f t="shared" si="536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 t="shared" si="500"/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537"/>
        <v>0</v>
      </c>
      <c r="BH204">
        <f t="shared" si="538"/>
        <v>32110</v>
      </c>
      <c r="BI204">
        <f>_xlfn.XLOOKUP(B204,'[6]august-2025'!$A:$A,'[6]august-2025'!$C:$C,0,0)</f>
        <v>24700</v>
      </c>
      <c r="BJ204">
        <f t="shared" si="539"/>
        <v>4446</v>
      </c>
      <c r="BK204">
        <f t="shared" si="540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541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 t="shared" si="501"/>
        <v>0</v>
      </c>
      <c r="BR204">
        <f t="shared" si="502"/>
        <v>32110</v>
      </c>
      <c r="BS204">
        <f>_xlfn.XLOOKUP(B204,'[7]september-2025'!$A:$A,'[7]september-2025'!$C:$C,0,0)</f>
        <v>24700</v>
      </c>
      <c r="BT204">
        <f t="shared" si="542"/>
        <v>4446</v>
      </c>
      <c r="BU204">
        <f t="shared" si="543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 t="shared" si="503"/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544"/>
        <v>0</v>
      </c>
      <c r="CB204">
        <f t="shared" si="545"/>
        <v>32110</v>
      </c>
      <c r="CC204">
        <f>_xlfn.XLOOKUP(B204,'[8]october-2025'!$A:$A,'[8]october-2025'!$C:$C,0,0)</f>
        <v>24700</v>
      </c>
      <c r="CD204">
        <f t="shared" si="546"/>
        <v>4446</v>
      </c>
      <c r="CE204">
        <f t="shared" si="547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 t="shared" si="504"/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548"/>
        <v>0</v>
      </c>
      <c r="CL204">
        <f t="shared" si="549"/>
        <v>32110</v>
      </c>
      <c r="CM204">
        <f>_xlfn.XLOOKUP(B204,'[9]november-2025'!$A:$A,'[9]november-2025'!$C:$C,0,0)</f>
        <v>24700</v>
      </c>
      <c r="CN204">
        <f t="shared" si="550"/>
        <v>4446</v>
      </c>
      <c r="CO204">
        <f t="shared" si="551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 t="shared" si="505"/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552"/>
        <v>0</v>
      </c>
      <c r="CV204">
        <f t="shared" si="553"/>
        <v>32110</v>
      </c>
      <c r="CW204">
        <f>_xlfn.XLOOKUP(B204,'[10]december-2025'!$A:$A,'[10]december-2025'!$C:$C,0,0)</f>
        <v>24700</v>
      </c>
      <c r="CX204">
        <f t="shared" si="554"/>
        <v>4446</v>
      </c>
      <c r="CY204">
        <f t="shared" si="555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 t="shared" si="506"/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556"/>
        <v>0</v>
      </c>
      <c r="DF204">
        <f t="shared" si="557"/>
        <v>32110</v>
      </c>
      <c r="DG204">
        <f>_xlfn.XLOOKUP(B204,'[11]january-2026'!$A:$A,'[11]january-2026'!$C:$C,0,0)</f>
        <v>24700</v>
      </c>
      <c r="DH204">
        <f t="shared" si="558"/>
        <v>4446</v>
      </c>
      <c r="DI204">
        <f t="shared" si="559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07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60"/>
        <v>0</v>
      </c>
      <c r="DP204">
        <f t="shared" si="561"/>
        <v>30110</v>
      </c>
      <c r="DQ204">
        <f>_xlfn.XLOOKUP(B204,'[12]february-2026'!$A:$A,'[12]february-2026'!$C:$C,0,0)</f>
        <v>24700</v>
      </c>
      <c r="DR204">
        <f t="shared" si="562"/>
        <v>4446</v>
      </c>
      <c r="DS204">
        <f t="shared" si="563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08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64"/>
        <v>0</v>
      </c>
      <c r="DZ204">
        <f t="shared" si="565"/>
        <v>30110</v>
      </c>
      <c r="EA204">
        <f>_xlfn.XLOOKUP(B204,'[1]march-2025'!$A:$A,'[1]march-2025'!$J:$J,0,0)</f>
        <v>0</v>
      </c>
      <c r="EB204">
        <f>_xlfn.XLOOKUP(B204,'[2]april-2025'!$A:$A,'[2]april-2025'!$J:$J,0,0)</f>
        <v>0</v>
      </c>
      <c r="EC204">
        <f>_xlfn.XLOOKUP(B204,'[3]may-2025'!$A:$A,'[3]may-2025'!$J:$J,0,0)</f>
        <v>0</v>
      </c>
      <c r="ED204">
        <f>_xlfn.XLOOKUP(B204,'[4]june-2025'!$A:$A,'[4]june-2025'!$J:$J,0,0)</f>
        <v>0</v>
      </c>
      <c r="EE204">
        <f>_xlfn.XLOOKUP(B204,'[5]july-2025'!$A:$A,'[5]july-2025'!$J:$J,0,0)</f>
        <v>0</v>
      </c>
      <c r="EF204">
        <f>_xlfn.XLOOKUP(B204,'[6]august-2025'!$A:$A,'[6]august-2025'!$J:$J,0,0)</f>
        <v>0</v>
      </c>
      <c r="EG204">
        <f>_xlfn.XLOOKUP(B204,'[7]september-2025'!$A:$A,'[7]september-2025'!$J:$J,0,0)</f>
        <v>0</v>
      </c>
      <c r="EH204">
        <f>_xlfn.XLOOKUP(B204,'[8]october-2025'!$A:$A,'[8]october-2025'!$J:$J,0,0)</f>
        <v>0</v>
      </c>
      <c r="EI204">
        <f>_xlfn.XLOOKUP(C204,'[9]november-2025'!$A:$A,'[9]november-2025'!$J:$J,0,0)</f>
        <v>0</v>
      </c>
      <c r="EJ204">
        <f>_xlfn.XLOOKUP(B204,'[10]december-2025'!$A:$A,'[10]december-2025'!$J:$J,0,0)</f>
        <v>0</v>
      </c>
      <c r="EK204">
        <f>_xlfn.XLOOKUP(B204,'[11]january-2026'!$A:$A,'[11]january-2026'!$J:$J,0,0)</f>
        <v>0</v>
      </c>
      <c r="EL204">
        <f>_xlfn.XLOOKUP(B204,'[12]february-2026'!$A:$A,'[12]february-2026'!$J:$J,0,0)</f>
        <v>0</v>
      </c>
      <c r="EM204">
        <f t="shared" si="519"/>
        <v>0</v>
      </c>
      <c r="EN204">
        <f t="shared" si="509"/>
        <v>321100</v>
      </c>
      <c r="EO204">
        <f t="shared" si="510"/>
        <v>0</v>
      </c>
      <c r="EP204">
        <f t="shared" si="566"/>
        <v>50000</v>
      </c>
      <c r="EQ204">
        <v>0</v>
      </c>
      <c r="ER204">
        <f t="shared" si="520"/>
        <v>271100</v>
      </c>
      <c r="ES204">
        <f t="shared" si="511"/>
        <v>4000</v>
      </c>
      <c r="ET204">
        <f t="shared" si="512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567"/>
        <v>4000</v>
      </c>
      <c r="FF204">
        <f t="shared" si="568"/>
        <v>4000</v>
      </c>
      <c r="FG204">
        <f t="shared" si="569"/>
        <v>267100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513"/>
        <v>50000</v>
      </c>
      <c r="FP204">
        <f t="shared" si="570"/>
        <v>217100</v>
      </c>
      <c r="FQ204">
        <f t="shared" si="571"/>
        <v>-1645</v>
      </c>
      <c r="FR204">
        <f t="shared" si="572"/>
        <v>0</v>
      </c>
      <c r="FS204">
        <f t="shared" si="573"/>
        <v>-1645</v>
      </c>
      <c r="FT204">
        <f t="shared" si="574"/>
        <v>0</v>
      </c>
      <c r="FU204">
        <f t="shared" si="575"/>
        <v>0</v>
      </c>
      <c r="FV204">
        <f t="shared" si="576"/>
        <v>0</v>
      </c>
      <c r="FW204">
        <v>0</v>
      </c>
      <c r="FX204">
        <f t="shared" si="577"/>
        <v>0</v>
      </c>
      <c r="FY204" t="b">
        <f t="shared" si="578"/>
        <v>0</v>
      </c>
      <c r="FZ204">
        <f t="shared" ca="1" si="579"/>
        <v>2495</v>
      </c>
      <c r="GA204">
        <f t="shared" ca="1" si="580"/>
        <v>323595</v>
      </c>
      <c r="GB204">
        <f t="shared" si="581"/>
        <v>75000</v>
      </c>
      <c r="GC204">
        <f t="shared" ca="1" si="582"/>
        <v>248595</v>
      </c>
      <c r="GD204">
        <f t="shared" ca="1" si="583"/>
        <v>0</v>
      </c>
      <c r="GE204">
        <f t="shared" ca="1" si="584"/>
        <v>0</v>
      </c>
      <c r="GF204">
        <f t="shared" ca="1" si="585"/>
        <v>0</v>
      </c>
      <c r="GG204">
        <f t="shared" ca="1" si="586"/>
        <v>0</v>
      </c>
      <c r="GH204">
        <f t="shared" ca="1" si="587"/>
        <v>0</v>
      </c>
      <c r="GI204">
        <f t="shared" ca="1" si="588"/>
        <v>0</v>
      </c>
      <c r="GJ204">
        <f t="shared" ca="1" si="514"/>
        <v>0</v>
      </c>
      <c r="GK204">
        <f t="shared" ca="1" si="589"/>
        <v>0</v>
      </c>
      <c r="GL204">
        <f t="shared" ca="1" si="590"/>
        <v>0</v>
      </c>
      <c r="GM204">
        <f t="shared" ca="1" si="591"/>
        <v>0</v>
      </c>
      <c r="GN204">
        <f t="shared" ca="1" si="592"/>
        <v>0</v>
      </c>
      <c r="GO204">
        <f t="shared" ca="1" si="593"/>
        <v>0</v>
      </c>
      <c r="GP204">
        <f t="shared" ca="1" si="594"/>
        <v>0</v>
      </c>
      <c r="GQ204">
        <f t="shared" ca="1" si="595"/>
        <v>0</v>
      </c>
      <c r="GR204">
        <f t="shared" ca="1" si="596"/>
        <v>0</v>
      </c>
      <c r="GS204">
        <f t="shared" ca="1" si="597"/>
        <v>0</v>
      </c>
      <c r="GT204">
        <f t="shared" ca="1" si="598"/>
        <v>0</v>
      </c>
      <c r="GU204" t="b">
        <f t="shared" ca="1" si="599"/>
        <v>0</v>
      </c>
      <c r="GV204">
        <f t="shared" ca="1" si="600"/>
        <v>0</v>
      </c>
      <c r="GW204">
        <f t="shared" ca="1" si="601"/>
        <v>0</v>
      </c>
      <c r="GX204">
        <f t="shared" ca="1" si="602"/>
        <v>0</v>
      </c>
      <c r="GY204">
        <f t="shared" ca="1" si="603"/>
        <v>0</v>
      </c>
      <c r="GZ204">
        <f t="shared" ca="1" si="604"/>
        <v>0</v>
      </c>
    </row>
    <row r="205" spans="1:208" x14ac:dyDescent="0.3">
      <c r="A205">
        <f>_xlfn.AGGREGATE(3,5,$B$2:B205)</f>
        <v>204</v>
      </c>
      <c r="B205" t="s">
        <v>513</v>
      </c>
      <c r="C205" t="s">
        <v>514</v>
      </c>
      <c r="D205" t="s">
        <v>801</v>
      </c>
      <c r="E205" t="s">
        <v>831</v>
      </c>
      <c r="F205" t="s">
        <v>956</v>
      </c>
      <c r="G205" t="s">
        <v>884</v>
      </c>
      <c r="H205">
        <f t="shared" si="606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521"/>
        <v>7238.0000000000009</v>
      </c>
      <c r="L205">
        <f t="shared" si="522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 t="shared" si="499"/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605"/>
        <v>200</v>
      </c>
      <c r="S205">
        <f t="shared" si="515"/>
        <v>55842</v>
      </c>
      <c r="T205">
        <f>_xlfn.XLOOKUP(B205,'[2]april-2025'!$A:$A,'[2]april-2025'!$C:$C,0,0)</f>
        <v>51700</v>
      </c>
      <c r="U205">
        <f t="shared" si="523"/>
        <v>9306</v>
      </c>
      <c r="V205">
        <f t="shared" si="524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516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525"/>
        <v>200</v>
      </c>
      <c r="AC205">
        <f t="shared" si="526"/>
        <v>57910</v>
      </c>
      <c r="AD205">
        <f>_xlfn.XLOOKUP(B205,'[3]may-2025'!$A:$A,'[3]may-2025'!$C:$C,0,0)</f>
        <v>51700</v>
      </c>
      <c r="AE205">
        <f t="shared" si="527"/>
        <v>9306</v>
      </c>
      <c r="AF205">
        <f t="shared" si="528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517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529"/>
        <v>200</v>
      </c>
      <c r="AM205">
        <f t="shared" si="530"/>
        <v>57910</v>
      </c>
      <c r="AN205">
        <f>_xlfn.XLOOKUP(B205,'[4]june-2025'!$A:$A,'[4]june-2025'!$C:$C,0,0)</f>
        <v>51700</v>
      </c>
      <c r="AO205">
        <f t="shared" si="531"/>
        <v>9306</v>
      </c>
      <c r="AP205">
        <f t="shared" si="532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518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533"/>
        <v>200</v>
      </c>
      <c r="AW205">
        <f t="shared" si="534"/>
        <v>57910</v>
      </c>
      <c r="AX205">
        <f>_xlfn.XLOOKUP(B205,'[5]july-2025'!$A:$A,'[5]july-2025'!$C:$C,0,0)</f>
        <v>53300</v>
      </c>
      <c r="AY205">
        <f t="shared" si="535"/>
        <v>9594</v>
      </c>
      <c r="AZ205">
        <v>0</v>
      </c>
      <c r="BA205">
        <f t="shared" si="536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 t="shared" si="500"/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537"/>
        <v>200</v>
      </c>
      <c r="BH205">
        <f t="shared" si="538"/>
        <v>59990</v>
      </c>
      <c r="BI205">
        <f>_xlfn.XLOOKUP(B205,'[6]august-2025'!$A:$A,'[6]august-2025'!$C:$C,0,0)</f>
        <v>53300</v>
      </c>
      <c r="BJ205">
        <f t="shared" si="539"/>
        <v>9594</v>
      </c>
      <c r="BK205">
        <f t="shared" si="540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541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 t="shared" si="501"/>
        <v>200</v>
      </c>
      <c r="BR205">
        <f t="shared" si="502"/>
        <v>59990</v>
      </c>
      <c r="BS205">
        <f>_xlfn.XLOOKUP(B205,'[7]september-2025'!$A:$A,'[7]september-2025'!$C:$C,0,0)</f>
        <v>53300</v>
      </c>
      <c r="BT205">
        <f t="shared" si="542"/>
        <v>9594</v>
      </c>
      <c r="BU205">
        <f t="shared" si="543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 t="shared" si="503"/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544"/>
        <v>200</v>
      </c>
      <c r="CB205">
        <f t="shared" si="545"/>
        <v>59990</v>
      </c>
      <c r="CC205">
        <f>_xlfn.XLOOKUP(B205,'[8]october-2025'!$A:$A,'[8]october-2025'!$C:$C,0,0)</f>
        <v>53300</v>
      </c>
      <c r="CD205">
        <f t="shared" si="546"/>
        <v>9594</v>
      </c>
      <c r="CE205">
        <f t="shared" si="547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 t="shared" si="504"/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548"/>
        <v>200</v>
      </c>
      <c r="CL205">
        <f t="shared" si="549"/>
        <v>59990</v>
      </c>
      <c r="CM205">
        <f>_xlfn.XLOOKUP(B205,'[9]november-2025'!$A:$A,'[9]november-2025'!$C:$C,0,0)</f>
        <v>53300</v>
      </c>
      <c r="CN205">
        <f t="shared" si="550"/>
        <v>9594</v>
      </c>
      <c r="CO205">
        <f t="shared" si="551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 t="shared" si="505"/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552"/>
        <v>200</v>
      </c>
      <c r="CV205">
        <f t="shared" si="553"/>
        <v>59990</v>
      </c>
      <c r="CW205">
        <f>_xlfn.XLOOKUP(B205,'[10]december-2025'!$A:$A,'[10]december-2025'!$C:$C,0,0)</f>
        <v>53300</v>
      </c>
      <c r="CX205">
        <f t="shared" si="554"/>
        <v>9594</v>
      </c>
      <c r="CY205">
        <f t="shared" si="555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 t="shared" si="506"/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556"/>
        <v>200</v>
      </c>
      <c r="DF205">
        <f t="shared" si="557"/>
        <v>59990</v>
      </c>
      <c r="DG205">
        <f>_xlfn.XLOOKUP(B205,'[11]january-2026'!$A:$A,'[11]january-2026'!$C:$C,0,0)</f>
        <v>53300</v>
      </c>
      <c r="DH205">
        <f t="shared" si="558"/>
        <v>9594</v>
      </c>
      <c r="DI205">
        <f t="shared" si="559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07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60"/>
        <v>200</v>
      </c>
      <c r="DP205">
        <f t="shared" si="561"/>
        <v>59990</v>
      </c>
      <c r="DQ205">
        <f>_xlfn.XLOOKUP(B205,'[12]february-2026'!$A:$A,'[12]february-2026'!$C:$C,0,0)</f>
        <v>53300</v>
      </c>
      <c r="DR205">
        <f t="shared" si="562"/>
        <v>9594</v>
      </c>
      <c r="DS205">
        <f t="shared" si="563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08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64"/>
        <v>200</v>
      </c>
      <c r="DZ205">
        <f t="shared" si="565"/>
        <v>59990</v>
      </c>
      <c r="EA205">
        <f>_xlfn.XLOOKUP(B205,'[1]march-2025'!$A:$A,'[1]march-2025'!$J:$J,0,0)</f>
        <v>0</v>
      </c>
      <c r="EB205">
        <f>_xlfn.XLOOKUP(B205,'[2]april-2025'!$A:$A,'[2]april-2025'!$J:$J,0,0)</f>
        <v>0</v>
      </c>
      <c r="EC205">
        <f>_xlfn.XLOOKUP(B205,'[3]may-2025'!$A:$A,'[3]may-2025'!$J:$J,0,0)</f>
        <v>0</v>
      </c>
      <c r="ED205">
        <f>_xlfn.XLOOKUP(B205,'[4]june-2025'!$A:$A,'[4]june-2025'!$J:$J,0,0)</f>
        <v>0</v>
      </c>
      <c r="EE205">
        <f>_xlfn.XLOOKUP(B205,'[5]july-2025'!$A:$A,'[5]july-2025'!$J:$J,0,0)</f>
        <v>0</v>
      </c>
      <c r="EF205">
        <f>_xlfn.XLOOKUP(B205,'[6]august-2025'!$A:$A,'[6]august-2025'!$J:$J,0,0)</f>
        <v>0</v>
      </c>
      <c r="EG205">
        <f>_xlfn.XLOOKUP(B205,'[7]september-2025'!$A:$A,'[7]september-2025'!$J:$J,0,0)</f>
        <v>0</v>
      </c>
      <c r="EH205">
        <f>_xlfn.XLOOKUP(B205,'[8]october-2025'!$A:$A,'[8]october-2025'!$J:$J,0,0)</f>
        <v>0</v>
      </c>
      <c r="EI205">
        <f>_xlfn.XLOOKUP(C205,'[9]november-2025'!$A:$A,'[9]november-2025'!$J:$J,0,0)</f>
        <v>0</v>
      </c>
      <c r="EJ205">
        <f>_xlfn.XLOOKUP(B205,'[10]december-2025'!$A:$A,'[10]december-2025'!$J:$J,0,0)</f>
        <v>0</v>
      </c>
      <c r="EK205">
        <f>_xlfn.XLOOKUP(B205,'[11]january-2026'!$A:$A,'[11]january-2026'!$J:$J,0,0)</f>
        <v>0</v>
      </c>
      <c r="EL205">
        <f>_xlfn.XLOOKUP(B205,'[12]february-2026'!$A:$A,'[12]february-2026'!$J:$J,0,0)</f>
        <v>0</v>
      </c>
      <c r="EM205">
        <f t="shared" si="519"/>
        <v>0</v>
      </c>
      <c r="EN205">
        <f t="shared" si="509"/>
        <v>838692</v>
      </c>
      <c r="EO205">
        <f t="shared" si="510"/>
        <v>2400</v>
      </c>
      <c r="EP205">
        <f t="shared" si="566"/>
        <v>50000</v>
      </c>
      <c r="EQ205">
        <v>0</v>
      </c>
      <c r="ER205">
        <f t="shared" si="520"/>
        <v>786292</v>
      </c>
      <c r="ES205">
        <f t="shared" si="511"/>
        <v>120000</v>
      </c>
      <c r="ET205">
        <f t="shared" si="512"/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si="567"/>
        <v>120000</v>
      </c>
      <c r="FF205">
        <f t="shared" si="568"/>
        <v>120000</v>
      </c>
      <c r="FG205">
        <f t="shared" si="569"/>
        <v>666292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si="513"/>
        <v>0</v>
      </c>
      <c r="FP205">
        <f t="shared" si="570"/>
        <v>666292</v>
      </c>
      <c r="FQ205">
        <f t="shared" si="571"/>
        <v>12500</v>
      </c>
      <c r="FR205">
        <f t="shared" si="572"/>
        <v>33258</v>
      </c>
      <c r="FS205">
        <f t="shared" si="573"/>
        <v>45758</v>
      </c>
      <c r="FT205">
        <f t="shared" si="574"/>
        <v>45758</v>
      </c>
      <c r="FU205">
        <f t="shared" si="575"/>
        <v>1830.32</v>
      </c>
      <c r="FV205">
        <f t="shared" si="576"/>
        <v>47588</v>
      </c>
      <c r="FW205">
        <v>0</v>
      </c>
      <c r="FX205">
        <f t="shared" si="577"/>
        <v>47588</v>
      </c>
      <c r="FY205" t="b">
        <f t="shared" si="578"/>
        <v>1</v>
      </c>
      <c r="FZ205">
        <f t="shared" ca="1" si="579"/>
        <v>725</v>
      </c>
      <c r="GA205">
        <f t="shared" ca="1" si="580"/>
        <v>839417</v>
      </c>
      <c r="GB205">
        <f t="shared" si="581"/>
        <v>75000</v>
      </c>
      <c r="GC205">
        <f t="shared" ca="1" si="582"/>
        <v>764417</v>
      </c>
      <c r="GD205">
        <f t="shared" ca="1" si="583"/>
        <v>0</v>
      </c>
      <c r="GE205">
        <f t="shared" ca="1" si="584"/>
        <v>0</v>
      </c>
      <c r="GF205">
        <f t="shared" ca="1" si="585"/>
        <v>0</v>
      </c>
      <c r="GG205">
        <f t="shared" ca="1" si="586"/>
        <v>0</v>
      </c>
      <c r="GH205">
        <f t="shared" ca="1" si="587"/>
        <v>0</v>
      </c>
      <c r="GI205">
        <f t="shared" ca="1" si="588"/>
        <v>0</v>
      </c>
      <c r="GJ205">
        <f t="shared" ca="1" si="514"/>
        <v>0</v>
      </c>
      <c r="GK205">
        <f t="shared" ca="1" si="589"/>
        <v>0</v>
      </c>
      <c r="GL205">
        <f t="shared" ca="1" si="590"/>
        <v>0</v>
      </c>
      <c r="GM205">
        <f t="shared" ca="1" si="591"/>
        <v>0</v>
      </c>
      <c r="GN205">
        <f t="shared" ca="1" si="592"/>
        <v>364417</v>
      </c>
      <c r="GO205">
        <f t="shared" ca="1" si="593"/>
        <v>18220.850000000002</v>
      </c>
      <c r="GP205">
        <f t="shared" ca="1" si="594"/>
        <v>18221</v>
      </c>
      <c r="GQ205">
        <f t="shared" ca="1" si="595"/>
        <v>0</v>
      </c>
      <c r="GR205">
        <f t="shared" ca="1" si="596"/>
        <v>0</v>
      </c>
      <c r="GS205">
        <f t="shared" ca="1" si="597"/>
        <v>18221</v>
      </c>
      <c r="GT205">
        <f t="shared" ca="1" si="598"/>
        <v>0</v>
      </c>
      <c r="GU205" t="b">
        <f t="shared" ca="1" si="599"/>
        <v>0</v>
      </c>
      <c r="GV205">
        <f t="shared" ca="1" si="600"/>
        <v>0</v>
      </c>
      <c r="GW205">
        <f t="shared" ca="1" si="601"/>
        <v>18221</v>
      </c>
      <c r="GX205">
        <f t="shared" ca="1" si="602"/>
        <v>0</v>
      </c>
      <c r="GY205">
        <f t="shared" ca="1" si="603"/>
        <v>0</v>
      </c>
      <c r="GZ205">
        <f t="shared" ca="1" si="604"/>
        <v>0</v>
      </c>
    </row>
    <row r="206" spans="1:208" x14ac:dyDescent="0.3">
      <c r="A206">
        <f>_xlfn.AGGREGATE(3,5,$B$2:B206)</f>
        <v>205</v>
      </c>
      <c r="B206" t="s">
        <v>515</v>
      </c>
      <c r="C206" t="s">
        <v>516</v>
      </c>
      <c r="D206" t="s">
        <v>801</v>
      </c>
      <c r="E206" t="s">
        <v>830</v>
      </c>
      <c r="F206" t="s">
        <v>956</v>
      </c>
      <c r="G206" t="s">
        <v>939</v>
      </c>
      <c r="H206">
        <f t="shared" si="606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521"/>
        <v>6622.0000000000009</v>
      </c>
      <c r="L206">
        <f t="shared" si="522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499"/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605"/>
        <v>200</v>
      </c>
      <c r="S206">
        <f t="shared" si="515"/>
        <v>54898</v>
      </c>
      <c r="T206">
        <f>_xlfn.XLOOKUP(B206,'[2]april-2025'!$A:$A,'[2]april-2025'!$C:$C,0,0)</f>
        <v>47300</v>
      </c>
      <c r="U206">
        <f t="shared" si="523"/>
        <v>8514</v>
      </c>
      <c r="V206">
        <f t="shared" si="524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516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525"/>
        <v>200</v>
      </c>
      <c r="AC206">
        <f t="shared" si="526"/>
        <v>56790</v>
      </c>
      <c r="AD206">
        <f>_xlfn.XLOOKUP(B206,'[3]may-2025'!$A:$A,'[3]may-2025'!$C:$C,0,0)</f>
        <v>47300</v>
      </c>
      <c r="AE206">
        <f t="shared" si="527"/>
        <v>8514</v>
      </c>
      <c r="AF206">
        <f t="shared" si="528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517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529"/>
        <v>200</v>
      </c>
      <c r="AM206">
        <f t="shared" si="530"/>
        <v>56790</v>
      </c>
      <c r="AN206">
        <f>_xlfn.XLOOKUP(B206,'[4]june-2025'!$A:$A,'[4]june-2025'!$C:$C,0,0)</f>
        <v>47300</v>
      </c>
      <c r="AO206">
        <f t="shared" si="531"/>
        <v>8514</v>
      </c>
      <c r="AP206">
        <f t="shared" si="532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518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533"/>
        <v>200</v>
      </c>
      <c r="AW206">
        <f t="shared" si="534"/>
        <v>56790</v>
      </c>
      <c r="AX206">
        <f>_xlfn.XLOOKUP(B206,'[5]july-2025'!$A:$A,'[5]july-2025'!$C:$C,0,0)</f>
        <v>48700</v>
      </c>
      <c r="AY206">
        <f t="shared" si="535"/>
        <v>8766</v>
      </c>
      <c r="AZ206">
        <v>0</v>
      </c>
      <c r="BA206">
        <f t="shared" si="536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500"/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537"/>
        <v>200</v>
      </c>
      <c r="BH206">
        <f t="shared" si="538"/>
        <v>58610</v>
      </c>
      <c r="BI206">
        <f>_xlfn.XLOOKUP(B206,'[6]august-2025'!$A:$A,'[6]august-2025'!$C:$C,0,0)</f>
        <v>48700</v>
      </c>
      <c r="BJ206">
        <f t="shared" si="539"/>
        <v>8766</v>
      </c>
      <c r="BK206">
        <f t="shared" si="540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541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 t="shared" si="501"/>
        <v>200</v>
      </c>
      <c r="BR206">
        <f t="shared" si="502"/>
        <v>58610</v>
      </c>
      <c r="BS206">
        <f>_xlfn.XLOOKUP(B206,'[7]september-2025'!$A:$A,'[7]september-2025'!$C:$C,0,0)</f>
        <v>48700</v>
      </c>
      <c r="BT206">
        <f t="shared" si="542"/>
        <v>8766</v>
      </c>
      <c r="BU206">
        <f t="shared" si="543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503"/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544"/>
        <v>200</v>
      </c>
      <c r="CB206">
        <f t="shared" si="545"/>
        <v>58610</v>
      </c>
      <c r="CC206">
        <f>_xlfn.XLOOKUP(B206,'[8]october-2025'!$A:$A,'[8]october-2025'!$C:$C,0,0)</f>
        <v>48700</v>
      </c>
      <c r="CD206">
        <f t="shared" si="546"/>
        <v>8766</v>
      </c>
      <c r="CE206">
        <f t="shared" si="547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504"/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548"/>
        <v>200</v>
      </c>
      <c r="CL206">
        <f t="shared" si="549"/>
        <v>58610</v>
      </c>
      <c r="CM206">
        <f>_xlfn.XLOOKUP(B206,'[9]november-2025'!$A:$A,'[9]november-2025'!$C:$C,0,0)</f>
        <v>48700</v>
      </c>
      <c r="CN206">
        <f t="shared" si="550"/>
        <v>8766</v>
      </c>
      <c r="CO206">
        <f t="shared" si="551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505"/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552"/>
        <v>200</v>
      </c>
      <c r="CV206">
        <f t="shared" si="553"/>
        <v>58610</v>
      </c>
      <c r="CW206">
        <f>_xlfn.XLOOKUP(B206,'[10]december-2025'!$A:$A,'[10]december-2025'!$C:$C,0,0)</f>
        <v>48700</v>
      </c>
      <c r="CX206">
        <f t="shared" si="554"/>
        <v>8766</v>
      </c>
      <c r="CY206">
        <f t="shared" si="555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506"/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556"/>
        <v>200</v>
      </c>
      <c r="DF206">
        <f t="shared" si="557"/>
        <v>58610</v>
      </c>
      <c r="DG206">
        <f>_xlfn.XLOOKUP(B206,'[11]january-2026'!$A:$A,'[11]january-2026'!$C:$C,0,0)</f>
        <v>48700</v>
      </c>
      <c r="DH206">
        <f t="shared" si="558"/>
        <v>8766</v>
      </c>
      <c r="DI206">
        <f t="shared" si="559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07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60"/>
        <v>200</v>
      </c>
      <c r="DP206">
        <f t="shared" si="561"/>
        <v>58610</v>
      </c>
      <c r="DQ206">
        <f>_xlfn.XLOOKUP(B206,'[12]february-2026'!$A:$A,'[12]february-2026'!$C:$C,0,0)</f>
        <v>48700</v>
      </c>
      <c r="DR206">
        <f t="shared" si="562"/>
        <v>8766</v>
      </c>
      <c r="DS206">
        <f t="shared" si="563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08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64"/>
        <v>200</v>
      </c>
      <c r="DZ206">
        <f t="shared" si="565"/>
        <v>58610</v>
      </c>
      <c r="EA206">
        <f>_xlfn.XLOOKUP(B206,'[1]march-2025'!$A:$A,'[1]march-2025'!$J:$J,0,0)</f>
        <v>0</v>
      </c>
      <c r="EB206">
        <f>_xlfn.XLOOKUP(B206,'[2]april-2025'!$A:$A,'[2]april-2025'!$J:$J,0,0)</f>
        <v>0</v>
      </c>
      <c r="EC206">
        <f>_xlfn.XLOOKUP(B206,'[3]may-2025'!$A:$A,'[3]may-2025'!$J:$J,0,0)</f>
        <v>0</v>
      </c>
      <c r="ED206">
        <f>_xlfn.XLOOKUP(B206,'[4]june-2025'!$A:$A,'[4]june-2025'!$J:$J,0,0)</f>
        <v>0</v>
      </c>
      <c r="EE206">
        <f>_xlfn.XLOOKUP(B206,'[5]july-2025'!$A:$A,'[5]july-2025'!$J:$J,0,0)</f>
        <v>0</v>
      </c>
      <c r="EF206">
        <f>_xlfn.XLOOKUP(B206,'[6]august-2025'!$A:$A,'[6]august-2025'!$J:$J,0,0)</f>
        <v>0</v>
      </c>
      <c r="EG206">
        <f>_xlfn.XLOOKUP(B206,'[7]september-2025'!$A:$A,'[7]september-2025'!$J:$J,0,0)</f>
        <v>0</v>
      </c>
      <c r="EH206">
        <f>_xlfn.XLOOKUP(B206,'[8]october-2025'!$A:$A,'[8]october-2025'!$J:$J,0,0)</f>
        <v>0</v>
      </c>
      <c r="EI206">
        <f>_xlfn.XLOOKUP(C206,'[9]november-2025'!$A:$A,'[9]november-2025'!$J:$J,0,0)</f>
        <v>0</v>
      </c>
      <c r="EJ206">
        <f>_xlfn.XLOOKUP(B206,'[10]december-2025'!$A:$A,'[10]december-2025'!$J:$J,0,0)</f>
        <v>0</v>
      </c>
      <c r="EK206">
        <f>_xlfn.XLOOKUP(B206,'[11]january-2026'!$A:$A,'[11]january-2026'!$J:$J,0,0)</f>
        <v>0</v>
      </c>
      <c r="EL206">
        <f>_xlfn.XLOOKUP(B206,'[12]february-2026'!$A:$A,'[12]february-2026'!$J:$J,0,0)</f>
        <v>0</v>
      </c>
      <c r="EM206">
        <f t="shared" si="519"/>
        <v>0</v>
      </c>
      <c r="EN206">
        <f t="shared" si="509"/>
        <v>763348</v>
      </c>
      <c r="EO206">
        <f t="shared" si="510"/>
        <v>2400</v>
      </c>
      <c r="EP206">
        <f t="shared" si="566"/>
        <v>50000</v>
      </c>
      <c r="EQ206">
        <v>0</v>
      </c>
      <c r="ER206">
        <f t="shared" si="520"/>
        <v>710948</v>
      </c>
      <c r="ES206">
        <f t="shared" si="511"/>
        <v>60000</v>
      </c>
      <c r="ET206">
        <f t="shared" si="512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567"/>
        <v>60000</v>
      </c>
      <c r="FF206">
        <f t="shared" si="568"/>
        <v>60000</v>
      </c>
      <c r="FG206">
        <f t="shared" si="569"/>
        <v>650948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513"/>
        <v>0</v>
      </c>
      <c r="FP206">
        <f t="shared" si="570"/>
        <v>650948</v>
      </c>
      <c r="FQ206">
        <f t="shared" si="571"/>
        <v>12500</v>
      </c>
      <c r="FR206">
        <f t="shared" si="572"/>
        <v>30190</v>
      </c>
      <c r="FS206">
        <f t="shared" si="573"/>
        <v>42690</v>
      </c>
      <c r="FT206">
        <f t="shared" si="574"/>
        <v>42690</v>
      </c>
      <c r="FU206">
        <f t="shared" si="575"/>
        <v>1707.6000000000001</v>
      </c>
      <c r="FV206">
        <f t="shared" si="576"/>
        <v>44398</v>
      </c>
      <c r="FW206">
        <v>0</v>
      </c>
      <c r="FX206">
        <f t="shared" si="577"/>
        <v>44398</v>
      </c>
      <c r="FY206" t="b">
        <f t="shared" si="578"/>
        <v>1</v>
      </c>
      <c r="FZ206">
        <f t="shared" ca="1" si="579"/>
        <v>574</v>
      </c>
      <c r="GA206">
        <f t="shared" ca="1" si="580"/>
        <v>763922</v>
      </c>
      <c r="GB206">
        <f t="shared" si="581"/>
        <v>75000</v>
      </c>
      <c r="GC206">
        <f t="shared" ca="1" si="582"/>
        <v>688922</v>
      </c>
      <c r="GD206">
        <f t="shared" ca="1" si="583"/>
        <v>0</v>
      </c>
      <c r="GE206">
        <f t="shared" ca="1" si="584"/>
        <v>0</v>
      </c>
      <c r="GF206">
        <f t="shared" ca="1" si="585"/>
        <v>0</v>
      </c>
      <c r="GG206">
        <f t="shared" ca="1" si="586"/>
        <v>0</v>
      </c>
      <c r="GH206">
        <f t="shared" ca="1" si="587"/>
        <v>0</v>
      </c>
      <c r="GI206">
        <f t="shared" ca="1" si="588"/>
        <v>0</v>
      </c>
      <c r="GJ206">
        <f t="shared" ca="1" si="514"/>
        <v>0</v>
      </c>
      <c r="GK206">
        <f t="shared" ca="1" si="589"/>
        <v>0</v>
      </c>
      <c r="GL206">
        <f t="shared" ca="1" si="590"/>
        <v>0</v>
      </c>
      <c r="GM206">
        <f t="shared" ca="1" si="591"/>
        <v>0</v>
      </c>
      <c r="GN206">
        <f t="shared" ca="1" si="592"/>
        <v>288922</v>
      </c>
      <c r="GO206">
        <f t="shared" ca="1" si="593"/>
        <v>14446.1</v>
      </c>
      <c r="GP206">
        <f t="shared" ca="1" si="594"/>
        <v>14446</v>
      </c>
      <c r="GQ206">
        <f t="shared" ca="1" si="595"/>
        <v>0</v>
      </c>
      <c r="GR206">
        <f t="shared" ca="1" si="596"/>
        <v>0</v>
      </c>
      <c r="GS206">
        <f t="shared" ca="1" si="597"/>
        <v>14446</v>
      </c>
      <c r="GT206">
        <f t="shared" ca="1" si="598"/>
        <v>0</v>
      </c>
      <c r="GU206" t="b">
        <f t="shared" ca="1" si="599"/>
        <v>0</v>
      </c>
      <c r="GV206">
        <f t="shared" ca="1" si="600"/>
        <v>0</v>
      </c>
      <c r="GW206">
        <f t="shared" ca="1" si="601"/>
        <v>14446</v>
      </c>
      <c r="GX206">
        <f t="shared" ca="1" si="602"/>
        <v>0</v>
      </c>
      <c r="GY206">
        <f t="shared" ca="1" si="603"/>
        <v>0</v>
      </c>
      <c r="GZ206">
        <f t="shared" ca="1" si="604"/>
        <v>0</v>
      </c>
    </row>
    <row r="207" spans="1:208" x14ac:dyDescent="0.3">
      <c r="A207">
        <f>_xlfn.AGGREGATE(3,5,$B$2:B207)</f>
        <v>206</v>
      </c>
      <c r="B207" t="s">
        <v>517</v>
      </c>
      <c r="C207" t="s">
        <v>518</v>
      </c>
      <c r="D207" t="s">
        <v>801</v>
      </c>
      <c r="E207" t="s">
        <v>830</v>
      </c>
      <c r="F207" t="s">
        <v>956</v>
      </c>
      <c r="G207" t="s">
        <v>940</v>
      </c>
      <c r="H207">
        <f t="shared" si="606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521"/>
        <v>4690</v>
      </c>
      <c r="L207">
        <f t="shared" si="522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499"/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605"/>
        <v>200</v>
      </c>
      <c r="S207">
        <f t="shared" si="515"/>
        <v>39510</v>
      </c>
      <c r="T207">
        <f>_xlfn.XLOOKUP(B207,'[2]april-2025'!$A:$A,'[2]april-2025'!$C:$C,0,0)</f>
        <v>33500</v>
      </c>
      <c r="U207">
        <f t="shared" si="523"/>
        <v>6030</v>
      </c>
      <c r="V207">
        <f t="shared" si="524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516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525"/>
        <v>200</v>
      </c>
      <c r="AC207">
        <f t="shared" si="526"/>
        <v>40850</v>
      </c>
      <c r="AD207">
        <f>_xlfn.XLOOKUP(B207,'[3]may-2025'!$A:$A,'[3]may-2025'!$C:$C,0,0)</f>
        <v>33500</v>
      </c>
      <c r="AE207">
        <f t="shared" si="527"/>
        <v>6030</v>
      </c>
      <c r="AF207">
        <f t="shared" si="528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517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529"/>
        <v>200</v>
      </c>
      <c r="AM207">
        <f t="shared" si="530"/>
        <v>40850</v>
      </c>
      <c r="AN207">
        <f>_xlfn.XLOOKUP(B207,'[4]june-2025'!$A:$A,'[4]june-2025'!$C:$C,0,0)</f>
        <v>33500</v>
      </c>
      <c r="AO207">
        <f t="shared" si="531"/>
        <v>6030</v>
      </c>
      <c r="AP207">
        <f t="shared" si="532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518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533"/>
        <v>200</v>
      </c>
      <c r="AW207">
        <f t="shared" si="534"/>
        <v>40850</v>
      </c>
      <c r="AX207">
        <f>_xlfn.XLOOKUP(B207,'[5]july-2025'!$A:$A,'[5]july-2025'!$C:$C,0,0)</f>
        <v>34500</v>
      </c>
      <c r="AY207">
        <f t="shared" si="535"/>
        <v>6210</v>
      </c>
      <c r="AZ207">
        <v>0</v>
      </c>
      <c r="BA207">
        <f t="shared" si="536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500"/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537"/>
        <v>200</v>
      </c>
      <c r="BH207">
        <f t="shared" si="538"/>
        <v>42150</v>
      </c>
      <c r="BI207">
        <f>_xlfn.XLOOKUP(B207,'[6]august-2025'!$A:$A,'[6]august-2025'!$C:$C,0,0)</f>
        <v>34500</v>
      </c>
      <c r="BJ207">
        <f t="shared" si="539"/>
        <v>6210</v>
      </c>
      <c r="BK207">
        <f t="shared" si="540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541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 t="shared" si="501"/>
        <v>200</v>
      </c>
      <c r="BR207">
        <f t="shared" si="502"/>
        <v>42150</v>
      </c>
      <c r="BS207">
        <f>_xlfn.XLOOKUP(B207,'[7]september-2025'!$A:$A,'[7]september-2025'!$C:$C,0,0)</f>
        <v>34500</v>
      </c>
      <c r="BT207">
        <f t="shared" si="542"/>
        <v>6210</v>
      </c>
      <c r="BU207">
        <f t="shared" si="543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503"/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544"/>
        <v>200</v>
      </c>
      <c r="CB207">
        <f t="shared" si="545"/>
        <v>42150</v>
      </c>
      <c r="CC207">
        <f>_xlfn.XLOOKUP(B207,'[8]october-2025'!$A:$A,'[8]october-2025'!$C:$C,0,0)</f>
        <v>34500</v>
      </c>
      <c r="CD207">
        <f t="shared" si="546"/>
        <v>6210</v>
      </c>
      <c r="CE207">
        <f t="shared" si="547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504"/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548"/>
        <v>200</v>
      </c>
      <c r="CL207">
        <f t="shared" si="549"/>
        <v>42150</v>
      </c>
      <c r="CM207">
        <f>_xlfn.XLOOKUP(B207,'[9]november-2025'!$A:$A,'[9]november-2025'!$C:$C,0,0)</f>
        <v>34500</v>
      </c>
      <c r="CN207">
        <f t="shared" si="550"/>
        <v>6210</v>
      </c>
      <c r="CO207">
        <f t="shared" si="551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505"/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552"/>
        <v>200</v>
      </c>
      <c r="CV207">
        <f t="shared" si="553"/>
        <v>42150</v>
      </c>
      <c r="CW207">
        <f>_xlfn.XLOOKUP(B207,'[10]december-2025'!$A:$A,'[10]december-2025'!$C:$C,0,0)</f>
        <v>34500</v>
      </c>
      <c r="CX207">
        <f t="shared" si="554"/>
        <v>6210</v>
      </c>
      <c r="CY207">
        <f t="shared" si="555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506"/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556"/>
        <v>200</v>
      </c>
      <c r="DF207">
        <f t="shared" si="557"/>
        <v>42150</v>
      </c>
      <c r="DG207">
        <f>_xlfn.XLOOKUP(B207,'[11]january-2026'!$A:$A,'[11]january-2026'!$C:$C,0,0)</f>
        <v>34500</v>
      </c>
      <c r="DH207">
        <f t="shared" si="558"/>
        <v>6210</v>
      </c>
      <c r="DI207">
        <f t="shared" si="559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07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60"/>
        <v>200</v>
      </c>
      <c r="DP207">
        <f t="shared" si="561"/>
        <v>42150</v>
      </c>
      <c r="DQ207">
        <f>_xlfn.XLOOKUP(B207,'[12]february-2026'!$A:$A,'[12]february-2026'!$C:$C,0,0)</f>
        <v>34500</v>
      </c>
      <c r="DR207">
        <f t="shared" si="562"/>
        <v>6210</v>
      </c>
      <c r="DS207">
        <f t="shared" si="563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08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64"/>
        <v>200</v>
      </c>
      <c r="DZ207">
        <f t="shared" si="565"/>
        <v>42150</v>
      </c>
      <c r="EA207">
        <f>_xlfn.XLOOKUP(B207,'[1]march-2025'!$A:$A,'[1]march-2025'!$J:$J,0,0)</f>
        <v>0</v>
      </c>
      <c r="EB207">
        <f>_xlfn.XLOOKUP(B207,'[2]april-2025'!$A:$A,'[2]april-2025'!$J:$J,0,0)</f>
        <v>0</v>
      </c>
      <c r="EC207">
        <f>_xlfn.XLOOKUP(B207,'[3]may-2025'!$A:$A,'[3]may-2025'!$J:$J,0,0)</f>
        <v>0</v>
      </c>
      <c r="ED207">
        <f>_xlfn.XLOOKUP(B207,'[4]june-2025'!$A:$A,'[4]june-2025'!$J:$J,0,0)</f>
        <v>0</v>
      </c>
      <c r="EE207">
        <f>_xlfn.XLOOKUP(B207,'[5]july-2025'!$A:$A,'[5]july-2025'!$J:$J,0,0)</f>
        <v>0</v>
      </c>
      <c r="EF207">
        <f>_xlfn.XLOOKUP(B207,'[6]august-2025'!$A:$A,'[6]august-2025'!$J:$J,0,0)</f>
        <v>0</v>
      </c>
      <c r="EG207">
        <f>_xlfn.XLOOKUP(B207,'[7]september-2025'!$A:$A,'[7]september-2025'!$J:$J,0,0)</f>
        <v>0</v>
      </c>
      <c r="EH207">
        <f>_xlfn.XLOOKUP(B207,'[8]october-2025'!$A:$A,'[8]october-2025'!$J:$J,0,0)</f>
        <v>0</v>
      </c>
      <c r="EI207">
        <f>_xlfn.XLOOKUP(C207,'[9]november-2025'!$A:$A,'[9]november-2025'!$J:$J,0,0)</f>
        <v>0</v>
      </c>
      <c r="EJ207">
        <f>_xlfn.XLOOKUP(B207,'[10]december-2025'!$A:$A,'[10]december-2025'!$J:$J,0,0)</f>
        <v>0</v>
      </c>
      <c r="EK207">
        <f>_xlfn.XLOOKUP(B207,'[11]january-2026'!$A:$A,'[11]january-2026'!$J:$J,0,0)</f>
        <v>0</v>
      </c>
      <c r="EL207">
        <f>_xlfn.XLOOKUP(B207,'[12]february-2026'!$A:$A,'[12]february-2026'!$J:$J,0,0)</f>
        <v>0</v>
      </c>
      <c r="EM207">
        <f t="shared" si="519"/>
        <v>0</v>
      </c>
      <c r="EN207">
        <f t="shared" si="509"/>
        <v>544460</v>
      </c>
      <c r="EO207">
        <f t="shared" si="510"/>
        <v>2400</v>
      </c>
      <c r="EP207">
        <f t="shared" si="566"/>
        <v>50000</v>
      </c>
      <c r="EQ207">
        <v>0</v>
      </c>
      <c r="ER207">
        <f t="shared" si="520"/>
        <v>492060</v>
      </c>
      <c r="ES207">
        <f t="shared" si="511"/>
        <v>36000</v>
      </c>
      <c r="ET207">
        <f t="shared" si="512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567"/>
        <v>36000</v>
      </c>
      <c r="FF207">
        <f t="shared" si="568"/>
        <v>36000</v>
      </c>
      <c r="FG207">
        <f t="shared" si="569"/>
        <v>456060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513"/>
        <v>0</v>
      </c>
      <c r="FP207">
        <f t="shared" si="570"/>
        <v>456060</v>
      </c>
      <c r="FQ207">
        <f t="shared" si="571"/>
        <v>10303</v>
      </c>
      <c r="FR207">
        <f t="shared" si="572"/>
        <v>0</v>
      </c>
      <c r="FS207">
        <f t="shared" si="573"/>
        <v>10303</v>
      </c>
      <c r="FT207">
        <f t="shared" si="574"/>
        <v>0</v>
      </c>
      <c r="FU207">
        <f t="shared" si="575"/>
        <v>0</v>
      </c>
      <c r="FV207">
        <f t="shared" si="576"/>
        <v>0</v>
      </c>
      <c r="FW207">
        <v>0</v>
      </c>
      <c r="FX207">
        <f t="shared" si="577"/>
        <v>0</v>
      </c>
      <c r="FY207" t="b">
        <f t="shared" si="578"/>
        <v>1</v>
      </c>
      <c r="FZ207">
        <f t="shared" ca="1" si="579"/>
        <v>709</v>
      </c>
      <c r="GA207">
        <f t="shared" ca="1" si="580"/>
        <v>545169</v>
      </c>
      <c r="GB207">
        <f t="shared" si="581"/>
        <v>75000</v>
      </c>
      <c r="GC207">
        <f t="shared" ca="1" si="582"/>
        <v>470169</v>
      </c>
      <c r="GD207">
        <f t="shared" ca="1" si="583"/>
        <v>0</v>
      </c>
      <c r="GE207">
        <f t="shared" ca="1" si="584"/>
        <v>0</v>
      </c>
      <c r="GF207">
        <f t="shared" ca="1" si="585"/>
        <v>0</v>
      </c>
      <c r="GG207">
        <f t="shared" ca="1" si="586"/>
        <v>0</v>
      </c>
      <c r="GH207">
        <f t="shared" ca="1" si="587"/>
        <v>0</v>
      </c>
      <c r="GI207">
        <f t="shared" ca="1" si="588"/>
        <v>0</v>
      </c>
      <c r="GJ207">
        <f t="shared" ca="1" si="514"/>
        <v>0</v>
      </c>
      <c r="GK207">
        <f t="shared" ca="1" si="589"/>
        <v>0</v>
      </c>
      <c r="GL207">
        <f t="shared" ca="1" si="590"/>
        <v>0</v>
      </c>
      <c r="GM207">
        <f t="shared" ca="1" si="591"/>
        <v>0</v>
      </c>
      <c r="GN207">
        <f t="shared" ca="1" si="592"/>
        <v>70169</v>
      </c>
      <c r="GO207">
        <f t="shared" ca="1" si="593"/>
        <v>3508.4500000000003</v>
      </c>
      <c r="GP207">
        <f t="shared" ca="1" si="594"/>
        <v>3508</v>
      </c>
      <c r="GQ207">
        <f t="shared" ca="1" si="595"/>
        <v>0</v>
      </c>
      <c r="GR207">
        <f t="shared" ca="1" si="596"/>
        <v>0</v>
      </c>
      <c r="GS207">
        <f t="shared" ca="1" si="597"/>
        <v>3508</v>
      </c>
      <c r="GT207">
        <f t="shared" ca="1" si="598"/>
        <v>0</v>
      </c>
      <c r="GU207" t="b">
        <f t="shared" ca="1" si="599"/>
        <v>0</v>
      </c>
      <c r="GV207">
        <f t="shared" ca="1" si="600"/>
        <v>0</v>
      </c>
      <c r="GW207">
        <f t="shared" ca="1" si="601"/>
        <v>3508</v>
      </c>
      <c r="GX207">
        <f t="shared" ca="1" si="602"/>
        <v>0</v>
      </c>
      <c r="GY207">
        <f t="shared" ca="1" si="603"/>
        <v>0</v>
      </c>
      <c r="GZ207">
        <f t="shared" ca="1" si="604"/>
        <v>0</v>
      </c>
    </row>
    <row r="208" spans="1:208" x14ac:dyDescent="0.3">
      <c r="A208">
        <f>_xlfn.AGGREGATE(3,5,$B$2:B208)</f>
        <v>207</v>
      </c>
      <c r="B208" t="s">
        <v>519</v>
      </c>
      <c r="C208" t="s">
        <v>520</v>
      </c>
      <c r="D208" t="s">
        <v>801</v>
      </c>
      <c r="E208" t="s">
        <v>830</v>
      </c>
      <c r="F208" t="s">
        <v>956</v>
      </c>
      <c r="G208" t="s">
        <v>878</v>
      </c>
      <c r="H208">
        <f t="shared" si="606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521"/>
        <v>4424</v>
      </c>
      <c r="L208">
        <f t="shared" si="522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499"/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605"/>
        <v>200</v>
      </c>
      <c r="S208">
        <f t="shared" si="515"/>
        <v>38116</v>
      </c>
      <c r="T208">
        <f>_xlfn.XLOOKUP(B208,'[2]april-2025'!$A:$A,'[2]april-2025'!$C:$C,0,0)</f>
        <v>31600</v>
      </c>
      <c r="U208">
        <f t="shared" si="523"/>
        <v>5688</v>
      </c>
      <c r="V208">
        <f t="shared" si="524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516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525"/>
        <v>200</v>
      </c>
      <c r="AC208">
        <f t="shared" si="526"/>
        <v>39380</v>
      </c>
      <c r="AD208">
        <f>_xlfn.XLOOKUP(B208,'[3]may-2025'!$A:$A,'[3]may-2025'!$C:$C,0,0)</f>
        <v>31600</v>
      </c>
      <c r="AE208">
        <f t="shared" si="527"/>
        <v>5688</v>
      </c>
      <c r="AF208">
        <f t="shared" si="528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517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529"/>
        <v>200</v>
      </c>
      <c r="AM208">
        <f t="shared" si="530"/>
        <v>39380</v>
      </c>
      <c r="AN208">
        <f>_xlfn.XLOOKUP(B208,'[4]june-2025'!$A:$A,'[4]june-2025'!$C:$C,0,0)</f>
        <v>31600</v>
      </c>
      <c r="AO208">
        <f t="shared" si="531"/>
        <v>5688</v>
      </c>
      <c r="AP208">
        <f t="shared" si="532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518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533"/>
        <v>200</v>
      </c>
      <c r="AW208">
        <f t="shared" si="534"/>
        <v>39380</v>
      </c>
      <c r="AX208">
        <f>_xlfn.XLOOKUP(B208,'[5]july-2025'!$A:$A,'[5]july-2025'!$C:$C,0,0)</f>
        <v>32500</v>
      </c>
      <c r="AY208">
        <f t="shared" si="535"/>
        <v>5850</v>
      </c>
      <c r="AZ208">
        <v>0</v>
      </c>
      <c r="BA208">
        <f t="shared" si="536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500"/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537"/>
        <v>200</v>
      </c>
      <c r="BH208">
        <f t="shared" si="538"/>
        <v>40550</v>
      </c>
      <c r="BI208">
        <f>_xlfn.XLOOKUP(B208,'[6]august-2025'!$A:$A,'[6]august-2025'!$C:$C,0,0)</f>
        <v>32500</v>
      </c>
      <c r="BJ208">
        <f t="shared" si="539"/>
        <v>5850</v>
      </c>
      <c r="BK208">
        <f t="shared" si="540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541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 t="shared" si="501"/>
        <v>200</v>
      </c>
      <c r="BR208">
        <f t="shared" si="502"/>
        <v>40550</v>
      </c>
      <c r="BS208">
        <f>_xlfn.XLOOKUP(B208,'[7]september-2025'!$A:$A,'[7]september-2025'!$C:$C,0,0)</f>
        <v>32500</v>
      </c>
      <c r="BT208">
        <f t="shared" si="542"/>
        <v>5850</v>
      </c>
      <c r="BU208">
        <f t="shared" si="543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503"/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544"/>
        <v>200</v>
      </c>
      <c r="CB208">
        <f t="shared" si="545"/>
        <v>40550</v>
      </c>
      <c r="CC208">
        <f>_xlfn.XLOOKUP(B208,'[8]october-2025'!$A:$A,'[8]october-2025'!$C:$C,0,0)</f>
        <v>32500</v>
      </c>
      <c r="CD208">
        <f t="shared" si="546"/>
        <v>5850</v>
      </c>
      <c r="CE208">
        <f t="shared" si="547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504"/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548"/>
        <v>200</v>
      </c>
      <c r="CL208">
        <f t="shared" si="549"/>
        <v>40550</v>
      </c>
      <c r="CM208">
        <f>_xlfn.XLOOKUP(B208,'[9]november-2025'!$A:$A,'[9]november-2025'!$C:$C,0,0)</f>
        <v>32500</v>
      </c>
      <c r="CN208">
        <f t="shared" si="550"/>
        <v>5850</v>
      </c>
      <c r="CO208">
        <f t="shared" si="551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505"/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552"/>
        <v>200</v>
      </c>
      <c r="CV208">
        <f t="shared" si="553"/>
        <v>40550</v>
      </c>
      <c r="CW208">
        <f>_xlfn.XLOOKUP(B208,'[10]december-2025'!$A:$A,'[10]december-2025'!$C:$C,0,0)</f>
        <v>32500</v>
      </c>
      <c r="CX208">
        <f t="shared" si="554"/>
        <v>5850</v>
      </c>
      <c r="CY208">
        <f t="shared" si="555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506"/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556"/>
        <v>200</v>
      </c>
      <c r="DF208">
        <f t="shared" si="557"/>
        <v>40550</v>
      </c>
      <c r="DG208">
        <f>_xlfn.XLOOKUP(B208,'[11]january-2026'!$A:$A,'[11]january-2026'!$C:$C,0,0)</f>
        <v>32500</v>
      </c>
      <c r="DH208">
        <f t="shared" si="558"/>
        <v>5850</v>
      </c>
      <c r="DI208">
        <f t="shared" si="559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07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60"/>
        <v>200</v>
      </c>
      <c r="DP208">
        <f t="shared" si="561"/>
        <v>40550</v>
      </c>
      <c r="DQ208">
        <f>_xlfn.XLOOKUP(B208,'[12]february-2026'!$A:$A,'[12]february-2026'!$C:$C,0,0)</f>
        <v>32500</v>
      </c>
      <c r="DR208">
        <f t="shared" si="562"/>
        <v>5850</v>
      </c>
      <c r="DS208">
        <f t="shared" si="563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08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64"/>
        <v>200</v>
      </c>
      <c r="DZ208">
        <f t="shared" si="565"/>
        <v>40550</v>
      </c>
      <c r="EA208">
        <f>_xlfn.XLOOKUP(B208,'[1]march-2025'!$A:$A,'[1]march-2025'!$J:$J,0,0)</f>
        <v>0</v>
      </c>
      <c r="EB208">
        <f>_xlfn.XLOOKUP(B208,'[2]april-2025'!$A:$A,'[2]april-2025'!$J:$J,0,0)</f>
        <v>0</v>
      </c>
      <c r="EC208">
        <f>_xlfn.XLOOKUP(B208,'[3]may-2025'!$A:$A,'[3]may-2025'!$J:$J,0,0)</f>
        <v>0</v>
      </c>
      <c r="ED208">
        <f>_xlfn.XLOOKUP(B208,'[4]june-2025'!$A:$A,'[4]june-2025'!$J:$J,0,0)</f>
        <v>0</v>
      </c>
      <c r="EE208">
        <f>_xlfn.XLOOKUP(B208,'[5]july-2025'!$A:$A,'[5]july-2025'!$J:$J,0,0)</f>
        <v>0</v>
      </c>
      <c r="EF208">
        <f>_xlfn.XLOOKUP(B208,'[6]august-2025'!$A:$A,'[6]august-2025'!$J:$J,0,0)</f>
        <v>0</v>
      </c>
      <c r="EG208">
        <f>_xlfn.XLOOKUP(B208,'[7]september-2025'!$A:$A,'[7]september-2025'!$J:$J,0,0)</f>
        <v>0</v>
      </c>
      <c r="EH208">
        <f>_xlfn.XLOOKUP(B208,'[8]october-2025'!$A:$A,'[8]october-2025'!$J:$J,0,0)</f>
        <v>0</v>
      </c>
      <c r="EI208">
        <f>_xlfn.XLOOKUP(C208,'[9]november-2025'!$A:$A,'[9]november-2025'!$J:$J,0,0)</f>
        <v>0</v>
      </c>
      <c r="EJ208">
        <f>_xlfn.XLOOKUP(B208,'[10]december-2025'!$A:$A,'[10]december-2025'!$J:$J,0,0)</f>
        <v>0</v>
      </c>
      <c r="EK208">
        <f>_xlfn.XLOOKUP(B208,'[11]january-2026'!$A:$A,'[11]january-2026'!$J:$J,0,0)</f>
        <v>0</v>
      </c>
      <c r="EL208">
        <f>_xlfn.XLOOKUP(B208,'[12]february-2026'!$A:$A,'[12]february-2026'!$J:$J,0,0)</f>
        <v>0</v>
      </c>
      <c r="EM208">
        <f t="shared" si="519"/>
        <v>0</v>
      </c>
      <c r="EN208">
        <f t="shared" si="509"/>
        <v>513856</v>
      </c>
      <c r="EO208">
        <f t="shared" si="510"/>
        <v>2400</v>
      </c>
      <c r="EP208">
        <f t="shared" si="566"/>
        <v>50000</v>
      </c>
      <c r="EQ208">
        <v>0</v>
      </c>
      <c r="ER208">
        <f t="shared" si="520"/>
        <v>461456</v>
      </c>
      <c r="ES208">
        <f t="shared" si="511"/>
        <v>24000</v>
      </c>
      <c r="ET208">
        <f t="shared" si="512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567"/>
        <v>24000</v>
      </c>
      <c r="FF208">
        <f t="shared" si="568"/>
        <v>24000</v>
      </c>
      <c r="FG208">
        <f t="shared" si="569"/>
        <v>437456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513"/>
        <v>0</v>
      </c>
      <c r="FP208">
        <f t="shared" si="570"/>
        <v>437456</v>
      </c>
      <c r="FQ208">
        <f t="shared" si="571"/>
        <v>9373</v>
      </c>
      <c r="FR208">
        <f t="shared" si="572"/>
        <v>0</v>
      </c>
      <c r="FS208">
        <f t="shared" si="573"/>
        <v>9373</v>
      </c>
      <c r="FT208">
        <f t="shared" si="574"/>
        <v>0</v>
      </c>
      <c r="FU208">
        <f t="shared" si="575"/>
        <v>0</v>
      </c>
      <c r="FV208">
        <f t="shared" si="576"/>
        <v>0</v>
      </c>
      <c r="FW208">
        <v>0</v>
      </c>
      <c r="FX208">
        <f t="shared" si="577"/>
        <v>0</v>
      </c>
      <c r="FY208" t="b">
        <f t="shared" si="578"/>
        <v>1</v>
      </c>
      <c r="FZ208">
        <f t="shared" ca="1" si="579"/>
        <v>626</v>
      </c>
      <c r="GA208">
        <f t="shared" ca="1" si="580"/>
        <v>514482</v>
      </c>
      <c r="GB208">
        <f t="shared" si="581"/>
        <v>75000</v>
      </c>
      <c r="GC208">
        <f t="shared" ca="1" si="582"/>
        <v>439482</v>
      </c>
      <c r="GD208">
        <f t="shared" ca="1" si="583"/>
        <v>0</v>
      </c>
      <c r="GE208">
        <f t="shared" ca="1" si="584"/>
        <v>0</v>
      </c>
      <c r="GF208">
        <f t="shared" ca="1" si="585"/>
        <v>0</v>
      </c>
      <c r="GG208">
        <f t="shared" ca="1" si="586"/>
        <v>0</v>
      </c>
      <c r="GH208">
        <f t="shared" ca="1" si="587"/>
        <v>0</v>
      </c>
      <c r="GI208">
        <f t="shared" ca="1" si="588"/>
        <v>0</v>
      </c>
      <c r="GJ208">
        <f t="shared" ca="1" si="514"/>
        <v>0</v>
      </c>
      <c r="GK208">
        <f t="shared" ca="1" si="589"/>
        <v>0</v>
      </c>
      <c r="GL208">
        <f t="shared" ca="1" si="590"/>
        <v>0</v>
      </c>
      <c r="GM208">
        <f t="shared" ca="1" si="591"/>
        <v>0</v>
      </c>
      <c r="GN208">
        <f t="shared" ca="1" si="592"/>
        <v>39482</v>
      </c>
      <c r="GO208">
        <f t="shared" ca="1" si="593"/>
        <v>1974.1000000000001</v>
      </c>
      <c r="GP208">
        <f t="shared" ca="1" si="594"/>
        <v>1974</v>
      </c>
      <c r="GQ208">
        <f t="shared" ca="1" si="595"/>
        <v>0</v>
      </c>
      <c r="GR208">
        <f t="shared" ca="1" si="596"/>
        <v>0</v>
      </c>
      <c r="GS208">
        <f t="shared" ca="1" si="597"/>
        <v>1974</v>
      </c>
      <c r="GT208">
        <f t="shared" ca="1" si="598"/>
        <v>0</v>
      </c>
      <c r="GU208" t="b">
        <f t="shared" ca="1" si="599"/>
        <v>0</v>
      </c>
      <c r="GV208">
        <f t="shared" ca="1" si="600"/>
        <v>0</v>
      </c>
      <c r="GW208">
        <f t="shared" ca="1" si="601"/>
        <v>1974</v>
      </c>
      <c r="GX208">
        <f t="shared" ca="1" si="602"/>
        <v>0</v>
      </c>
      <c r="GY208">
        <f t="shared" ca="1" si="603"/>
        <v>0</v>
      </c>
      <c r="GZ208">
        <f t="shared" ca="1" si="604"/>
        <v>0</v>
      </c>
    </row>
    <row r="209" spans="1:208" x14ac:dyDescent="0.3">
      <c r="A209">
        <f>_xlfn.AGGREGATE(3,5,$B$2:B209)</f>
        <v>208</v>
      </c>
      <c r="B209" t="s">
        <v>521</v>
      </c>
      <c r="C209" t="s">
        <v>522</v>
      </c>
      <c r="D209" t="s">
        <v>802</v>
      </c>
      <c r="E209" t="s">
        <v>832</v>
      </c>
      <c r="F209" t="s">
        <v>956</v>
      </c>
      <c r="G209" t="s">
        <v>875</v>
      </c>
      <c r="H209">
        <f t="shared" si="606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521"/>
        <v>6622.0000000000009</v>
      </c>
      <c r="L209">
        <f t="shared" si="522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 t="shared" si="499"/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605"/>
        <v>200</v>
      </c>
      <c r="S209">
        <f t="shared" si="515"/>
        <v>55298</v>
      </c>
      <c r="T209">
        <f>_xlfn.XLOOKUP(B209,'[2]april-2025'!$A:$A,'[2]april-2025'!$C:$C,0,0)</f>
        <v>47300</v>
      </c>
      <c r="U209">
        <f t="shared" si="523"/>
        <v>8514</v>
      </c>
      <c r="V209">
        <f t="shared" si="524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516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525"/>
        <v>200</v>
      </c>
      <c r="AC209">
        <f t="shared" si="526"/>
        <v>57190</v>
      </c>
      <c r="AD209">
        <f>_xlfn.XLOOKUP(B209,'[3]may-2025'!$A:$A,'[3]may-2025'!$C:$C,0,0)</f>
        <v>47300</v>
      </c>
      <c r="AE209">
        <f t="shared" si="527"/>
        <v>8514</v>
      </c>
      <c r="AF209">
        <f t="shared" si="528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517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529"/>
        <v>200</v>
      </c>
      <c r="AM209">
        <f t="shared" si="530"/>
        <v>57190</v>
      </c>
      <c r="AN209">
        <f>_xlfn.XLOOKUP(B209,'[4]june-2025'!$A:$A,'[4]june-2025'!$C:$C,0,0)</f>
        <v>47300</v>
      </c>
      <c r="AO209">
        <f t="shared" si="531"/>
        <v>8514</v>
      </c>
      <c r="AP209">
        <f t="shared" si="532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518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533"/>
        <v>200</v>
      </c>
      <c r="AW209">
        <f t="shared" si="534"/>
        <v>57190</v>
      </c>
      <c r="AX209">
        <f>_xlfn.XLOOKUP(B209,'[5]july-2025'!$A:$A,'[5]july-2025'!$C:$C,0,0)</f>
        <v>48700</v>
      </c>
      <c r="AY209">
        <f t="shared" si="535"/>
        <v>8766</v>
      </c>
      <c r="AZ209">
        <v>0</v>
      </c>
      <c r="BA209">
        <f t="shared" si="536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 t="shared" si="500"/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537"/>
        <v>200</v>
      </c>
      <c r="BH209">
        <f t="shared" si="538"/>
        <v>59010</v>
      </c>
      <c r="BI209">
        <f>_xlfn.XLOOKUP(B209,'[6]august-2025'!$A:$A,'[6]august-2025'!$C:$C,0,0)</f>
        <v>48700</v>
      </c>
      <c r="BJ209">
        <f t="shared" si="539"/>
        <v>8766</v>
      </c>
      <c r="BK209">
        <f t="shared" si="540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541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 t="shared" si="501"/>
        <v>200</v>
      </c>
      <c r="BR209">
        <f t="shared" si="502"/>
        <v>59010</v>
      </c>
      <c r="BS209">
        <f>_xlfn.XLOOKUP(B209,'[7]september-2025'!$A:$A,'[7]september-2025'!$C:$C,0,0)</f>
        <v>48700</v>
      </c>
      <c r="BT209">
        <f t="shared" si="542"/>
        <v>8766</v>
      </c>
      <c r="BU209">
        <f t="shared" si="543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 t="shared" si="503"/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544"/>
        <v>200</v>
      </c>
      <c r="CB209">
        <f t="shared" si="545"/>
        <v>59010</v>
      </c>
      <c r="CC209">
        <f>_xlfn.XLOOKUP(B209,'[8]october-2025'!$A:$A,'[8]october-2025'!$C:$C,0,0)</f>
        <v>48700</v>
      </c>
      <c r="CD209">
        <f t="shared" si="546"/>
        <v>8766</v>
      </c>
      <c r="CE209">
        <f t="shared" si="547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 t="shared" si="504"/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548"/>
        <v>200</v>
      </c>
      <c r="CL209">
        <f t="shared" si="549"/>
        <v>59010</v>
      </c>
      <c r="CM209">
        <f>_xlfn.XLOOKUP(B209,'[9]november-2025'!$A:$A,'[9]november-2025'!$C:$C,0,0)</f>
        <v>48700</v>
      </c>
      <c r="CN209">
        <f t="shared" si="550"/>
        <v>8766</v>
      </c>
      <c r="CO209">
        <f t="shared" si="551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 t="shared" si="505"/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552"/>
        <v>200</v>
      </c>
      <c r="CV209">
        <f t="shared" si="553"/>
        <v>59010</v>
      </c>
      <c r="CW209">
        <f>_xlfn.XLOOKUP(B209,'[10]december-2025'!$A:$A,'[10]december-2025'!$C:$C,0,0)</f>
        <v>48700</v>
      </c>
      <c r="CX209">
        <f t="shared" si="554"/>
        <v>8766</v>
      </c>
      <c r="CY209">
        <f t="shared" si="555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 t="shared" si="506"/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556"/>
        <v>200</v>
      </c>
      <c r="DF209">
        <f t="shared" si="557"/>
        <v>59010</v>
      </c>
      <c r="DG209">
        <f>_xlfn.XLOOKUP(B209,'[11]january-2026'!$A:$A,'[11]january-2026'!$C:$C,0,0)</f>
        <v>48700</v>
      </c>
      <c r="DH209">
        <f t="shared" si="558"/>
        <v>8766</v>
      </c>
      <c r="DI209">
        <f t="shared" si="559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07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60"/>
        <v>200</v>
      </c>
      <c r="DP209">
        <f t="shared" si="561"/>
        <v>59010</v>
      </c>
      <c r="DQ209">
        <f>_xlfn.XLOOKUP(B209,'[12]february-2026'!$A:$A,'[12]february-2026'!$C:$C,0,0)</f>
        <v>48700</v>
      </c>
      <c r="DR209">
        <f t="shared" si="562"/>
        <v>8766</v>
      </c>
      <c r="DS209">
        <f t="shared" si="563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08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64"/>
        <v>200</v>
      </c>
      <c r="DZ209">
        <f t="shared" si="565"/>
        <v>59010</v>
      </c>
      <c r="EA209">
        <f>_xlfn.XLOOKUP(B209,'[1]march-2025'!$A:$A,'[1]march-2025'!$J:$J,0,0)</f>
        <v>0</v>
      </c>
      <c r="EB209">
        <f>_xlfn.XLOOKUP(B209,'[2]april-2025'!$A:$A,'[2]april-2025'!$J:$J,0,0)</f>
        <v>0</v>
      </c>
      <c r="EC209">
        <f>_xlfn.XLOOKUP(B209,'[3]may-2025'!$A:$A,'[3]may-2025'!$J:$J,0,0)</f>
        <v>0</v>
      </c>
      <c r="ED209">
        <f>_xlfn.XLOOKUP(B209,'[4]june-2025'!$A:$A,'[4]june-2025'!$J:$J,0,0)</f>
        <v>0</v>
      </c>
      <c r="EE209">
        <f>_xlfn.XLOOKUP(B209,'[5]july-2025'!$A:$A,'[5]july-2025'!$J:$J,0,0)</f>
        <v>0</v>
      </c>
      <c r="EF209">
        <f>_xlfn.XLOOKUP(B209,'[6]august-2025'!$A:$A,'[6]august-2025'!$J:$J,0,0)</f>
        <v>0</v>
      </c>
      <c r="EG209">
        <f>_xlfn.XLOOKUP(B209,'[7]september-2025'!$A:$A,'[7]september-2025'!$J:$J,0,0)</f>
        <v>0</v>
      </c>
      <c r="EH209">
        <f>_xlfn.XLOOKUP(B209,'[8]october-2025'!$A:$A,'[8]october-2025'!$J:$J,0,0)</f>
        <v>0</v>
      </c>
      <c r="EI209">
        <f>_xlfn.XLOOKUP(C209,'[9]november-2025'!$A:$A,'[9]november-2025'!$J:$J,0,0)</f>
        <v>0</v>
      </c>
      <c r="EJ209">
        <f>_xlfn.XLOOKUP(B209,'[10]december-2025'!$A:$A,'[10]december-2025'!$J:$J,0,0)</f>
        <v>0</v>
      </c>
      <c r="EK209">
        <f>_xlfn.XLOOKUP(B209,'[11]january-2026'!$A:$A,'[11]january-2026'!$J:$J,0,0)</f>
        <v>0</v>
      </c>
      <c r="EL209">
        <f>_xlfn.XLOOKUP(B209,'[12]february-2026'!$A:$A,'[12]february-2026'!$J:$J,0,0)</f>
        <v>0</v>
      </c>
      <c r="EM209">
        <f t="shared" si="519"/>
        <v>0</v>
      </c>
      <c r="EN209">
        <f t="shared" si="509"/>
        <v>768148</v>
      </c>
      <c r="EO209">
        <f t="shared" si="510"/>
        <v>2400</v>
      </c>
      <c r="EP209">
        <f t="shared" si="566"/>
        <v>50000</v>
      </c>
      <c r="EQ209">
        <v>0</v>
      </c>
      <c r="ER209">
        <f t="shared" si="520"/>
        <v>715748</v>
      </c>
      <c r="ES209">
        <f t="shared" si="511"/>
        <v>60000</v>
      </c>
      <c r="ET209">
        <f t="shared" si="512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567"/>
        <v>60000</v>
      </c>
      <c r="FF209">
        <f t="shared" si="568"/>
        <v>60000</v>
      </c>
      <c r="FG209">
        <f t="shared" si="569"/>
        <v>655748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513"/>
        <v>0</v>
      </c>
      <c r="FP209">
        <f t="shared" si="570"/>
        <v>655748</v>
      </c>
      <c r="FQ209">
        <f t="shared" si="571"/>
        <v>12500</v>
      </c>
      <c r="FR209">
        <f t="shared" si="572"/>
        <v>31150</v>
      </c>
      <c r="FS209">
        <f t="shared" si="573"/>
        <v>43650</v>
      </c>
      <c r="FT209">
        <f t="shared" si="574"/>
        <v>43650</v>
      </c>
      <c r="FU209">
        <f t="shared" si="575"/>
        <v>1746</v>
      </c>
      <c r="FV209">
        <f t="shared" si="576"/>
        <v>45396</v>
      </c>
      <c r="FW209">
        <v>0</v>
      </c>
      <c r="FX209">
        <f t="shared" si="577"/>
        <v>45396</v>
      </c>
      <c r="FY209" t="b">
        <f t="shared" si="578"/>
        <v>1</v>
      </c>
      <c r="FZ209">
        <f t="shared" ca="1" si="579"/>
        <v>659</v>
      </c>
      <c r="GA209">
        <f t="shared" ca="1" si="580"/>
        <v>768807</v>
      </c>
      <c r="GB209">
        <f t="shared" si="581"/>
        <v>75000</v>
      </c>
      <c r="GC209">
        <f t="shared" ca="1" si="582"/>
        <v>693807</v>
      </c>
      <c r="GD209">
        <f t="shared" ca="1" si="583"/>
        <v>0</v>
      </c>
      <c r="GE209">
        <f t="shared" ca="1" si="584"/>
        <v>0</v>
      </c>
      <c r="GF209">
        <f t="shared" ca="1" si="585"/>
        <v>0</v>
      </c>
      <c r="GG209">
        <f t="shared" ca="1" si="586"/>
        <v>0</v>
      </c>
      <c r="GH209">
        <f t="shared" ca="1" si="587"/>
        <v>0</v>
      </c>
      <c r="GI209">
        <f t="shared" ca="1" si="588"/>
        <v>0</v>
      </c>
      <c r="GJ209">
        <f t="shared" ca="1" si="514"/>
        <v>0</v>
      </c>
      <c r="GK209">
        <f t="shared" ca="1" si="589"/>
        <v>0</v>
      </c>
      <c r="GL209">
        <f t="shared" ca="1" si="590"/>
        <v>0</v>
      </c>
      <c r="GM209">
        <f t="shared" ca="1" si="591"/>
        <v>0</v>
      </c>
      <c r="GN209">
        <f t="shared" ca="1" si="592"/>
        <v>293807</v>
      </c>
      <c r="GO209">
        <f t="shared" ca="1" si="593"/>
        <v>14690.35</v>
      </c>
      <c r="GP209">
        <f t="shared" ca="1" si="594"/>
        <v>14690</v>
      </c>
      <c r="GQ209">
        <f t="shared" ca="1" si="595"/>
        <v>0</v>
      </c>
      <c r="GR209">
        <f t="shared" ca="1" si="596"/>
        <v>0</v>
      </c>
      <c r="GS209">
        <f t="shared" ca="1" si="597"/>
        <v>14690</v>
      </c>
      <c r="GT209">
        <f t="shared" ca="1" si="598"/>
        <v>0</v>
      </c>
      <c r="GU209" t="b">
        <f t="shared" ca="1" si="599"/>
        <v>0</v>
      </c>
      <c r="GV209">
        <f t="shared" ca="1" si="600"/>
        <v>0</v>
      </c>
      <c r="GW209">
        <f t="shared" ca="1" si="601"/>
        <v>14690</v>
      </c>
      <c r="GX209">
        <f t="shared" ca="1" si="602"/>
        <v>0</v>
      </c>
      <c r="GY209">
        <f t="shared" ca="1" si="603"/>
        <v>0</v>
      </c>
      <c r="GZ209">
        <f t="shared" ca="1" si="604"/>
        <v>0</v>
      </c>
    </row>
    <row r="210" spans="1:208" x14ac:dyDescent="0.3">
      <c r="A210">
        <f>_xlfn.AGGREGATE(3,5,$B$2:B210)</f>
        <v>209</v>
      </c>
      <c r="B210" t="s">
        <v>523</v>
      </c>
      <c r="C210" t="s">
        <v>524</v>
      </c>
      <c r="D210" t="s">
        <v>802</v>
      </c>
      <c r="E210" t="s">
        <v>830</v>
      </c>
      <c r="F210" t="s">
        <v>956</v>
      </c>
      <c r="G210" t="s">
        <v>875</v>
      </c>
      <c r="H210">
        <f t="shared" si="606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521"/>
        <v>6622.0000000000009</v>
      </c>
      <c r="L210">
        <f t="shared" si="522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499"/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605"/>
        <v>200</v>
      </c>
      <c r="S210">
        <f t="shared" si="515"/>
        <v>53898</v>
      </c>
      <c r="T210">
        <f>_xlfn.XLOOKUP(B210,'[2]april-2025'!$A:$A,'[2]april-2025'!$C:$C,0,0)</f>
        <v>47300</v>
      </c>
      <c r="U210">
        <f t="shared" si="523"/>
        <v>8514</v>
      </c>
      <c r="V210">
        <f t="shared" si="524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516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525"/>
        <v>200</v>
      </c>
      <c r="AC210">
        <f t="shared" si="526"/>
        <v>55790</v>
      </c>
      <c r="AD210">
        <f>_xlfn.XLOOKUP(B210,'[3]may-2025'!$A:$A,'[3]may-2025'!$C:$C,0,0)</f>
        <v>47300</v>
      </c>
      <c r="AE210">
        <f t="shared" si="527"/>
        <v>8514</v>
      </c>
      <c r="AF210">
        <f t="shared" si="528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517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529"/>
        <v>200</v>
      </c>
      <c r="AM210">
        <f t="shared" si="530"/>
        <v>55790</v>
      </c>
      <c r="AN210">
        <f>_xlfn.XLOOKUP(B210,'[4]june-2025'!$A:$A,'[4]june-2025'!$C:$C,0,0)</f>
        <v>47300</v>
      </c>
      <c r="AO210">
        <f t="shared" si="531"/>
        <v>8514</v>
      </c>
      <c r="AP210">
        <f t="shared" si="532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518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533"/>
        <v>200</v>
      </c>
      <c r="AW210">
        <f t="shared" si="534"/>
        <v>55790</v>
      </c>
      <c r="AX210">
        <f>_xlfn.XLOOKUP(B210,'[5]july-2025'!$A:$A,'[5]july-2025'!$C:$C,0,0)</f>
        <v>48700</v>
      </c>
      <c r="AY210">
        <f t="shared" si="535"/>
        <v>8766</v>
      </c>
      <c r="AZ210">
        <v>0</v>
      </c>
      <c r="BA210">
        <f t="shared" si="536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500"/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537"/>
        <v>200</v>
      </c>
      <c r="BH210">
        <f t="shared" si="538"/>
        <v>57610</v>
      </c>
      <c r="BI210">
        <f>_xlfn.XLOOKUP(B210,'[6]august-2025'!$A:$A,'[6]august-2025'!$C:$C,0,0)</f>
        <v>48700</v>
      </c>
      <c r="BJ210">
        <f t="shared" si="539"/>
        <v>8766</v>
      </c>
      <c r="BK210">
        <f t="shared" si="540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541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 t="shared" si="501"/>
        <v>200</v>
      </c>
      <c r="BR210">
        <f t="shared" si="502"/>
        <v>57610</v>
      </c>
      <c r="BS210">
        <f>_xlfn.XLOOKUP(B210,'[7]september-2025'!$A:$A,'[7]september-2025'!$C:$C,0,0)</f>
        <v>48700</v>
      </c>
      <c r="BT210">
        <f t="shared" si="542"/>
        <v>8766</v>
      </c>
      <c r="BU210">
        <f t="shared" si="543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503"/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544"/>
        <v>200</v>
      </c>
      <c r="CB210">
        <f t="shared" si="545"/>
        <v>57610</v>
      </c>
      <c r="CC210">
        <f>_xlfn.XLOOKUP(B210,'[8]october-2025'!$A:$A,'[8]october-2025'!$C:$C,0,0)</f>
        <v>48700</v>
      </c>
      <c r="CD210">
        <f t="shared" si="546"/>
        <v>8766</v>
      </c>
      <c r="CE210">
        <f t="shared" si="547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504"/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548"/>
        <v>200</v>
      </c>
      <c r="CL210">
        <f t="shared" si="549"/>
        <v>57610</v>
      </c>
      <c r="CM210">
        <f>_xlfn.XLOOKUP(B210,'[9]november-2025'!$A:$A,'[9]november-2025'!$C:$C,0,0)</f>
        <v>48700</v>
      </c>
      <c r="CN210">
        <f t="shared" si="550"/>
        <v>8766</v>
      </c>
      <c r="CO210">
        <f t="shared" si="551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505"/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552"/>
        <v>200</v>
      </c>
      <c r="CV210">
        <f t="shared" si="553"/>
        <v>57610</v>
      </c>
      <c r="CW210">
        <f>_xlfn.XLOOKUP(B210,'[10]december-2025'!$A:$A,'[10]december-2025'!$C:$C,0,0)</f>
        <v>48700</v>
      </c>
      <c r="CX210">
        <f t="shared" si="554"/>
        <v>8766</v>
      </c>
      <c r="CY210">
        <f t="shared" si="555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506"/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556"/>
        <v>200</v>
      </c>
      <c r="DF210">
        <f t="shared" si="557"/>
        <v>57610</v>
      </c>
      <c r="DG210">
        <f>_xlfn.XLOOKUP(B210,'[11]january-2026'!$A:$A,'[11]january-2026'!$C:$C,0,0)</f>
        <v>48700</v>
      </c>
      <c r="DH210">
        <f t="shared" si="558"/>
        <v>8766</v>
      </c>
      <c r="DI210">
        <f t="shared" si="559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07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60"/>
        <v>200</v>
      </c>
      <c r="DP210">
        <f t="shared" si="561"/>
        <v>57610</v>
      </c>
      <c r="DQ210">
        <f>_xlfn.XLOOKUP(B210,'[12]february-2026'!$A:$A,'[12]february-2026'!$C:$C,0,0)</f>
        <v>48700</v>
      </c>
      <c r="DR210">
        <f t="shared" si="562"/>
        <v>8766</v>
      </c>
      <c r="DS210">
        <f t="shared" si="563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08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64"/>
        <v>200</v>
      </c>
      <c r="DZ210">
        <f t="shared" si="565"/>
        <v>57610</v>
      </c>
      <c r="EA210">
        <f>_xlfn.XLOOKUP(B210,'[1]march-2025'!$A:$A,'[1]march-2025'!$J:$J,0,0)</f>
        <v>0</v>
      </c>
      <c r="EB210">
        <f>_xlfn.XLOOKUP(B210,'[2]april-2025'!$A:$A,'[2]april-2025'!$J:$J,0,0)</f>
        <v>0</v>
      </c>
      <c r="EC210">
        <f>_xlfn.XLOOKUP(B210,'[3]may-2025'!$A:$A,'[3]may-2025'!$J:$J,0,0)</f>
        <v>0</v>
      </c>
      <c r="ED210">
        <f>_xlfn.XLOOKUP(B210,'[4]june-2025'!$A:$A,'[4]june-2025'!$J:$J,0,0)</f>
        <v>0</v>
      </c>
      <c r="EE210">
        <f>_xlfn.XLOOKUP(B210,'[5]july-2025'!$A:$A,'[5]july-2025'!$J:$J,0,0)</f>
        <v>0</v>
      </c>
      <c r="EF210">
        <f>_xlfn.XLOOKUP(B210,'[6]august-2025'!$A:$A,'[6]august-2025'!$J:$J,0,0)</f>
        <v>0</v>
      </c>
      <c r="EG210">
        <f>_xlfn.XLOOKUP(B210,'[7]september-2025'!$A:$A,'[7]september-2025'!$J:$J,0,0)</f>
        <v>0</v>
      </c>
      <c r="EH210">
        <f>_xlfn.XLOOKUP(B210,'[8]october-2025'!$A:$A,'[8]october-2025'!$J:$J,0,0)</f>
        <v>0</v>
      </c>
      <c r="EI210">
        <f>_xlfn.XLOOKUP(C210,'[9]november-2025'!$A:$A,'[9]november-2025'!$J:$J,0,0)</f>
        <v>0</v>
      </c>
      <c r="EJ210">
        <f>_xlfn.XLOOKUP(B210,'[10]december-2025'!$A:$A,'[10]december-2025'!$J:$J,0,0)</f>
        <v>0</v>
      </c>
      <c r="EK210">
        <f>_xlfn.XLOOKUP(B210,'[11]january-2026'!$A:$A,'[11]january-2026'!$J:$J,0,0)</f>
        <v>0</v>
      </c>
      <c r="EL210">
        <f>_xlfn.XLOOKUP(B210,'[12]february-2026'!$A:$A,'[12]february-2026'!$J:$J,0,0)</f>
        <v>0</v>
      </c>
      <c r="EM210">
        <f t="shared" si="519"/>
        <v>0</v>
      </c>
      <c r="EN210">
        <f t="shared" si="509"/>
        <v>763348</v>
      </c>
      <c r="EO210">
        <f t="shared" si="510"/>
        <v>2400</v>
      </c>
      <c r="EP210">
        <f t="shared" si="566"/>
        <v>50000</v>
      </c>
      <c r="EQ210">
        <v>0</v>
      </c>
      <c r="ER210">
        <f t="shared" si="520"/>
        <v>710948</v>
      </c>
      <c r="ES210">
        <f t="shared" si="511"/>
        <v>72000</v>
      </c>
      <c r="ET210">
        <f t="shared" si="512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567"/>
        <v>72000</v>
      </c>
      <c r="FF210">
        <f t="shared" si="568"/>
        <v>72000</v>
      </c>
      <c r="FG210">
        <f t="shared" si="569"/>
        <v>638948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513"/>
        <v>0</v>
      </c>
      <c r="FP210">
        <f t="shared" si="570"/>
        <v>638948</v>
      </c>
      <c r="FQ210">
        <f t="shared" si="571"/>
        <v>12500</v>
      </c>
      <c r="FR210">
        <f t="shared" si="572"/>
        <v>27790</v>
      </c>
      <c r="FS210">
        <f t="shared" si="573"/>
        <v>40290</v>
      </c>
      <c r="FT210">
        <f t="shared" si="574"/>
        <v>40290</v>
      </c>
      <c r="FU210">
        <f t="shared" si="575"/>
        <v>1611.6000000000001</v>
      </c>
      <c r="FV210">
        <f t="shared" si="576"/>
        <v>41902</v>
      </c>
      <c r="FW210">
        <v>0</v>
      </c>
      <c r="FX210">
        <f t="shared" si="577"/>
        <v>41902</v>
      </c>
      <c r="FY210" t="b">
        <f t="shared" si="578"/>
        <v>1</v>
      </c>
      <c r="FZ210">
        <f t="shared" ca="1" si="579"/>
        <v>809</v>
      </c>
      <c r="GA210">
        <f t="shared" ca="1" si="580"/>
        <v>764157</v>
      </c>
      <c r="GB210">
        <f t="shared" si="581"/>
        <v>75000</v>
      </c>
      <c r="GC210">
        <f t="shared" ca="1" si="582"/>
        <v>689157</v>
      </c>
      <c r="GD210">
        <f t="shared" ca="1" si="583"/>
        <v>0</v>
      </c>
      <c r="GE210">
        <f t="shared" ca="1" si="584"/>
        <v>0</v>
      </c>
      <c r="GF210">
        <f t="shared" ca="1" si="585"/>
        <v>0</v>
      </c>
      <c r="GG210">
        <f t="shared" ca="1" si="586"/>
        <v>0</v>
      </c>
      <c r="GH210">
        <f t="shared" ca="1" si="587"/>
        <v>0</v>
      </c>
      <c r="GI210">
        <f t="shared" ca="1" si="588"/>
        <v>0</v>
      </c>
      <c r="GJ210">
        <f t="shared" ca="1" si="514"/>
        <v>0</v>
      </c>
      <c r="GK210">
        <f t="shared" ca="1" si="589"/>
        <v>0</v>
      </c>
      <c r="GL210">
        <f t="shared" ca="1" si="590"/>
        <v>0</v>
      </c>
      <c r="GM210">
        <f t="shared" ca="1" si="591"/>
        <v>0</v>
      </c>
      <c r="GN210">
        <f t="shared" ca="1" si="592"/>
        <v>289157</v>
      </c>
      <c r="GO210">
        <f t="shared" ca="1" si="593"/>
        <v>14457.85</v>
      </c>
      <c r="GP210">
        <f t="shared" ca="1" si="594"/>
        <v>14458</v>
      </c>
      <c r="GQ210">
        <f t="shared" ca="1" si="595"/>
        <v>0</v>
      </c>
      <c r="GR210">
        <f t="shared" ca="1" si="596"/>
        <v>0</v>
      </c>
      <c r="GS210">
        <f t="shared" ca="1" si="597"/>
        <v>14458</v>
      </c>
      <c r="GT210">
        <f t="shared" ca="1" si="598"/>
        <v>0</v>
      </c>
      <c r="GU210" t="b">
        <f t="shared" ca="1" si="599"/>
        <v>0</v>
      </c>
      <c r="GV210">
        <f t="shared" ca="1" si="600"/>
        <v>0</v>
      </c>
      <c r="GW210">
        <f t="shared" ca="1" si="601"/>
        <v>14458</v>
      </c>
      <c r="GX210">
        <f t="shared" ca="1" si="602"/>
        <v>0</v>
      </c>
      <c r="GY210">
        <f t="shared" ca="1" si="603"/>
        <v>0</v>
      </c>
      <c r="GZ210">
        <f t="shared" ca="1" si="604"/>
        <v>0</v>
      </c>
    </row>
    <row r="211" spans="1:208" x14ac:dyDescent="0.3">
      <c r="A211">
        <f>_xlfn.AGGREGATE(3,5,$B$2:B211)</f>
        <v>210</v>
      </c>
      <c r="B211" t="s">
        <v>525</v>
      </c>
      <c r="C211" t="s">
        <v>526</v>
      </c>
      <c r="D211" t="s">
        <v>802</v>
      </c>
      <c r="E211" t="s">
        <v>830</v>
      </c>
      <c r="F211" t="s">
        <v>956</v>
      </c>
      <c r="G211" t="s">
        <v>878</v>
      </c>
      <c r="H211">
        <f t="shared" si="606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521"/>
        <v>4424</v>
      </c>
      <c r="L211">
        <f t="shared" si="522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499"/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605"/>
        <v>200</v>
      </c>
      <c r="S211">
        <f t="shared" si="515"/>
        <v>38116</v>
      </c>
      <c r="T211">
        <f>_xlfn.XLOOKUP(B211,'[2]april-2025'!$A:$A,'[2]april-2025'!$C:$C,0,0)</f>
        <v>31600</v>
      </c>
      <c r="U211">
        <f t="shared" si="523"/>
        <v>5688</v>
      </c>
      <c r="V211">
        <f t="shared" si="524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516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525"/>
        <v>200</v>
      </c>
      <c r="AC211">
        <f t="shared" si="526"/>
        <v>39380</v>
      </c>
      <c r="AD211">
        <f>_xlfn.XLOOKUP(B211,'[3]may-2025'!$A:$A,'[3]may-2025'!$C:$C,0,0)</f>
        <v>31600</v>
      </c>
      <c r="AE211">
        <f t="shared" si="527"/>
        <v>5688</v>
      </c>
      <c r="AF211">
        <f t="shared" si="528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517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529"/>
        <v>200</v>
      </c>
      <c r="AM211">
        <f t="shared" si="530"/>
        <v>39380</v>
      </c>
      <c r="AN211">
        <f>_xlfn.XLOOKUP(B211,'[4]june-2025'!$A:$A,'[4]june-2025'!$C:$C,0,0)</f>
        <v>31600</v>
      </c>
      <c r="AO211">
        <f t="shared" si="531"/>
        <v>5688</v>
      </c>
      <c r="AP211">
        <f t="shared" si="532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518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533"/>
        <v>200</v>
      </c>
      <c r="AW211">
        <f t="shared" si="534"/>
        <v>39380</v>
      </c>
      <c r="AX211">
        <f>_xlfn.XLOOKUP(B211,'[5]july-2025'!$A:$A,'[5]july-2025'!$C:$C,0,0)</f>
        <v>32500</v>
      </c>
      <c r="AY211">
        <f t="shared" si="535"/>
        <v>5850</v>
      </c>
      <c r="AZ211">
        <v>0</v>
      </c>
      <c r="BA211">
        <f t="shared" si="536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500"/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537"/>
        <v>200</v>
      </c>
      <c r="BH211">
        <f t="shared" si="538"/>
        <v>40550</v>
      </c>
      <c r="BI211">
        <f>_xlfn.XLOOKUP(B211,'[6]august-2025'!$A:$A,'[6]august-2025'!$C:$C,0,0)</f>
        <v>32500</v>
      </c>
      <c r="BJ211">
        <f t="shared" si="539"/>
        <v>5850</v>
      </c>
      <c r="BK211">
        <f t="shared" si="540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541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 t="shared" si="501"/>
        <v>200</v>
      </c>
      <c r="BR211">
        <f t="shared" si="502"/>
        <v>40550</v>
      </c>
      <c r="BS211">
        <f>_xlfn.XLOOKUP(B211,'[7]september-2025'!$A:$A,'[7]september-2025'!$C:$C,0,0)</f>
        <v>32500</v>
      </c>
      <c r="BT211">
        <f t="shared" si="542"/>
        <v>5850</v>
      </c>
      <c r="BU211">
        <f t="shared" si="543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503"/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544"/>
        <v>200</v>
      </c>
      <c r="CB211">
        <f t="shared" si="545"/>
        <v>40550</v>
      </c>
      <c r="CC211">
        <f>_xlfn.XLOOKUP(B211,'[8]october-2025'!$A:$A,'[8]october-2025'!$C:$C,0,0)</f>
        <v>32500</v>
      </c>
      <c r="CD211">
        <f t="shared" si="546"/>
        <v>5850</v>
      </c>
      <c r="CE211">
        <f t="shared" si="547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504"/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548"/>
        <v>200</v>
      </c>
      <c r="CL211">
        <f t="shared" si="549"/>
        <v>40550</v>
      </c>
      <c r="CM211">
        <f>_xlfn.XLOOKUP(B211,'[9]november-2025'!$A:$A,'[9]november-2025'!$C:$C,0,0)</f>
        <v>32500</v>
      </c>
      <c r="CN211">
        <f t="shared" si="550"/>
        <v>5850</v>
      </c>
      <c r="CO211">
        <f t="shared" si="551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505"/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552"/>
        <v>200</v>
      </c>
      <c r="CV211">
        <f t="shared" si="553"/>
        <v>40550</v>
      </c>
      <c r="CW211">
        <f>_xlfn.XLOOKUP(B211,'[10]december-2025'!$A:$A,'[10]december-2025'!$C:$C,0,0)</f>
        <v>32500</v>
      </c>
      <c r="CX211">
        <f t="shared" si="554"/>
        <v>5850</v>
      </c>
      <c r="CY211">
        <f t="shared" si="555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506"/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556"/>
        <v>200</v>
      </c>
      <c r="DF211">
        <f t="shared" si="557"/>
        <v>40550</v>
      </c>
      <c r="DG211">
        <f>_xlfn.XLOOKUP(B211,'[11]january-2026'!$A:$A,'[11]january-2026'!$C:$C,0,0)</f>
        <v>32500</v>
      </c>
      <c r="DH211">
        <f t="shared" si="558"/>
        <v>5850</v>
      </c>
      <c r="DI211">
        <f t="shared" si="559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07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60"/>
        <v>200</v>
      </c>
      <c r="DP211">
        <f t="shared" si="561"/>
        <v>40550</v>
      </c>
      <c r="DQ211">
        <f>_xlfn.XLOOKUP(B211,'[12]february-2026'!$A:$A,'[12]february-2026'!$C:$C,0,0)</f>
        <v>32500</v>
      </c>
      <c r="DR211">
        <f t="shared" si="562"/>
        <v>5850</v>
      </c>
      <c r="DS211">
        <f t="shared" si="563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08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64"/>
        <v>200</v>
      </c>
      <c r="DZ211">
        <f t="shared" si="565"/>
        <v>40550</v>
      </c>
      <c r="EA211">
        <f>_xlfn.XLOOKUP(B211,'[1]march-2025'!$A:$A,'[1]march-2025'!$J:$J,0,0)</f>
        <v>0</v>
      </c>
      <c r="EB211">
        <f>_xlfn.XLOOKUP(B211,'[2]april-2025'!$A:$A,'[2]april-2025'!$J:$J,0,0)</f>
        <v>0</v>
      </c>
      <c r="EC211">
        <f>_xlfn.XLOOKUP(B211,'[3]may-2025'!$A:$A,'[3]may-2025'!$J:$J,0,0)</f>
        <v>0</v>
      </c>
      <c r="ED211">
        <f>_xlfn.XLOOKUP(B211,'[4]june-2025'!$A:$A,'[4]june-2025'!$J:$J,0,0)</f>
        <v>0</v>
      </c>
      <c r="EE211">
        <f>_xlfn.XLOOKUP(B211,'[5]july-2025'!$A:$A,'[5]july-2025'!$J:$J,0,0)</f>
        <v>0</v>
      </c>
      <c r="EF211">
        <f>_xlfn.XLOOKUP(B211,'[6]august-2025'!$A:$A,'[6]august-2025'!$J:$J,0,0)</f>
        <v>0</v>
      </c>
      <c r="EG211">
        <f>_xlfn.XLOOKUP(B211,'[7]september-2025'!$A:$A,'[7]september-2025'!$J:$J,0,0)</f>
        <v>0</v>
      </c>
      <c r="EH211">
        <f>_xlfn.XLOOKUP(B211,'[8]october-2025'!$A:$A,'[8]october-2025'!$J:$J,0,0)</f>
        <v>0</v>
      </c>
      <c r="EI211">
        <f>_xlfn.XLOOKUP(C211,'[9]november-2025'!$A:$A,'[9]november-2025'!$J:$J,0,0)</f>
        <v>0</v>
      </c>
      <c r="EJ211">
        <f>_xlfn.XLOOKUP(B211,'[10]december-2025'!$A:$A,'[10]december-2025'!$J:$J,0,0)</f>
        <v>0</v>
      </c>
      <c r="EK211">
        <f>_xlfn.XLOOKUP(B211,'[11]january-2026'!$A:$A,'[11]january-2026'!$J:$J,0,0)</f>
        <v>0</v>
      </c>
      <c r="EL211">
        <f>_xlfn.XLOOKUP(B211,'[12]february-2026'!$A:$A,'[12]february-2026'!$J:$J,0,0)</f>
        <v>0</v>
      </c>
      <c r="EM211">
        <f t="shared" si="519"/>
        <v>0</v>
      </c>
      <c r="EN211">
        <f t="shared" si="509"/>
        <v>513856</v>
      </c>
      <c r="EO211">
        <f t="shared" si="510"/>
        <v>2400</v>
      </c>
      <c r="EP211">
        <f t="shared" si="566"/>
        <v>50000</v>
      </c>
      <c r="EQ211">
        <v>0</v>
      </c>
      <c r="ER211">
        <f t="shared" si="520"/>
        <v>461456</v>
      </c>
      <c r="ES211">
        <f t="shared" si="511"/>
        <v>24000</v>
      </c>
      <c r="ET211">
        <f t="shared" si="512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567"/>
        <v>24000</v>
      </c>
      <c r="FF211">
        <f t="shared" si="568"/>
        <v>24000</v>
      </c>
      <c r="FG211">
        <f t="shared" si="569"/>
        <v>437456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513"/>
        <v>0</v>
      </c>
      <c r="FP211">
        <f t="shared" si="570"/>
        <v>437456</v>
      </c>
      <c r="FQ211">
        <f t="shared" si="571"/>
        <v>9373</v>
      </c>
      <c r="FR211">
        <f t="shared" si="572"/>
        <v>0</v>
      </c>
      <c r="FS211">
        <f t="shared" si="573"/>
        <v>9373</v>
      </c>
      <c r="FT211">
        <f t="shared" si="574"/>
        <v>0</v>
      </c>
      <c r="FU211">
        <f t="shared" si="575"/>
        <v>0</v>
      </c>
      <c r="FV211">
        <f t="shared" si="576"/>
        <v>0</v>
      </c>
      <c r="FW211">
        <v>0</v>
      </c>
      <c r="FX211">
        <f t="shared" si="577"/>
        <v>0</v>
      </c>
      <c r="FY211" t="b">
        <f t="shared" si="578"/>
        <v>1</v>
      </c>
      <c r="FZ211">
        <f t="shared" ca="1" si="579"/>
        <v>873</v>
      </c>
      <c r="GA211">
        <f t="shared" ca="1" si="580"/>
        <v>514729</v>
      </c>
      <c r="GB211">
        <f t="shared" si="581"/>
        <v>75000</v>
      </c>
      <c r="GC211">
        <f t="shared" ca="1" si="582"/>
        <v>439729</v>
      </c>
      <c r="GD211">
        <f t="shared" ca="1" si="583"/>
        <v>0</v>
      </c>
      <c r="GE211">
        <f t="shared" ca="1" si="584"/>
        <v>0</v>
      </c>
      <c r="GF211">
        <f t="shared" ca="1" si="585"/>
        <v>0</v>
      </c>
      <c r="GG211">
        <f t="shared" ca="1" si="586"/>
        <v>0</v>
      </c>
      <c r="GH211">
        <f t="shared" ca="1" si="587"/>
        <v>0</v>
      </c>
      <c r="GI211">
        <f t="shared" ca="1" si="588"/>
        <v>0</v>
      </c>
      <c r="GJ211">
        <f t="shared" ca="1" si="514"/>
        <v>0</v>
      </c>
      <c r="GK211">
        <f t="shared" ca="1" si="589"/>
        <v>0</v>
      </c>
      <c r="GL211">
        <f t="shared" ca="1" si="590"/>
        <v>0</v>
      </c>
      <c r="GM211">
        <f t="shared" ca="1" si="591"/>
        <v>0</v>
      </c>
      <c r="GN211">
        <f t="shared" ca="1" si="592"/>
        <v>39729</v>
      </c>
      <c r="GO211">
        <f t="shared" ca="1" si="593"/>
        <v>1986.45</v>
      </c>
      <c r="GP211">
        <f t="shared" ca="1" si="594"/>
        <v>1986</v>
      </c>
      <c r="GQ211">
        <f t="shared" ca="1" si="595"/>
        <v>0</v>
      </c>
      <c r="GR211">
        <f t="shared" ca="1" si="596"/>
        <v>0</v>
      </c>
      <c r="GS211">
        <f t="shared" ca="1" si="597"/>
        <v>1986</v>
      </c>
      <c r="GT211">
        <f t="shared" ca="1" si="598"/>
        <v>0</v>
      </c>
      <c r="GU211" t="b">
        <f t="shared" ca="1" si="599"/>
        <v>0</v>
      </c>
      <c r="GV211">
        <f t="shared" ca="1" si="600"/>
        <v>0</v>
      </c>
      <c r="GW211">
        <f t="shared" ca="1" si="601"/>
        <v>1986</v>
      </c>
      <c r="GX211">
        <f t="shared" ca="1" si="602"/>
        <v>0</v>
      </c>
      <c r="GY211">
        <f t="shared" ca="1" si="603"/>
        <v>0</v>
      </c>
      <c r="GZ211">
        <f t="shared" ca="1" si="604"/>
        <v>0</v>
      </c>
    </row>
    <row r="212" spans="1:208" x14ac:dyDescent="0.3">
      <c r="A212">
        <f>_xlfn.AGGREGATE(3,5,$B$2:B212)</f>
        <v>211</v>
      </c>
      <c r="B212" t="s">
        <v>527</v>
      </c>
      <c r="C212" t="s">
        <v>528</v>
      </c>
      <c r="D212" t="s">
        <v>803</v>
      </c>
      <c r="E212" t="s">
        <v>831</v>
      </c>
      <c r="F212" t="s">
        <v>956</v>
      </c>
      <c r="G212" t="s">
        <v>884</v>
      </c>
      <c r="H212">
        <f t="shared" si="606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521"/>
        <v>6818.0000000000009</v>
      </c>
      <c r="L212">
        <f t="shared" si="522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 t="shared" si="499"/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605"/>
        <v>200</v>
      </c>
      <c r="S212">
        <f t="shared" si="515"/>
        <v>58002</v>
      </c>
      <c r="T212">
        <f>_xlfn.XLOOKUP(B212,'[2]april-2025'!$A:$A,'[2]april-2025'!$C:$C,0,0)</f>
        <v>48700</v>
      </c>
      <c r="U212">
        <f t="shared" si="523"/>
        <v>8766</v>
      </c>
      <c r="V212">
        <f t="shared" si="524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516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525"/>
        <v>200</v>
      </c>
      <c r="AC212">
        <f t="shared" si="526"/>
        <v>59950</v>
      </c>
      <c r="AD212">
        <f>_xlfn.XLOOKUP(B212,'[3]may-2025'!$A:$A,'[3]may-2025'!$C:$C,0,0)</f>
        <v>48700</v>
      </c>
      <c r="AE212">
        <f t="shared" si="527"/>
        <v>8766</v>
      </c>
      <c r="AF212">
        <f t="shared" si="528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517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529"/>
        <v>200</v>
      </c>
      <c r="AM212">
        <f t="shared" si="530"/>
        <v>59950</v>
      </c>
      <c r="AN212">
        <f>_xlfn.XLOOKUP(B212,'[4]june-2025'!$A:$A,'[4]june-2025'!$C:$C,0,0)</f>
        <v>48700</v>
      </c>
      <c r="AO212">
        <f t="shared" si="531"/>
        <v>8766</v>
      </c>
      <c r="AP212">
        <f t="shared" si="532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518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533"/>
        <v>200</v>
      </c>
      <c r="AW212">
        <f t="shared" si="534"/>
        <v>59950</v>
      </c>
      <c r="AX212">
        <f>_xlfn.XLOOKUP(B212,'[5]july-2025'!$A:$A,'[5]july-2025'!$C:$C,0,0)</f>
        <v>50200</v>
      </c>
      <c r="AY212">
        <f t="shared" si="535"/>
        <v>9036</v>
      </c>
      <c r="AZ212">
        <v>0</v>
      </c>
      <c r="BA212">
        <f t="shared" si="536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 t="shared" si="500"/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537"/>
        <v>200</v>
      </c>
      <c r="BH212">
        <f t="shared" si="538"/>
        <v>61900</v>
      </c>
      <c r="BI212">
        <f>_xlfn.XLOOKUP(B212,'[6]august-2025'!$A:$A,'[6]august-2025'!$C:$C,0,0)</f>
        <v>50200</v>
      </c>
      <c r="BJ212">
        <f t="shared" si="539"/>
        <v>9036</v>
      </c>
      <c r="BK212">
        <f t="shared" si="540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541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 t="shared" si="501"/>
        <v>200</v>
      </c>
      <c r="BR212">
        <f t="shared" si="502"/>
        <v>61900</v>
      </c>
      <c r="BS212">
        <f>_xlfn.XLOOKUP(B212,'[7]september-2025'!$A:$A,'[7]september-2025'!$C:$C,0,0)</f>
        <v>50200</v>
      </c>
      <c r="BT212">
        <f t="shared" si="542"/>
        <v>9036</v>
      </c>
      <c r="BU212">
        <f t="shared" si="543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 t="shared" si="503"/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544"/>
        <v>200</v>
      </c>
      <c r="CB212">
        <f t="shared" si="545"/>
        <v>61900</v>
      </c>
      <c r="CC212">
        <f>_xlfn.XLOOKUP(B212,'[8]october-2025'!$A:$A,'[8]october-2025'!$C:$C,0,0)</f>
        <v>50200</v>
      </c>
      <c r="CD212">
        <f t="shared" si="546"/>
        <v>9036</v>
      </c>
      <c r="CE212">
        <f t="shared" si="547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 t="shared" si="504"/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548"/>
        <v>200</v>
      </c>
      <c r="CL212">
        <f t="shared" si="549"/>
        <v>61900</v>
      </c>
      <c r="CM212">
        <f>_xlfn.XLOOKUP(B212,'[9]november-2025'!$A:$A,'[9]november-2025'!$C:$C,0,0)</f>
        <v>50200</v>
      </c>
      <c r="CN212">
        <f t="shared" si="550"/>
        <v>9036</v>
      </c>
      <c r="CO212">
        <f t="shared" si="551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 t="shared" si="505"/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552"/>
        <v>200</v>
      </c>
      <c r="CV212">
        <f t="shared" si="553"/>
        <v>61900</v>
      </c>
      <c r="CW212">
        <f>_xlfn.XLOOKUP(B212,'[10]december-2025'!$A:$A,'[10]december-2025'!$C:$C,0,0)</f>
        <v>50200</v>
      </c>
      <c r="CX212">
        <f t="shared" si="554"/>
        <v>9036</v>
      </c>
      <c r="CY212">
        <f t="shared" si="555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 t="shared" si="506"/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556"/>
        <v>200</v>
      </c>
      <c r="DF212">
        <f t="shared" si="557"/>
        <v>61900</v>
      </c>
      <c r="DG212">
        <f>_xlfn.XLOOKUP(B212,'[11]january-2026'!$A:$A,'[11]january-2026'!$C:$C,0,0)</f>
        <v>50200</v>
      </c>
      <c r="DH212">
        <f t="shared" si="558"/>
        <v>9036</v>
      </c>
      <c r="DI212">
        <f t="shared" si="559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07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60"/>
        <v>200</v>
      </c>
      <c r="DP212">
        <f t="shared" si="561"/>
        <v>61900</v>
      </c>
      <c r="DQ212">
        <f>_xlfn.XLOOKUP(B212,'[12]february-2026'!$A:$A,'[12]february-2026'!$C:$C,0,0)</f>
        <v>50200</v>
      </c>
      <c r="DR212">
        <f t="shared" si="562"/>
        <v>9036</v>
      </c>
      <c r="DS212">
        <f t="shared" si="563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08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64"/>
        <v>200</v>
      </c>
      <c r="DZ212">
        <f t="shared" si="565"/>
        <v>61900</v>
      </c>
      <c r="EA212">
        <f>_xlfn.XLOOKUP(B212,'[1]march-2025'!$A:$A,'[1]march-2025'!$J:$J,0,0)</f>
        <v>0</v>
      </c>
      <c r="EB212">
        <f>_xlfn.XLOOKUP(B212,'[2]april-2025'!$A:$A,'[2]april-2025'!$J:$J,0,0)</f>
        <v>0</v>
      </c>
      <c r="EC212">
        <f>_xlfn.XLOOKUP(B212,'[3]may-2025'!$A:$A,'[3]may-2025'!$J:$J,0,0)</f>
        <v>0</v>
      </c>
      <c r="ED212">
        <f>_xlfn.XLOOKUP(B212,'[4]june-2025'!$A:$A,'[4]june-2025'!$J:$J,0,0)</f>
        <v>0</v>
      </c>
      <c r="EE212">
        <f>_xlfn.XLOOKUP(B212,'[5]july-2025'!$A:$A,'[5]july-2025'!$J:$J,0,0)</f>
        <v>0</v>
      </c>
      <c r="EF212">
        <f>_xlfn.XLOOKUP(B212,'[6]august-2025'!$A:$A,'[6]august-2025'!$J:$J,0,0)</f>
        <v>0</v>
      </c>
      <c r="EG212">
        <f>_xlfn.XLOOKUP(B212,'[7]september-2025'!$A:$A,'[7]september-2025'!$J:$J,0,0)</f>
        <v>0</v>
      </c>
      <c r="EH212">
        <f>_xlfn.XLOOKUP(B212,'[8]october-2025'!$A:$A,'[8]october-2025'!$J:$J,0,0)</f>
        <v>0</v>
      </c>
      <c r="EI212">
        <f>_xlfn.XLOOKUP(C212,'[9]november-2025'!$A:$A,'[9]november-2025'!$J:$J,0,0)</f>
        <v>0</v>
      </c>
      <c r="EJ212">
        <f>_xlfn.XLOOKUP(B212,'[10]december-2025'!$A:$A,'[10]december-2025'!$J:$J,0,0)</f>
        <v>0</v>
      </c>
      <c r="EK212">
        <f>_xlfn.XLOOKUP(B212,'[11]january-2026'!$A:$A,'[11]january-2026'!$J:$J,0,0)</f>
        <v>0</v>
      </c>
      <c r="EL212">
        <f>_xlfn.XLOOKUP(B212,'[12]february-2026'!$A:$A,'[12]february-2026'!$J:$J,0,0)</f>
        <v>0</v>
      </c>
      <c r="EM212">
        <f t="shared" si="519"/>
        <v>0</v>
      </c>
      <c r="EN212">
        <f t="shared" si="509"/>
        <v>790972</v>
      </c>
      <c r="EO212">
        <f t="shared" si="510"/>
        <v>2400</v>
      </c>
      <c r="EP212">
        <f t="shared" si="566"/>
        <v>50000</v>
      </c>
      <c r="EQ212">
        <v>0</v>
      </c>
      <c r="ER212">
        <f t="shared" si="520"/>
        <v>738572</v>
      </c>
      <c r="ES212">
        <f t="shared" si="511"/>
        <v>48000</v>
      </c>
      <c r="ET212">
        <f t="shared" si="512"/>
        <v>720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567"/>
        <v>48720</v>
      </c>
      <c r="FF212">
        <f t="shared" si="568"/>
        <v>48720</v>
      </c>
      <c r="FG212">
        <f t="shared" si="569"/>
        <v>689852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513"/>
        <v>0</v>
      </c>
      <c r="FP212">
        <f t="shared" si="570"/>
        <v>689852</v>
      </c>
      <c r="FQ212">
        <f t="shared" si="571"/>
        <v>12500</v>
      </c>
      <c r="FR212">
        <f t="shared" si="572"/>
        <v>37970</v>
      </c>
      <c r="FS212">
        <f t="shared" si="573"/>
        <v>50470</v>
      </c>
      <c r="FT212">
        <f t="shared" si="574"/>
        <v>50470</v>
      </c>
      <c r="FU212">
        <f t="shared" si="575"/>
        <v>2018.8</v>
      </c>
      <c r="FV212">
        <f t="shared" si="576"/>
        <v>52489</v>
      </c>
      <c r="FW212">
        <v>0</v>
      </c>
      <c r="FX212">
        <f t="shared" si="577"/>
        <v>52489</v>
      </c>
      <c r="FY212" t="b">
        <f t="shared" si="578"/>
        <v>1</v>
      </c>
      <c r="FZ212">
        <f t="shared" ca="1" si="579"/>
        <v>620</v>
      </c>
      <c r="GA212">
        <f t="shared" ca="1" si="580"/>
        <v>791592</v>
      </c>
      <c r="GB212">
        <f t="shared" si="581"/>
        <v>75000</v>
      </c>
      <c r="GC212">
        <f t="shared" ca="1" si="582"/>
        <v>716592</v>
      </c>
      <c r="GD212">
        <f t="shared" ca="1" si="583"/>
        <v>0</v>
      </c>
      <c r="GE212">
        <f t="shared" ca="1" si="584"/>
        <v>0</v>
      </c>
      <c r="GF212">
        <f t="shared" ca="1" si="585"/>
        <v>0</v>
      </c>
      <c r="GG212">
        <f t="shared" ca="1" si="586"/>
        <v>0</v>
      </c>
      <c r="GH212">
        <f t="shared" ca="1" si="587"/>
        <v>0</v>
      </c>
      <c r="GI212">
        <f t="shared" ca="1" si="588"/>
        <v>0</v>
      </c>
      <c r="GJ212">
        <f t="shared" ca="1" si="514"/>
        <v>0</v>
      </c>
      <c r="GK212">
        <f t="shared" ca="1" si="589"/>
        <v>0</v>
      </c>
      <c r="GL212">
        <f t="shared" ca="1" si="590"/>
        <v>0</v>
      </c>
      <c r="GM212">
        <f t="shared" ca="1" si="591"/>
        <v>0</v>
      </c>
      <c r="GN212">
        <f t="shared" ca="1" si="592"/>
        <v>316592</v>
      </c>
      <c r="GO212">
        <f t="shared" ca="1" si="593"/>
        <v>15829.6</v>
      </c>
      <c r="GP212">
        <f t="shared" ca="1" si="594"/>
        <v>15830</v>
      </c>
      <c r="GQ212">
        <f t="shared" ca="1" si="595"/>
        <v>0</v>
      </c>
      <c r="GR212">
        <f t="shared" ca="1" si="596"/>
        <v>0</v>
      </c>
      <c r="GS212">
        <f t="shared" ca="1" si="597"/>
        <v>15830</v>
      </c>
      <c r="GT212">
        <f t="shared" ca="1" si="598"/>
        <v>0</v>
      </c>
      <c r="GU212" t="b">
        <f t="shared" ca="1" si="599"/>
        <v>0</v>
      </c>
      <c r="GV212">
        <f t="shared" ca="1" si="600"/>
        <v>0</v>
      </c>
      <c r="GW212">
        <f t="shared" ca="1" si="601"/>
        <v>15830</v>
      </c>
      <c r="GX212">
        <f t="shared" ca="1" si="602"/>
        <v>0</v>
      </c>
      <c r="GY212">
        <f t="shared" ca="1" si="603"/>
        <v>0</v>
      </c>
      <c r="GZ212">
        <f t="shared" ca="1" si="604"/>
        <v>0</v>
      </c>
    </row>
    <row r="213" spans="1:208" x14ac:dyDescent="0.3">
      <c r="A213">
        <f>_xlfn.AGGREGATE(3,5,$B$2:B213)</f>
        <v>212</v>
      </c>
      <c r="B213" t="s">
        <v>529</v>
      </c>
      <c r="C213" t="s">
        <v>530</v>
      </c>
      <c r="D213" t="s">
        <v>803</v>
      </c>
      <c r="E213" t="s">
        <v>830</v>
      </c>
      <c r="F213" t="s">
        <v>956</v>
      </c>
      <c r="G213" t="s">
        <v>890</v>
      </c>
      <c r="H213">
        <f t="shared" si="606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521"/>
        <v>4830.0000000000009</v>
      </c>
      <c r="L213">
        <f t="shared" si="522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499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605"/>
        <v>200</v>
      </c>
      <c r="S213">
        <f t="shared" si="515"/>
        <v>41270</v>
      </c>
      <c r="T213">
        <f>_xlfn.XLOOKUP(B213,'[2]april-2025'!$A:$A,'[2]april-2025'!$C:$C,0,0)</f>
        <v>34500</v>
      </c>
      <c r="U213">
        <f t="shared" si="523"/>
        <v>6210</v>
      </c>
      <c r="V213">
        <f t="shared" si="524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516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525"/>
        <v>200</v>
      </c>
      <c r="AC213">
        <f t="shared" si="526"/>
        <v>42650</v>
      </c>
      <c r="AD213">
        <f>_xlfn.XLOOKUP(B213,'[3]may-2025'!$A:$A,'[3]may-2025'!$C:$C,0,0)</f>
        <v>34500</v>
      </c>
      <c r="AE213">
        <f t="shared" si="527"/>
        <v>6210</v>
      </c>
      <c r="AF213">
        <f t="shared" si="528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517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529"/>
        <v>200</v>
      </c>
      <c r="AM213">
        <f t="shared" si="530"/>
        <v>42650</v>
      </c>
      <c r="AN213">
        <f>_xlfn.XLOOKUP(B213,'[4]june-2025'!$A:$A,'[4]june-2025'!$C:$C,0,0)</f>
        <v>34500</v>
      </c>
      <c r="AO213">
        <f t="shared" si="531"/>
        <v>6210</v>
      </c>
      <c r="AP213">
        <f t="shared" si="532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518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533"/>
        <v>200</v>
      </c>
      <c r="AW213">
        <f t="shared" si="534"/>
        <v>42650</v>
      </c>
      <c r="AX213">
        <f>_xlfn.XLOOKUP(B213,'[5]july-2025'!$A:$A,'[5]july-2025'!$C:$C,0,0)</f>
        <v>35500</v>
      </c>
      <c r="AY213">
        <f t="shared" si="535"/>
        <v>6390</v>
      </c>
      <c r="AZ213">
        <v>0</v>
      </c>
      <c r="BA213">
        <f t="shared" si="536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500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537"/>
        <v>200</v>
      </c>
      <c r="BH213">
        <f t="shared" si="538"/>
        <v>43950</v>
      </c>
      <c r="BI213">
        <f>_xlfn.XLOOKUP(B213,'[6]august-2025'!$A:$A,'[6]august-2025'!$C:$C,0,0)</f>
        <v>35500</v>
      </c>
      <c r="BJ213">
        <f t="shared" si="539"/>
        <v>6390</v>
      </c>
      <c r="BK213">
        <f t="shared" si="540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541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501"/>
        <v>200</v>
      </c>
      <c r="BR213">
        <f t="shared" si="502"/>
        <v>43950</v>
      </c>
      <c r="BS213">
        <f>_xlfn.XLOOKUP(B213,'[7]september-2025'!$A:$A,'[7]september-2025'!$C:$C,0,0)</f>
        <v>35500</v>
      </c>
      <c r="BT213">
        <f t="shared" si="542"/>
        <v>6390</v>
      </c>
      <c r="BU213">
        <f t="shared" si="543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503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544"/>
        <v>200</v>
      </c>
      <c r="CB213">
        <f t="shared" si="545"/>
        <v>43950</v>
      </c>
      <c r="CC213">
        <f>_xlfn.XLOOKUP(B213,'[8]october-2025'!$A:$A,'[8]october-2025'!$C:$C,0,0)</f>
        <v>35500</v>
      </c>
      <c r="CD213">
        <f t="shared" si="546"/>
        <v>6390</v>
      </c>
      <c r="CE213">
        <f t="shared" si="547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504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548"/>
        <v>200</v>
      </c>
      <c r="CL213">
        <f t="shared" si="549"/>
        <v>43950</v>
      </c>
      <c r="CM213">
        <f>_xlfn.XLOOKUP(B213,'[9]november-2025'!$A:$A,'[9]november-2025'!$C:$C,0,0)</f>
        <v>35500</v>
      </c>
      <c r="CN213">
        <f t="shared" si="550"/>
        <v>6390</v>
      </c>
      <c r="CO213">
        <f t="shared" si="551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505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552"/>
        <v>200</v>
      </c>
      <c r="CV213">
        <f t="shared" si="553"/>
        <v>43950</v>
      </c>
      <c r="CW213">
        <f>_xlfn.XLOOKUP(B213,'[10]december-2025'!$A:$A,'[10]december-2025'!$C:$C,0,0)</f>
        <v>35500</v>
      </c>
      <c r="CX213">
        <f t="shared" si="554"/>
        <v>6390</v>
      </c>
      <c r="CY213">
        <f t="shared" si="555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506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556"/>
        <v>200</v>
      </c>
      <c r="DF213">
        <f t="shared" si="557"/>
        <v>43950</v>
      </c>
      <c r="DG213">
        <f>_xlfn.XLOOKUP(B213,'[11]january-2026'!$A:$A,'[11]january-2026'!$C:$C,0,0)</f>
        <v>35500</v>
      </c>
      <c r="DH213">
        <f t="shared" si="558"/>
        <v>6390</v>
      </c>
      <c r="DI213">
        <f t="shared" si="559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07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60"/>
        <v>200</v>
      </c>
      <c r="DP213">
        <f t="shared" si="561"/>
        <v>43950</v>
      </c>
      <c r="DQ213">
        <f>_xlfn.XLOOKUP(B213,'[12]february-2026'!$A:$A,'[12]february-2026'!$C:$C,0,0)</f>
        <v>35500</v>
      </c>
      <c r="DR213">
        <f t="shared" si="562"/>
        <v>6390</v>
      </c>
      <c r="DS213">
        <f t="shared" si="563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08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64"/>
        <v>200</v>
      </c>
      <c r="DZ213">
        <f t="shared" si="565"/>
        <v>43950</v>
      </c>
      <c r="EA213">
        <f>_xlfn.XLOOKUP(B213,'[1]march-2025'!$A:$A,'[1]march-2025'!$J:$J,0,0)</f>
        <v>0</v>
      </c>
      <c r="EB213">
        <f>_xlfn.XLOOKUP(B213,'[2]april-2025'!$A:$A,'[2]april-2025'!$J:$J,0,0)</f>
        <v>0</v>
      </c>
      <c r="EC213">
        <f>_xlfn.XLOOKUP(B213,'[3]may-2025'!$A:$A,'[3]may-2025'!$J:$J,0,0)</f>
        <v>0</v>
      </c>
      <c r="ED213">
        <f>_xlfn.XLOOKUP(B213,'[4]june-2025'!$A:$A,'[4]june-2025'!$J:$J,0,0)</f>
        <v>0</v>
      </c>
      <c r="EE213">
        <f>_xlfn.XLOOKUP(B213,'[5]july-2025'!$A:$A,'[5]july-2025'!$J:$J,0,0)</f>
        <v>0</v>
      </c>
      <c r="EF213">
        <f>_xlfn.XLOOKUP(B213,'[6]august-2025'!$A:$A,'[6]august-2025'!$J:$J,0,0)</f>
        <v>0</v>
      </c>
      <c r="EG213">
        <f>_xlfn.XLOOKUP(B213,'[7]september-2025'!$A:$A,'[7]september-2025'!$J:$J,0,0)</f>
        <v>0</v>
      </c>
      <c r="EH213">
        <f>_xlfn.XLOOKUP(B213,'[8]october-2025'!$A:$A,'[8]october-2025'!$J:$J,0,0)</f>
        <v>0</v>
      </c>
      <c r="EI213">
        <f>_xlfn.XLOOKUP(C213,'[9]november-2025'!$A:$A,'[9]november-2025'!$J:$J,0,0)</f>
        <v>0</v>
      </c>
      <c r="EJ213">
        <f>_xlfn.XLOOKUP(B213,'[10]december-2025'!$A:$A,'[10]december-2025'!$J:$J,0,0)</f>
        <v>0</v>
      </c>
      <c r="EK213">
        <f>_xlfn.XLOOKUP(B213,'[11]january-2026'!$A:$A,'[11]january-2026'!$J:$J,0,0)</f>
        <v>0</v>
      </c>
      <c r="EL213">
        <f>_xlfn.XLOOKUP(B213,'[12]february-2026'!$A:$A,'[12]february-2026'!$J:$J,0,0)</f>
        <v>0</v>
      </c>
      <c r="EM213">
        <f t="shared" si="519"/>
        <v>0</v>
      </c>
      <c r="EN213">
        <f t="shared" si="509"/>
        <v>560020</v>
      </c>
      <c r="EO213">
        <f t="shared" si="510"/>
        <v>2400</v>
      </c>
      <c r="EP213">
        <f t="shared" si="566"/>
        <v>50000</v>
      </c>
      <c r="EQ213">
        <v>0</v>
      </c>
      <c r="ER213">
        <f t="shared" si="520"/>
        <v>507620</v>
      </c>
      <c r="ES213">
        <f t="shared" si="511"/>
        <v>30000</v>
      </c>
      <c r="ET213">
        <f t="shared" si="512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567"/>
        <v>30000</v>
      </c>
      <c r="FF213">
        <f t="shared" si="568"/>
        <v>30000</v>
      </c>
      <c r="FG213">
        <f t="shared" si="569"/>
        <v>477620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513"/>
        <v>0</v>
      </c>
      <c r="FP213">
        <f t="shared" si="570"/>
        <v>477620</v>
      </c>
      <c r="FQ213">
        <f t="shared" si="571"/>
        <v>11381</v>
      </c>
      <c r="FR213">
        <f t="shared" si="572"/>
        <v>0</v>
      </c>
      <c r="FS213">
        <f t="shared" si="573"/>
        <v>11381</v>
      </c>
      <c r="FT213">
        <f t="shared" si="574"/>
        <v>0</v>
      </c>
      <c r="FU213">
        <f t="shared" si="575"/>
        <v>0</v>
      </c>
      <c r="FV213">
        <f t="shared" si="576"/>
        <v>0</v>
      </c>
      <c r="FW213">
        <v>0</v>
      </c>
      <c r="FX213">
        <f t="shared" si="577"/>
        <v>0</v>
      </c>
      <c r="FY213" t="b">
        <f t="shared" si="578"/>
        <v>1</v>
      </c>
      <c r="FZ213">
        <f t="shared" ca="1" si="579"/>
        <v>888</v>
      </c>
      <c r="GA213">
        <f t="shared" ca="1" si="580"/>
        <v>560908</v>
      </c>
      <c r="GB213">
        <f t="shared" si="581"/>
        <v>75000</v>
      </c>
      <c r="GC213">
        <f t="shared" ca="1" si="582"/>
        <v>485908</v>
      </c>
      <c r="GD213">
        <f t="shared" ca="1" si="583"/>
        <v>0</v>
      </c>
      <c r="GE213">
        <f t="shared" ca="1" si="584"/>
        <v>0</v>
      </c>
      <c r="GF213">
        <f t="shared" ca="1" si="585"/>
        <v>0</v>
      </c>
      <c r="GG213">
        <f t="shared" ca="1" si="586"/>
        <v>0</v>
      </c>
      <c r="GH213">
        <f t="shared" ca="1" si="587"/>
        <v>0</v>
      </c>
      <c r="GI213">
        <f t="shared" ca="1" si="588"/>
        <v>0</v>
      </c>
      <c r="GJ213">
        <f t="shared" ca="1" si="514"/>
        <v>0</v>
      </c>
      <c r="GK213">
        <f t="shared" ca="1" si="589"/>
        <v>0</v>
      </c>
      <c r="GL213">
        <f t="shared" ca="1" si="590"/>
        <v>0</v>
      </c>
      <c r="GM213">
        <f t="shared" ca="1" si="591"/>
        <v>0</v>
      </c>
      <c r="GN213">
        <f t="shared" ca="1" si="592"/>
        <v>85908</v>
      </c>
      <c r="GO213">
        <f t="shared" ca="1" si="593"/>
        <v>4295.4000000000005</v>
      </c>
      <c r="GP213">
        <f t="shared" ca="1" si="594"/>
        <v>4295</v>
      </c>
      <c r="GQ213">
        <f t="shared" ca="1" si="595"/>
        <v>0</v>
      </c>
      <c r="GR213">
        <f t="shared" ca="1" si="596"/>
        <v>0</v>
      </c>
      <c r="GS213">
        <f t="shared" ca="1" si="597"/>
        <v>4295</v>
      </c>
      <c r="GT213">
        <f t="shared" ca="1" si="598"/>
        <v>0</v>
      </c>
      <c r="GU213" t="b">
        <f t="shared" ca="1" si="599"/>
        <v>0</v>
      </c>
      <c r="GV213">
        <f t="shared" ca="1" si="600"/>
        <v>0</v>
      </c>
      <c r="GW213">
        <f t="shared" ca="1" si="601"/>
        <v>4295</v>
      </c>
      <c r="GX213">
        <f t="shared" ca="1" si="602"/>
        <v>0</v>
      </c>
      <c r="GY213">
        <f t="shared" ca="1" si="603"/>
        <v>0</v>
      </c>
      <c r="GZ213">
        <f t="shared" ca="1" si="604"/>
        <v>0</v>
      </c>
    </row>
    <row r="214" spans="1:208" x14ac:dyDescent="0.3">
      <c r="A214">
        <f>_xlfn.AGGREGATE(3,5,$B$2:B214)</f>
        <v>213</v>
      </c>
      <c r="B214" t="s">
        <v>531</v>
      </c>
      <c r="C214" t="s">
        <v>532</v>
      </c>
      <c r="D214" t="s">
        <v>803</v>
      </c>
      <c r="E214" t="s">
        <v>830</v>
      </c>
      <c r="F214" t="s">
        <v>956</v>
      </c>
      <c r="G214" t="s">
        <v>890</v>
      </c>
      <c r="H214">
        <f t="shared" si="606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521"/>
        <v>4830.0000000000009</v>
      </c>
      <c r="L214">
        <f t="shared" si="522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499"/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605"/>
        <v>200</v>
      </c>
      <c r="S214">
        <f t="shared" si="515"/>
        <v>41270</v>
      </c>
      <c r="T214">
        <f>_xlfn.XLOOKUP(B214,'[2]april-2025'!$A:$A,'[2]april-2025'!$C:$C,0,0)</f>
        <v>34500</v>
      </c>
      <c r="U214">
        <f t="shared" si="523"/>
        <v>6210</v>
      </c>
      <c r="V214">
        <f t="shared" si="524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516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525"/>
        <v>200</v>
      </c>
      <c r="AC214">
        <f t="shared" si="526"/>
        <v>42650</v>
      </c>
      <c r="AD214">
        <f>_xlfn.XLOOKUP(B214,'[3]may-2025'!$A:$A,'[3]may-2025'!$C:$C,0,0)</f>
        <v>34500</v>
      </c>
      <c r="AE214">
        <f t="shared" si="527"/>
        <v>6210</v>
      </c>
      <c r="AF214">
        <f t="shared" si="528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517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529"/>
        <v>200</v>
      </c>
      <c r="AM214">
        <f t="shared" si="530"/>
        <v>42650</v>
      </c>
      <c r="AN214">
        <f>_xlfn.XLOOKUP(B214,'[4]june-2025'!$A:$A,'[4]june-2025'!$C:$C,0,0)</f>
        <v>34500</v>
      </c>
      <c r="AO214">
        <f t="shared" si="531"/>
        <v>6210</v>
      </c>
      <c r="AP214">
        <f t="shared" si="532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518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533"/>
        <v>200</v>
      </c>
      <c r="AW214">
        <f t="shared" si="534"/>
        <v>42650</v>
      </c>
      <c r="AX214">
        <f>_xlfn.XLOOKUP(B214,'[5]july-2025'!$A:$A,'[5]july-2025'!$C:$C,0,0)</f>
        <v>35500</v>
      </c>
      <c r="AY214">
        <f t="shared" si="535"/>
        <v>6390</v>
      </c>
      <c r="AZ214">
        <v>0</v>
      </c>
      <c r="BA214">
        <f t="shared" si="536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500"/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537"/>
        <v>200</v>
      </c>
      <c r="BH214">
        <f t="shared" si="538"/>
        <v>43950</v>
      </c>
      <c r="BI214">
        <f>_xlfn.XLOOKUP(B214,'[6]august-2025'!$A:$A,'[6]august-2025'!$C:$C,0,0)</f>
        <v>35500</v>
      </c>
      <c r="BJ214">
        <f t="shared" si="539"/>
        <v>6390</v>
      </c>
      <c r="BK214">
        <f t="shared" si="540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541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501"/>
        <v>200</v>
      </c>
      <c r="BR214">
        <f t="shared" si="502"/>
        <v>43950</v>
      </c>
      <c r="BS214">
        <f>_xlfn.XLOOKUP(B214,'[7]september-2025'!$A:$A,'[7]september-2025'!$C:$C,0,0)</f>
        <v>35500</v>
      </c>
      <c r="BT214">
        <f t="shared" si="542"/>
        <v>6390</v>
      </c>
      <c r="BU214">
        <f t="shared" si="543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503"/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544"/>
        <v>200</v>
      </c>
      <c r="CB214">
        <f t="shared" si="545"/>
        <v>43950</v>
      </c>
      <c r="CC214">
        <f>_xlfn.XLOOKUP(B214,'[8]october-2025'!$A:$A,'[8]october-2025'!$C:$C,0,0)</f>
        <v>35500</v>
      </c>
      <c r="CD214">
        <f t="shared" si="546"/>
        <v>6390</v>
      </c>
      <c r="CE214">
        <f t="shared" si="547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504"/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548"/>
        <v>200</v>
      </c>
      <c r="CL214">
        <f t="shared" si="549"/>
        <v>43950</v>
      </c>
      <c r="CM214">
        <f>_xlfn.XLOOKUP(B214,'[9]november-2025'!$A:$A,'[9]november-2025'!$C:$C,0,0)</f>
        <v>35500</v>
      </c>
      <c r="CN214">
        <f t="shared" si="550"/>
        <v>6390</v>
      </c>
      <c r="CO214">
        <f t="shared" si="551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505"/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552"/>
        <v>200</v>
      </c>
      <c r="CV214">
        <f t="shared" si="553"/>
        <v>43950</v>
      </c>
      <c r="CW214">
        <f>_xlfn.XLOOKUP(B214,'[10]december-2025'!$A:$A,'[10]december-2025'!$C:$C,0,0)</f>
        <v>35500</v>
      </c>
      <c r="CX214">
        <f t="shared" si="554"/>
        <v>6390</v>
      </c>
      <c r="CY214">
        <f t="shared" si="555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506"/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556"/>
        <v>200</v>
      </c>
      <c r="DF214">
        <f t="shared" si="557"/>
        <v>43950</v>
      </c>
      <c r="DG214">
        <f>_xlfn.XLOOKUP(B214,'[11]january-2026'!$A:$A,'[11]january-2026'!$C:$C,0,0)</f>
        <v>35500</v>
      </c>
      <c r="DH214">
        <f t="shared" si="558"/>
        <v>6390</v>
      </c>
      <c r="DI214">
        <f t="shared" si="559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07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60"/>
        <v>200</v>
      </c>
      <c r="DP214">
        <f t="shared" si="561"/>
        <v>43950</v>
      </c>
      <c r="DQ214">
        <f>_xlfn.XLOOKUP(B214,'[12]february-2026'!$A:$A,'[12]february-2026'!$C:$C,0,0)</f>
        <v>35500</v>
      </c>
      <c r="DR214">
        <f t="shared" si="562"/>
        <v>6390</v>
      </c>
      <c r="DS214">
        <f t="shared" si="563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08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64"/>
        <v>200</v>
      </c>
      <c r="DZ214">
        <f t="shared" si="565"/>
        <v>43950</v>
      </c>
      <c r="EA214">
        <f>_xlfn.XLOOKUP(B214,'[1]march-2025'!$A:$A,'[1]march-2025'!$J:$J,0,0)</f>
        <v>0</v>
      </c>
      <c r="EB214">
        <f>_xlfn.XLOOKUP(B214,'[2]april-2025'!$A:$A,'[2]april-2025'!$J:$J,0,0)</f>
        <v>0</v>
      </c>
      <c r="EC214">
        <f>_xlfn.XLOOKUP(B214,'[3]may-2025'!$A:$A,'[3]may-2025'!$J:$J,0,0)</f>
        <v>0</v>
      </c>
      <c r="ED214">
        <f>_xlfn.XLOOKUP(B214,'[4]june-2025'!$A:$A,'[4]june-2025'!$J:$J,0,0)</f>
        <v>0</v>
      </c>
      <c r="EE214">
        <f>_xlfn.XLOOKUP(B214,'[5]july-2025'!$A:$A,'[5]july-2025'!$J:$J,0,0)</f>
        <v>0</v>
      </c>
      <c r="EF214">
        <f>_xlfn.XLOOKUP(B214,'[6]august-2025'!$A:$A,'[6]august-2025'!$J:$J,0,0)</f>
        <v>0</v>
      </c>
      <c r="EG214">
        <f>_xlfn.XLOOKUP(B214,'[7]september-2025'!$A:$A,'[7]september-2025'!$J:$J,0,0)</f>
        <v>0</v>
      </c>
      <c r="EH214">
        <f>_xlfn.XLOOKUP(B214,'[8]october-2025'!$A:$A,'[8]october-2025'!$J:$J,0,0)</f>
        <v>0</v>
      </c>
      <c r="EI214">
        <f>_xlfn.XLOOKUP(C214,'[9]november-2025'!$A:$A,'[9]november-2025'!$J:$J,0,0)</f>
        <v>0</v>
      </c>
      <c r="EJ214">
        <f>_xlfn.XLOOKUP(B214,'[10]december-2025'!$A:$A,'[10]december-2025'!$J:$J,0,0)</f>
        <v>0</v>
      </c>
      <c r="EK214">
        <f>_xlfn.XLOOKUP(B214,'[11]january-2026'!$A:$A,'[11]january-2026'!$J:$J,0,0)</f>
        <v>0</v>
      </c>
      <c r="EL214">
        <f>_xlfn.XLOOKUP(B214,'[12]february-2026'!$A:$A,'[12]february-2026'!$J:$J,0,0)</f>
        <v>0</v>
      </c>
      <c r="EM214">
        <f t="shared" si="519"/>
        <v>0</v>
      </c>
      <c r="EN214">
        <f t="shared" si="509"/>
        <v>560020</v>
      </c>
      <c r="EO214">
        <f t="shared" si="510"/>
        <v>2400</v>
      </c>
      <c r="EP214">
        <f t="shared" si="566"/>
        <v>50000</v>
      </c>
      <c r="EQ214">
        <v>0</v>
      </c>
      <c r="ER214">
        <f t="shared" si="520"/>
        <v>507620</v>
      </c>
      <c r="ES214">
        <f t="shared" si="511"/>
        <v>30000</v>
      </c>
      <c r="ET214">
        <f t="shared" si="512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567"/>
        <v>30000</v>
      </c>
      <c r="FF214">
        <f t="shared" si="568"/>
        <v>30000</v>
      </c>
      <c r="FG214">
        <f t="shared" si="569"/>
        <v>477620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513"/>
        <v>0</v>
      </c>
      <c r="FP214">
        <f t="shared" si="570"/>
        <v>477620</v>
      </c>
      <c r="FQ214">
        <f t="shared" si="571"/>
        <v>11381</v>
      </c>
      <c r="FR214">
        <f t="shared" si="572"/>
        <v>0</v>
      </c>
      <c r="FS214">
        <f t="shared" si="573"/>
        <v>11381</v>
      </c>
      <c r="FT214">
        <f t="shared" si="574"/>
        <v>0</v>
      </c>
      <c r="FU214">
        <f t="shared" si="575"/>
        <v>0</v>
      </c>
      <c r="FV214">
        <f t="shared" si="576"/>
        <v>0</v>
      </c>
      <c r="FW214">
        <v>0</v>
      </c>
      <c r="FX214">
        <f t="shared" si="577"/>
        <v>0</v>
      </c>
      <c r="FY214" t="b">
        <f t="shared" si="578"/>
        <v>1</v>
      </c>
      <c r="FZ214">
        <f t="shared" ca="1" si="579"/>
        <v>671</v>
      </c>
      <c r="GA214">
        <f t="shared" ca="1" si="580"/>
        <v>560691</v>
      </c>
      <c r="GB214">
        <f t="shared" si="581"/>
        <v>75000</v>
      </c>
      <c r="GC214">
        <f t="shared" ca="1" si="582"/>
        <v>485691</v>
      </c>
      <c r="GD214">
        <f t="shared" ca="1" si="583"/>
        <v>0</v>
      </c>
      <c r="GE214">
        <f t="shared" ca="1" si="584"/>
        <v>0</v>
      </c>
      <c r="GF214">
        <f t="shared" ca="1" si="585"/>
        <v>0</v>
      </c>
      <c r="GG214">
        <f t="shared" ca="1" si="586"/>
        <v>0</v>
      </c>
      <c r="GH214">
        <f t="shared" ca="1" si="587"/>
        <v>0</v>
      </c>
      <c r="GI214">
        <f t="shared" ca="1" si="588"/>
        <v>0</v>
      </c>
      <c r="GJ214">
        <f t="shared" ca="1" si="514"/>
        <v>0</v>
      </c>
      <c r="GK214">
        <f t="shared" ca="1" si="589"/>
        <v>0</v>
      </c>
      <c r="GL214">
        <f t="shared" ca="1" si="590"/>
        <v>0</v>
      </c>
      <c r="GM214">
        <f t="shared" ca="1" si="591"/>
        <v>0</v>
      </c>
      <c r="GN214">
        <f t="shared" ca="1" si="592"/>
        <v>85691</v>
      </c>
      <c r="GO214">
        <f t="shared" ca="1" si="593"/>
        <v>4284.55</v>
      </c>
      <c r="GP214">
        <f t="shared" ca="1" si="594"/>
        <v>4285</v>
      </c>
      <c r="GQ214">
        <f t="shared" ca="1" si="595"/>
        <v>0</v>
      </c>
      <c r="GR214">
        <f t="shared" ca="1" si="596"/>
        <v>0</v>
      </c>
      <c r="GS214">
        <f t="shared" ca="1" si="597"/>
        <v>4285</v>
      </c>
      <c r="GT214">
        <f t="shared" ca="1" si="598"/>
        <v>0</v>
      </c>
      <c r="GU214" t="b">
        <f t="shared" ca="1" si="599"/>
        <v>0</v>
      </c>
      <c r="GV214">
        <f t="shared" ca="1" si="600"/>
        <v>0</v>
      </c>
      <c r="GW214">
        <f t="shared" ca="1" si="601"/>
        <v>4285</v>
      </c>
      <c r="GX214">
        <f t="shared" ca="1" si="602"/>
        <v>0</v>
      </c>
      <c r="GY214">
        <f t="shared" ca="1" si="603"/>
        <v>0</v>
      </c>
      <c r="GZ214">
        <f t="shared" ca="1" si="604"/>
        <v>0</v>
      </c>
    </row>
    <row r="215" spans="1:208" x14ac:dyDescent="0.3">
      <c r="A215">
        <f>_xlfn.AGGREGATE(3,5,$B$2:B215)</f>
        <v>214</v>
      </c>
      <c r="B215" t="s">
        <v>533</v>
      </c>
      <c r="C215" t="s">
        <v>534</v>
      </c>
      <c r="D215" t="s">
        <v>803</v>
      </c>
      <c r="E215" t="s">
        <v>830</v>
      </c>
      <c r="F215" t="s">
        <v>956</v>
      </c>
      <c r="G215" t="s">
        <v>896</v>
      </c>
      <c r="H215">
        <f t="shared" si="606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521"/>
        <v>4690</v>
      </c>
      <c r="L215">
        <f t="shared" si="522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 t="shared" si="499"/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605"/>
        <v>200</v>
      </c>
      <c r="S215">
        <f t="shared" si="515"/>
        <v>39510</v>
      </c>
      <c r="T215">
        <f>_xlfn.XLOOKUP(B215,'[2]april-2025'!$A:$A,'[2]april-2025'!$C:$C,0,0)</f>
        <v>33500</v>
      </c>
      <c r="U215">
        <f t="shared" si="523"/>
        <v>6030</v>
      </c>
      <c r="V215">
        <f t="shared" si="524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516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525"/>
        <v>200</v>
      </c>
      <c r="AC215">
        <f t="shared" si="526"/>
        <v>40850</v>
      </c>
      <c r="AD215">
        <f>_xlfn.XLOOKUP(B215,'[3]may-2025'!$A:$A,'[3]may-2025'!$C:$C,0,0)</f>
        <v>33500</v>
      </c>
      <c r="AE215">
        <f t="shared" si="527"/>
        <v>6030</v>
      </c>
      <c r="AF215">
        <f t="shared" si="528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517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529"/>
        <v>200</v>
      </c>
      <c r="AM215">
        <f t="shared" si="530"/>
        <v>40850</v>
      </c>
      <c r="AN215">
        <f>_xlfn.XLOOKUP(B215,'[4]june-2025'!$A:$A,'[4]june-2025'!$C:$C,0,0)</f>
        <v>33500</v>
      </c>
      <c r="AO215">
        <f t="shared" si="531"/>
        <v>6030</v>
      </c>
      <c r="AP215">
        <f t="shared" si="532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518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533"/>
        <v>200</v>
      </c>
      <c r="AW215">
        <f t="shared" si="534"/>
        <v>40850</v>
      </c>
      <c r="AX215">
        <f>_xlfn.XLOOKUP(B215,'[5]july-2025'!$A:$A,'[5]july-2025'!$C:$C,0,0)</f>
        <v>34500</v>
      </c>
      <c r="AY215">
        <f t="shared" si="535"/>
        <v>6210</v>
      </c>
      <c r="AZ215">
        <v>0</v>
      </c>
      <c r="BA215">
        <f t="shared" si="536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 t="shared" si="500"/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537"/>
        <v>200</v>
      </c>
      <c r="BH215">
        <f t="shared" si="538"/>
        <v>42150</v>
      </c>
      <c r="BI215">
        <f>_xlfn.XLOOKUP(B215,'[6]august-2025'!$A:$A,'[6]august-2025'!$C:$C,0,0)</f>
        <v>34500</v>
      </c>
      <c r="BJ215">
        <f t="shared" si="539"/>
        <v>6210</v>
      </c>
      <c r="BK215">
        <f t="shared" si="540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541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 t="shared" si="501"/>
        <v>200</v>
      </c>
      <c r="BR215">
        <f t="shared" si="502"/>
        <v>42150</v>
      </c>
      <c r="BS215">
        <f>_xlfn.XLOOKUP(B215,'[7]september-2025'!$A:$A,'[7]september-2025'!$C:$C,0,0)</f>
        <v>34500</v>
      </c>
      <c r="BT215">
        <f t="shared" si="542"/>
        <v>6210</v>
      </c>
      <c r="BU215">
        <f t="shared" si="543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 t="shared" si="503"/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544"/>
        <v>200</v>
      </c>
      <c r="CB215">
        <f t="shared" si="545"/>
        <v>42150</v>
      </c>
      <c r="CC215">
        <f>_xlfn.XLOOKUP(B215,'[8]october-2025'!$A:$A,'[8]october-2025'!$C:$C,0,0)</f>
        <v>34500</v>
      </c>
      <c r="CD215">
        <f t="shared" si="546"/>
        <v>6210</v>
      </c>
      <c r="CE215">
        <f t="shared" si="547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 t="shared" si="504"/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548"/>
        <v>200</v>
      </c>
      <c r="CL215">
        <f t="shared" si="549"/>
        <v>42150</v>
      </c>
      <c r="CM215">
        <f>_xlfn.XLOOKUP(B215,'[9]november-2025'!$A:$A,'[9]november-2025'!$C:$C,0,0)</f>
        <v>34500</v>
      </c>
      <c r="CN215">
        <f t="shared" si="550"/>
        <v>6210</v>
      </c>
      <c r="CO215">
        <f t="shared" si="551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 t="shared" si="505"/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552"/>
        <v>200</v>
      </c>
      <c r="CV215">
        <f t="shared" si="553"/>
        <v>42150</v>
      </c>
      <c r="CW215">
        <f>_xlfn.XLOOKUP(B215,'[10]december-2025'!$A:$A,'[10]december-2025'!$C:$C,0,0)</f>
        <v>34500</v>
      </c>
      <c r="CX215">
        <f t="shared" si="554"/>
        <v>6210</v>
      </c>
      <c r="CY215">
        <f t="shared" si="555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 t="shared" si="506"/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556"/>
        <v>200</v>
      </c>
      <c r="DF215">
        <f t="shared" si="557"/>
        <v>42150</v>
      </c>
      <c r="DG215">
        <f>_xlfn.XLOOKUP(B215,'[11]january-2026'!$A:$A,'[11]january-2026'!$C:$C,0,0)</f>
        <v>34500</v>
      </c>
      <c r="DH215">
        <f t="shared" si="558"/>
        <v>6210</v>
      </c>
      <c r="DI215">
        <f t="shared" si="559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07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60"/>
        <v>200</v>
      </c>
      <c r="DP215">
        <f t="shared" si="561"/>
        <v>42150</v>
      </c>
      <c r="DQ215">
        <f>_xlfn.XLOOKUP(B215,'[12]february-2026'!$A:$A,'[12]february-2026'!$C:$C,0,0)</f>
        <v>34500</v>
      </c>
      <c r="DR215">
        <f t="shared" si="562"/>
        <v>6210</v>
      </c>
      <c r="DS215">
        <f t="shared" si="563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08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64"/>
        <v>200</v>
      </c>
      <c r="DZ215">
        <f t="shared" si="565"/>
        <v>42150</v>
      </c>
      <c r="EA215">
        <f>_xlfn.XLOOKUP(B215,'[1]march-2025'!$A:$A,'[1]march-2025'!$J:$J,0,0)</f>
        <v>0</v>
      </c>
      <c r="EB215">
        <f>_xlfn.XLOOKUP(B215,'[2]april-2025'!$A:$A,'[2]april-2025'!$J:$J,0,0)</f>
        <v>0</v>
      </c>
      <c r="EC215">
        <f>_xlfn.XLOOKUP(B215,'[3]may-2025'!$A:$A,'[3]may-2025'!$J:$J,0,0)</f>
        <v>0</v>
      </c>
      <c r="ED215">
        <f>_xlfn.XLOOKUP(B215,'[4]june-2025'!$A:$A,'[4]june-2025'!$J:$J,0,0)</f>
        <v>0</v>
      </c>
      <c r="EE215">
        <f>_xlfn.XLOOKUP(B215,'[5]july-2025'!$A:$A,'[5]july-2025'!$J:$J,0,0)</f>
        <v>0</v>
      </c>
      <c r="EF215">
        <f>_xlfn.XLOOKUP(B215,'[6]august-2025'!$A:$A,'[6]august-2025'!$J:$J,0,0)</f>
        <v>0</v>
      </c>
      <c r="EG215">
        <f>_xlfn.XLOOKUP(B215,'[7]september-2025'!$A:$A,'[7]september-2025'!$J:$J,0,0)</f>
        <v>0</v>
      </c>
      <c r="EH215">
        <f>_xlfn.XLOOKUP(B215,'[8]october-2025'!$A:$A,'[8]october-2025'!$J:$J,0,0)</f>
        <v>0</v>
      </c>
      <c r="EI215">
        <f>_xlfn.XLOOKUP(C215,'[9]november-2025'!$A:$A,'[9]november-2025'!$J:$J,0,0)</f>
        <v>0</v>
      </c>
      <c r="EJ215">
        <f>_xlfn.XLOOKUP(B215,'[10]december-2025'!$A:$A,'[10]december-2025'!$J:$J,0,0)</f>
        <v>0</v>
      </c>
      <c r="EK215">
        <f>_xlfn.XLOOKUP(B215,'[11]january-2026'!$A:$A,'[11]january-2026'!$J:$J,0,0)</f>
        <v>0</v>
      </c>
      <c r="EL215">
        <f>_xlfn.XLOOKUP(B215,'[12]february-2026'!$A:$A,'[12]february-2026'!$J:$J,0,0)</f>
        <v>0</v>
      </c>
      <c r="EM215">
        <f t="shared" si="519"/>
        <v>0</v>
      </c>
      <c r="EN215">
        <f t="shared" si="509"/>
        <v>538460</v>
      </c>
      <c r="EO215">
        <f t="shared" si="510"/>
        <v>2400</v>
      </c>
      <c r="EP215">
        <f t="shared" si="566"/>
        <v>50000</v>
      </c>
      <c r="EQ215">
        <v>0</v>
      </c>
      <c r="ER215">
        <f t="shared" si="520"/>
        <v>486060</v>
      </c>
      <c r="ES215">
        <f t="shared" si="511"/>
        <v>30000</v>
      </c>
      <c r="ET215">
        <f t="shared" si="512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567"/>
        <v>30000</v>
      </c>
      <c r="FF215">
        <f t="shared" si="568"/>
        <v>30000</v>
      </c>
      <c r="FG215">
        <f t="shared" si="569"/>
        <v>456060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513"/>
        <v>0</v>
      </c>
      <c r="FP215">
        <f t="shared" si="570"/>
        <v>456060</v>
      </c>
      <c r="FQ215">
        <f t="shared" si="571"/>
        <v>10303</v>
      </c>
      <c r="FR215">
        <f t="shared" si="572"/>
        <v>0</v>
      </c>
      <c r="FS215">
        <f t="shared" si="573"/>
        <v>10303</v>
      </c>
      <c r="FT215">
        <f t="shared" si="574"/>
        <v>0</v>
      </c>
      <c r="FU215">
        <f t="shared" si="575"/>
        <v>0</v>
      </c>
      <c r="FV215">
        <f t="shared" si="576"/>
        <v>0</v>
      </c>
      <c r="FW215">
        <v>0</v>
      </c>
      <c r="FX215">
        <f t="shared" si="577"/>
        <v>0</v>
      </c>
      <c r="FY215" t="b">
        <f t="shared" si="578"/>
        <v>1</v>
      </c>
      <c r="FZ215">
        <f t="shared" ca="1" si="579"/>
        <v>728</v>
      </c>
      <c r="GA215">
        <f t="shared" ca="1" si="580"/>
        <v>539188</v>
      </c>
      <c r="GB215">
        <f t="shared" si="581"/>
        <v>75000</v>
      </c>
      <c r="GC215">
        <f t="shared" ca="1" si="582"/>
        <v>464188</v>
      </c>
      <c r="GD215">
        <f t="shared" ca="1" si="583"/>
        <v>0</v>
      </c>
      <c r="GE215">
        <f t="shared" ca="1" si="584"/>
        <v>0</v>
      </c>
      <c r="GF215">
        <f t="shared" ca="1" si="585"/>
        <v>0</v>
      </c>
      <c r="GG215">
        <f t="shared" ca="1" si="586"/>
        <v>0</v>
      </c>
      <c r="GH215">
        <f t="shared" ca="1" si="587"/>
        <v>0</v>
      </c>
      <c r="GI215">
        <f t="shared" ca="1" si="588"/>
        <v>0</v>
      </c>
      <c r="GJ215">
        <f t="shared" ca="1" si="514"/>
        <v>0</v>
      </c>
      <c r="GK215">
        <f t="shared" ca="1" si="589"/>
        <v>0</v>
      </c>
      <c r="GL215">
        <f t="shared" ca="1" si="590"/>
        <v>0</v>
      </c>
      <c r="GM215">
        <f t="shared" ca="1" si="591"/>
        <v>0</v>
      </c>
      <c r="GN215">
        <f t="shared" ca="1" si="592"/>
        <v>64188</v>
      </c>
      <c r="GO215">
        <f t="shared" ca="1" si="593"/>
        <v>3209.4</v>
      </c>
      <c r="GP215">
        <f t="shared" ca="1" si="594"/>
        <v>3209</v>
      </c>
      <c r="GQ215">
        <f t="shared" ca="1" si="595"/>
        <v>0</v>
      </c>
      <c r="GR215">
        <f t="shared" ca="1" si="596"/>
        <v>0</v>
      </c>
      <c r="GS215">
        <f t="shared" ca="1" si="597"/>
        <v>3209</v>
      </c>
      <c r="GT215">
        <f t="shared" ca="1" si="598"/>
        <v>0</v>
      </c>
      <c r="GU215" t="b">
        <f t="shared" ca="1" si="599"/>
        <v>0</v>
      </c>
      <c r="GV215">
        <f t="shared" ca="1" si="600"/>
        <v>0</v>
      </c>
      <c r="GW215">
        <f t="shared" ca="1" si="601"/>
        <v>3209</v>
      </c>
      <c r="GX215">
        <f t="shared" ca="1" si="602"/>
        <v>0</v>
      </c>
      <c r="GY215">
        <f t="shared" ca="1" si="603"/>
        <v>0</v>
      </c>
      <c r="GZ215">
        <f t="shared" ca="1" si="604"/>
        <v>0</v>
      </c>
    </row>
    <row r="216" spans="1:208" x14ac:dyDescent="0.3">
      <c r="A216">
        <f>_xlfn.AGGREGATE(3,5,$B$2:B216)</f>
        <v>215</v>
      </c>
      <c r="B216" t="s">
        <v>535</v>
      </c>
      <c r="C216" t="s">
        <v>536</v>
      </c>
      <c r="D216" t="s">
        <v>803</v>
      </c>
      <c r="E216" t="s">
        <v>830</v>
      </c>
      <c r="F216" t="s">
        <v>956</v>
      </c>
      <c r="G216" t="s">
        <v>923</v>
      </c>
      <c r="H216">
        <f t="shared" si="606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521"/>
        <v>4690</v>
      </c>
      <c r="L216">
        <f t="shared" si="522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499"/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605"/>
        <v>200</v>
      </c>
      <c r="S216">
        <f t="shared" si="515"/>
        <v>38510</v>
      </c>
      <c r="T216">
        <f>_xlfn.XLOOKUP(B216,'[2]april-2025'!$A:$A,'[2]april-2025'!$C:$C,0,0)</f>
        <v>33500</v>
      </c>
      <c r="U216">
        <f t="shared" si="523"/>
        <v>6030</v>
      </c>
      <c r="V216">
        <f t="shared" si="524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516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525"/>
        <v>200</v>
      </c>
      <c r="AC216">
        <f t="shared" si="526"/>
        <v>39850</v>
      </c>
      <c r="AD216">
        <f>_xlfn.XLOOKUP(B216,'[3]may-2025'!$A:$A,'[3]may-2025'!$C:$C,0,0)</f>
        <v>33500</v>
      </c>
      <c r="AE216">
        <f t="shared" si="527"/>
        <v>6030</v>
      </c>
      <c r="AF216">
        <f t="shared" si="528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517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529"/>
        <v>200</v>
      </c>
      <c r="AM216">
        <f t="shared" si="530"/>
        <v>39850</v>
      </c>
      <c r="AN216">
        <f>_xlfn.XLOOKUP(B216,'[4]june-2025'!$A:$A,'[4]june-2025'!$C:$C,0,0)</f>
        <v>33500</v>
      </c>
      <c r="AO216">
        <f t="shared" si="531"/>
        <v>6030</v>
      </c>
      <c r="AP216">
        <f t="shared" si="532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518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533"/>
        <v>200</v>
      </c>
      <c r="AW216">
        <f t="shared" si="534"/>
        <v>39850</v>
      </c>
      <c r="AX216">
        <f>_xlfn.XLOOKUP(B216,'[5]july-2025'!$A:$A,'[5]july-2025'!$C:$C,0,0)</f>
        <v>34500</v>
      </c>
      <c r="AY216">
        <f t="shared" si="535"/>
        <v>6210</v>
      </c>
      <c r="AZ216">
        <v>0</v>
      </c>
      <c r="BA216">
        <f t="shared" si="536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500"/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537"/>
        <v>200</v>
      </c>
      <c r="BH216">
        <f t="shared" si="538"/>
        <v>41150</v>
      </c>
      <c r="BI216">
        <f>_xlfn.XLOOKUP(B216,'[6]august-2025'!$A:$A,'[6]august-2025'!$C:$C,0,0)</f>
        <v>34500</v>
      </c>
      <c r="BJ216">
        <f t="shared" si="539"/>
        <v>6210</v>
      </c>
      <c r="BK216">
        <f t="shared" si="540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541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 t="shared" si="501"/>
        <v>200</v>
      </c>
      <c r="BR216">
        <f t="shared" si="502"/>
        <v>41150</v>
      </c>
      <c r="BS216">
        <f>_xlfn.XLOOKUP(B216,'[7]september-2025'!$A:$A,'[7]september-2025'!$C:$C,0,0)</f>
        <v>34500</v>
      </c>
      <c r="BT216">
        <f t="shared" si="542"/>
        <v>6210</v>
      </c>
      <c r="BU216">
        <f t="shared" si="543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503"/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544"/>
        <v>200</v>
      </c>
      <c r="CB216">
        <f t="shared" si="545"/>
        <v>41150</v>
      </c>
      <c r="CC216">
        <f>_xlfn.XLOOKUP(B216,'[8]october-2025'!$A:$A,'[8]october-2025'!$C:$C,0,0)</f>
        <v>34500</v>
      </c>
      <c r="CD216">
        <f t="shared" si="546"/>
        <v>6210</v>
      </c>
      <c r="CE216">
        <f t="shared" si="547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504"/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548"/>
        <v>200</v>
      </c>
      <c r="CL216">
        <f t="shared" si="549"/>
        <v>41150</v>
      </c>
      <c r="CM216">
        <f>_xlfn.XLOOKUP(B216,'[9]november-2025'!$A:$A,'[9]november-2025'!$C:$C,0,0)</f>
        <v>34500</v>
      </c>
      <c r="CN216">
        <f t="shared" si="550"/>
        <v>6210</v>
      </c>
      <c r="CO216">
        <f t="shared" si="551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505"/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552"/>
        <v>200</v>
      </c>
      <c r="CV216">
        <f t="shared" si="553"/>
        <v>41150</v>
      </c>
      <c r="CW216">
        <f>_xlfn.XLOOKUP(B216,'[10]december-2025'!$A:$A,'[10]december-2025'!$C:$C,0,0)</f>
        <v>34500</v>
      </c>
      <c r="CX216">
        <f t="shared" si="554"/>
        <v>6210</v>
      </c>
      <c r="CY216">
        <f t="shared" si="555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506"/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556"/>
        <v>200</v>
      </c>
      <c r="DF216">
        <f t="shared" si="557"/>
        <v>41150</v>
      </c>
      <c r="DG216">
        <f>_xlfn.XLOOKUP(B216,'[11]january-2026'!$A:$A,'[11]january-2026'!$C:$C,0,0)</f>
        <v>34500</v>
      </c>
      <c r="DH216">
        <f t="shared" si="558"/>
        <v>6210</v>
      </c>
      <c r="DI216">
        <f t="shared" si="559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07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60"/>
        <v>200</v>
      </c>
      <c r="DP216">
        <f t="shared" si="561"/>
        <v>41150</v>
      </c>
      <c r="DQ216">
        <f>_xlfn.XLOOKUP(B216,'[12]february-2026'!$A:$A,'[12]february-2026'!$C:$C,0,0)</f>
        <v>34500</v>
      </c>
      <c r="DR216">
        <f t="shared" si="562"/>
        <v>6210</v>
      </c>
      <c r="DS216">
        <f t="shared" si="563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08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64"/>
        <v>200</v>
      </c>
      <c r="DZ216">
        <f t="shared" si="565"/>
        <v>41150</v>
      </c>
      <c r="EA216">
        <f>_xlfn.XLOOKUP(B216,'[1]march-2025'!$A:$A,'[1]march-2025'!$J:$J,0,0)</f>
        <v>0</v>
      </c>
      <c r="EB216">
        <f>_xlfn.XLOOKUP(B216,'[2]april-2025'!$A:$A,'[2]april-2025'!$J:$J,0,0)</f>
        <v>0</v>
      </c>
      <c r="EC216">
        <f>_xlfn.XLOOKUP(B216,'[3]may-2025'!$A:$A,'[3]may-2025'!$J:$J,0,0)</f>
        <v>0</v>
      </c>
      <c r="ED216">
        <f>_xlfn.XLOOKUP(B216,'[4]june-2025'!$A:$A,'[4]june-2025'!$J:$J,0,0)</f>
        <v>0</v>
      </c>
      <c r="EE216">
        <f>_xlfn.XLOOKUP(B216,'[5]july-2025'!$A:$A,'[5]july-2025'!$J:$J,0,0)</f>
        <v>0</v>
      </c>
      <c r="EF216">
        <f>_xlfn.XLOOKUP(B216,'[6]august-2025'!$A:$A,'[6]august-2025'!$J:$J,0,0)</f>
        <v>0</v>
      </c>
      <c r="EG216">
        <f>_xlfn.XLOOKUP(B216,'[7]september-2025'!$A:$A,'[7]september-2025'!$J:$J,0,0)</f>
        <v>0</v>
      </c>
      <c r="EH216">
        <f>_xlfn.XLOOKUP(B216,'[8]october-2025'!$A:$A,'[8]october-2025'!$J:$J,0,0)</f>
        <v>0</v>
      </c>
      <c r="EI216">
        <f>_xlfn.XLOOKUP(C216,'[9]november-2025'!$A:$A,'[9]november-2025'!$J:$J,0,0)</f>
        <v>0</v>
      </c>
      <c r="EJ216">
        <f>_xlfn.XLOOKUP(B216,'[10]december-2025'!$A:$A,'[10]december-2025'!$J:$J,0,0)</f>
        <v>0</v>
      </c>
      <c r="EK216">
        <f>_xlfn.XLOOKUP(B216,'[11]january-2026'!$A:$A,'[11]january-2026'!$J:$J,0,0)</f>
        <v>0</v>
      </c>
      <c r="EL216">
        <f>_xlfn.XLOOKUP(B216,'[12]february-2026'!$A:$A,'[12]february-2026'!$J:$J,0,0)</f>
        <v>0</v>
      </c>
      <c r="EM216">
        <f t="shared" si="519"/>
        <v>0</v>
      </c>
      <c r="EN216">
        <f t="shared" si="509"/>
        <v>544460</v>
      </c>
      <c r="EO216">
        <f t="shared" si="510"/>
        <v>2400</v>
      </c>
      <c r="EP216">
        <f t="shared" si="566"/>
        <v>50000</v>
      </c>
      <c r="EQ216">
        <v>0</v>
      </c>
      <c r="ER216">
        <f t="shared" si="520"/>
        <v>492060</v>
      </c>
      <c r="ES216">
        <f t="shared" si="511"/>
        <v>48000</v>
      </c>
      <c r="ET216">
        <f t="shared" si="512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567"/>
        <v>48000</v>
      </c>
      <c r="FF216">
        <f t="shared" si="568"/>
        <v>48000</v>
      </c>
      <c r="FG216">
        <f t="shared" si="569"/>
        <v>444060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513"/>
        <v>0</v>
      </c>
      <c r="FP216">
        <f t="shared" si="570"/>
        <v>444060</v>
      </c>
      <c r="FQ216">
        <f t="shared" si="571"/>
        <v>9703</v>
      </c>
      <c r="FR216">
        <f t="shared" si="572"/>
        <v>0</v>
      </c>
      <c r="FS216">
        <f t="shared" si="573"/>
        <v>9703</v>
      </c>
      <c r="FT216">
        <f t="shared" si="574"/>
        <v>0</v>
      </c>
      <c r="FU216">
        <f t="shared" si="575"/>
        <v>0</v>
      </c>
      <c r="FV216">
        <f t="shared" si="576"/>
        <v>0</v>
      </c>
      <c r="FW216">
        <v>0</v>
      </c>
      <c r="FX216">
        <f t="shared" si="577"/>
        <v>0</v>
      </c>
      <c r="FY216" t="b">
        <f t="shared" si="578"/>
        <v>1</v>
      </c>
      <c r="FZ216">
        <f t="shared" ca="1" si="579"/>
        <v>808</v>
      </c>
      <c r="GA216">
        <f t="shared" ca="1" si="580"/>
        <v>545268</v>
      </c>
      <c r="GB216">
        <f t="shared" si="581"/>
        <v>75000</v>
      </c>
      <c r="GC216">
        <f t="shared" ca="1" si="582"/>
        <v>470268</v>
      </c>
      <c r="GD216">
        <f t="shared" ca="1" si="583"/>
        <v>0</v>
      </c>
      <c r="GE216">
        <f t="shared" ca="1" si="584"/>
        <v>0</v>
      </c>
      <c r="GF216">
        <f t="shared" ca="1" si="585"/>
        <v>0</v>
      </c>
      <c r="GG216">
        <f t="shared" ca="1" si="586"/>
        <v>0</v>
      </c>
      <c r="GH216">
        <f t="shared" ca="1" si="587"/>
        <v>0</v>
      </c>
      <c r="GI216">
        <f t="shared" ca="1" si="588"/>
        <v>0</v>
      </c>
      <c r="GJ216">
        <f t="shared" ca="1" si="514"/>
        <v>0</v>
      </c>
      <c r="GK216">
        <f t="shared" ca="1" si="589"/>
        <v>0</v>
      </c>
      <c r="GL216">
        <f t="shared" ca="1" si="590"/>
        <v>0</v>
      </c>
      <c r="GM216">
        <f t="shared" ca="1" si="591"/>
        <v>0</v>
      </c>
      <c r="GN216">
        <f t="shared" ca="1" si="592"/>
        <v>70268</v>
      </c>
      <c r="GO216">
        <f t="shared" ca="1" si="593"/>
        <v>3513.4</v>
      </c>
      <c r="GP216">
        <f t="shared" ca="1" si="594"/>
        <v>3513</v>
      </c>
      <c r="GQ216">
        <f t="shared" ca="1" si="595"/>
        <v>0</v>
      </c>
      <c r="GR216">
        <f t="shared" ca="1" si="596"/>
        <v>0</v>
      </c>
      <c r="GS216">
        <f t="shared" ca="1" si="597"/>
        <v>3513</v>
      </c>
      <c r="GT216">
        <f t="shared" ca="1" si="598"/>
        <v>0</v>
      </c>
      <c r="GU216" t="b">
        <f t="shared" ca="1" si="599"/>
        <v>0</v>
      </c>
      <c r="GV216">
        <f t="shared" ca="1" si="600"/>
        <v>0</v>
      </c>
      <c r="GW216">
        <f t="shared" ca="1" si="601"/>
        <v>3513</v>
      </c>
      <c r="GX216">
        <f t="shared" ca="1" si="602"/>
        <v>0</v>
      </c>
      <c r="GY216">
        <f t="shared" ca="1" si="603"/>
        <v>0</v>
      </c>
      <c r="GZ216">
        <f t="shared" ca="1" si="604"/>
        <v>0</v>
      </c>
    </row>
    <row r="217" spans="1:208" x14ac:dyDescent="0.3">
      <c r="A217">
        <f>_xlfn.AGGREGATE(3,5,$B$2:B217)</f>
        <v>216</v>
      </c>
      <c r="B217" t="s">
        <v>537</v>
      </c>
      <c r="C217" t="s">
        <v>538</v>
      </c>
      <c r="D217" t="s">
        <v>803</v>
      </c>
      <c r="E217" t="s">
        <v>830</v>
      </c>
      <c r="F217" t="s">
        <v>956</v>
      </c>
      <c r="G217" t="s">
        <v>941</v>
      </c>
      <c r="H217">
        <f t="shared" si="606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521"/>
        <v>3458.0000000000005</v>
      </c>
      <c r="L217">
        <f t="shared" si="522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 t="shared" si="499"/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605"/>
        <v>150</v>
      </c>
      <c r="S217">
        <f t="shared" si="515"/>
        <v>31472</v>
      </c>
      <c r="T217">
        <f>_xlfn.XLOOKUP(B217,'[2]april-2025'!$A:$A,'[2]april-2025'!$C:$C,0,0)</f>
        <v>24700</v>
      </c>
      <c r="U217">
        <f t="shared" si="523"/>
        <v>4446</v>
      </c>
      <c r="V217">
        <f t="shared" si="524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516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525"/>
        <v>150</v>
      </c>
      <c r="AC217">
        <f t="shared" si="526"/>
        <v>32460</v>
      </c>
      <c r="AD217">
        <f>_xlfn.XLOOKUP(B217,'[3]may-2025'!$A:$A,'[3]may-2025'!$C:$C,0,0)</f>
        <v>24700</v>
      </c>
      <c r="AE217">
        <f t="shared" si="527"/>
        <v>4446</v>
      </c>
      <c r="AF217">
        <f t="shared" si="528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517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529"/>
        <v>150</v>
      </c>
      <c r="AM217">
        <f t="shared" si="530"/>
        <v>32460</v>
      </c>
      <c r="AN217">
        <f>_xlfn.XLOOKUP(B217,'[4]june-2025'!$A:$A,'[4]june-2025'!$C:$C,0,0)</f>
        <v>24700</v>
      </c>
      <c r="AO217">
        <f t="shared" si="531"/>
        <v>4446</v>
      </c>
      <c r="AP217">
        <f t="shared" si="532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518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533"/>
        <v>150</v>
      </c>
      <c r="AW217">
        <f t="shared" si="534"/>
        <v>32460</v>
      </c>
      <c r="AX217">
        <f>_xlfn.XLOOKUP(B217,'[5]july-2025'!$A:$A,'[5]july-2025'!$C:$C,0,0)</f>
        <v>25400</v>
      </c>
      <c r="AY217">
        <f t="shared" si="535"/>
        <v>4572</v>
      </c>
      <c r="AZ217">
        <v>0</v>
      </c>
      <c r="BA217">
        <f t="shared" si="536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 t="shared" si="500"/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537"/>
        <v>150</v>
      </c>
      <c r="BH217">
        <f t="shared" si="538"/>
        <v>33370</v>
      </c>
      <c r="BI217">
        <f>_xlfn.XLOOKUP(B217,'[6]august-2025'!$A:$A,'[6]august-2025'!$C:$C,0,0)</f>
        <v>25400</v>
      </c>
      <c r="BJ217">
        <f t="shared" si="539"/>
        <v>4572</v>
      </c>
      <c r="BK217">
        <f t="shared" si="540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541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 t="shared" si="501"/>
        <v>150</v>
      </c>
      <c r="BR217">
        <f t="shared" si="502"/>
        <v>31370</v>
      </c>
      <c r="BS217">
        <f>_xlfn.XLOOKUP(B217,'[7]september-2025'!$A:$A,'[7]september-2025'!$C:$C,0,0)</f>
        <v>25400</v>
      </c>
      <c r="BT217">
        <f t="shared" si="542"/>
        <v>4572</v>
      </c>
      <c r="BU217">
        <f t="shared" si="543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 t="shared" si="503"/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544"/>
        <v>150</v>
      </c>
      <c r="CB217">
        <f t="shared" si="545"/>
        <v>31370</v>
      </c>
      <c r="CC217">
        <f>_xlfn.XLOOKUP(B217,'[8]october-2025'!$A:$A,'[8]october-2025'!$C:$C,0,0)</f>
        <v>25400</v>
      </c>
      <c r="CD217">
        <f t="shared" si="546"/>
        <v>4572</v>
      </c>
      <c r="CE217">
        <f t="shared" si="547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 t="shared" si="504"/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548"/>
        <v>150</v>
      </c>
      <c r="CL217">
        <f t="shared" si="549"/>
        <v>31370</v>
      </c>
      <c r="CM217">
        <f>_xlfn.XLOOKUP(B217,'[9]november-2025'!$A:$A,'[9]november-2025'!$C:$C,0,0)</f>
        <v>25400</v>
      </c>
      <c r="CN217">
        <f t="shared" si="550"/>
        <v>4572</v>
      </c>
      <c r="CO217">
        <f t="shared" si="551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 t="shared" si="505"/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552"/>
        <v>150</v>
      </c>
      <c r="CV217">
        <f t="shared" si="553"/>
        <v>31370</v>
      </c>
      <c r="CW217">
        <f>_xlfn.XLOOKUP(B217,'[10]december-2025'!$A:$A,'[10]december-2025'!$C:$C,0,0)</f>
        <v>25400</v>
      </c>
      <c r="CX217">
        <f t="shared" si="554"/>
        <v>4572</v>
      </c>
      <c r="CY217">
        <f t="shared" si="555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 t="shared" si="506"/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556"/>
        <v>150</v>
      </c>
      <c r="DF217">
        <f t="shared" si="557"/>
        <v>31370</v>
      </c>
      <c r="DG217">
        <f>_xlfn.XLOOKUP(B217,'[11]january-2026'!$A:$A,'[11]january-2026'!$C:$C,0,0)</f>
        <v>25400</v>
      </c>
      <c r="DH217">
        <f t="shared" si="558"/>
        <v>4572</v>
      </c>
      <c r="DI217">
        <f t="shared" si="559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07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60"/>
        <v>150</v>
      </c>
      <c r="DP217">
        <f t="shared" si="561"/>
        <v>31370</v>
      </c>
      <c r="DQ217">
        <f>_xlfn.XLOOKUP(B217,'[12]february-2026'!$A:$A,'[12]february-2026'!$C:$C,0,0)</f>
        <v>25400</v>
      </c>
      <c r="DR217">
        <f t="shared" si="562"/>
        <v>4572</v>
      </c>
      <c r="DS217">
        <f t="shared" si="563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08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64"/>
        <v>150</v>
      </c>
      <c r="DZ217">
        <f t="shared" si="565"/>
        <v>31370</v>
      </c>
      <c r="EA217">
        <f>_xlfn.XLOOKUP(B217,'[1]march-2025'!$A:$A,'[1]march-2025'!$J:$J,0,0)</f>
        <v>0</v>
      </c>
      <c r="EB217">
        <f>_xlfn.XLOOKUP(B217,'[2]april-2025'!$A:$A,'[2]april-2025'!$J:$J,0,0)</f>
        <v>0</v>
      </c>
      <c r="EC217">
        <f>_xlfn.XLOOKUP(B217,'[3]may-2025'!$A:$A,'[3]may-2025'!$J:$J,0,0)</f>
        <v>0</v>
      </c>
      <c r="ED217">
        <f>_xlfn.XLOOKUP(B217,'[4]june-2025'!$A:$A,'[4]june-2025'!$J:$J,0,0)</f>
        <v>0</v>
      </c>
      <c r="EE217">
        <f>_xlfn.XLOOKUP(B217,'[5]july-2025'!$A:$A,'[5]july-2025'!$J:$J,0,0)</f>
        <v>0</v>
      </c>
      <c r="EF217">
        <f>_xlfn.XLOOKUP(B217,'[6]august-2025'!$A:$A,'[6]august-2025'!$J:$J,0,0)</f>
        <v>0</v>
      </c>
      <c r="EG217">
        <f>_xlfn.XLOOKUP(B217,'[7]september-2025'!$A:$A,'[7]september-2025'!$J:$J,0,0)</f>
        <v>0</v>
      </c>
      <c r="EH217">
        <f>_xlfn.XLOOKUP(B217,'[8]october-2025'!$A:$A,'[8]october-2025'!$J:$J,0,0)</f>
        <v>0</v>
      </c>
      <c r="EI217">
        <f>_xlfn.XLOOKUP(C217,'[9]november-2025'!$A:$A,'[9]november-2025'!$J:$J,0,0)</f>
        <v>0</v>
      </c>
      <c r="EJ217">
        <f>_xlfn.XLOOKUP(B217,'[10]december-2025'!$A:$A,'[10]december-2025'!$J:$J,0,0)</f>
        <v>0</v>
      </c>
      <c r="EK217">
        <f>_xlfn.XLOOKUP(B217,'[11]january-2026'!$A:$A,'[11]january-2026'!$J:$J,0,0)</f>
        <v>0</v>
      </c>
      <c r="EL217">
        <f>_xlfn.XLOOKUP(B217,'[12]february-2026'!$A:$A,'[12]february-2026'!$J:$J,0,0)</f>
        <v>0</v>
      </c>
      <c r="EM217">
        <f t="shared" si="519"/>
        <v>0</v>
      </c>
      <c r="EN217">
        <f t="shared" si="509"/>
        <v>404412</v>
      </c>
      <c r="EO217">
        <f t="shared" si="510"/>
        <v>1800</v>
      </c>
      <c r="EP217">
        <f t="shared" si="566"/>
        <v>50000</v>
      </c>
      <c r="EQ217">
        <v>0</v>
      </c>
      <c r="ER217">
        <f t="shared" si="520"/>
        <v>352612</v>
      </c>
      <c r="ES217">
        <f t="shared" si="511"/>
        <v>14000</v>
      </c>
      <c r="ET217">
        <f t="shared" si="512"/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567"/>
        <v>14000</v>
      </c>
      <c r="FF217">
        <f t="shared" si="568"/>
        <v>14000</v>
      </c>
      <c r="FG217">
        <f t="shared" si="569"/>
        <v>338612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513"/>
        <v>0</v>
      </c>
      <c r="FP217">
        <f t="shared" si="570"/>
        <v>338612</v>
      </c>
      <c r="FQ217">
        <f t="shared" si="571"/>
        <v>4431</v>
      </c>
      <c r="FR217">
        <f t="shared" si="572"/>
        <v>0</v>
      </c>
      <c r="FS217">
        <f t="shared" si="573"/>
        <v>4431</v>
      </c>
      <c r="FT217">
        <f t="shared" si="574"/>
        <v>0</v>
      </c>
      <c r="FU217">
        <f t="shared" si="575"/>
        <v>0</v>
      </c>
      <c r="FV217">
        <f t="shared" si="576"/>
        <v>0</v>
      </c>
      <c r="FW217">
        <v>0</v>
      </c>
      <c r="FX217">
        <f t="shared" si="577"/>
        <v>0</v>
      </c>
      <c r="FY217" t="b">
        <f t="shared" si="578"/>
        <v>0</v>
      </c>
      <c r="FZ217">
        <f t="shared" ca="1" si="579"/>
        <v>1016</v>
      </c>
      <c r="GA217">
        <f t="shared" ca="1" si="580"/>
        <v>405428</v>
      </c>
      <c r="GB217">
        <f t="shared" si="581"/>
        <v>75000</v>
      </c>
      <c r="GC217">
        <f t="shared" ca="1" si="582"/>
        <v>330428</v>
      </c>
      <c r="GD217">
        <f t="shared" ca="1" si="583"/>
        <v>0</v>
      </c>
      <c r="GE217">
        <f t="shared" ca="1" si="584"/>
        <v>0</v>
      </c>
      <c r="GF217">
        <f t="shared" ca="1" si="585"/>
        <v>0</v>
      </c>
      <c r="GG217">
        <f t="shared" ca="1" si="586"/>
        <v>0</v>
      </c>
      <c r="GH217">
        <f t="shared" ca="1" si="587"/>
        <v>0</v>
      </c>
      <c r="GI217">
        <f t="shared" ca="1" si="588"/>
        <v>0</v>
      </c>
      <c r="GJ217">
        <f t="shared" ca="1" si="514"/>
        <v>0</v>
      </c>
      <c r="GK217">
        <f t="shared" ca="1" si="589"/>
        <v>0</v>
      </c>
      <c r="GL217">
        <f t="shared" ca="1" si="590"/>
        <v>0</v>
      </c>
      <c r="GM217">
        <f t="shared" ca="1" si="591"/>
        <v>0</v>
      </c>
      <c r="GN217">
        <f t="shared" ca="1" si="592"/>
        <v>0</v>
      </c>
      <c r="GO217">
        <f t="shared" ca="1" si="593"/>
        <v>0</v>
      </c>
      <c r="GP217">
        <f t="shared" ca="1" si="594"/>
        <v>0</v>
      </c>
      <c r="GQ217">
        <f t="shared" ca="1" si="595"/>
        <v>0</v>
      </c>
      <c r="GR217">
        <f t="shared" ca="1" si="596"/>
        <v>0</v>
      </c>
      <c r="GS217">
        <f t="shared" ca="1" si="597"/>
        <v>0</v>
      </c>
      <c r="GT217">
        <f t="shared" ca="1" si="598"/>
        <v>0</v>
      </c>
      <c r="GU217" t="b">
        <f t="shared" ca="1" si="599"/>
        <v>0</v>
      </c>
      <c r="GV217">
        <f t="shared" ca="1" si="600"/>
        <v>0</v>
      </c>
      <c r="GW217">
        <f t="shared" ca="1" si="601"/>
        <v>0</v>
      </c>
      <c r="GX217">
        <f t="shared" ca="1" si="602"/>
        <v>0</v>
      </c>
      <c r="GY217">
        <f t="shared" ca="1" si="603"/>
        <v>0</v>
      </c>
      <c r="GZ217">
        <f t="shared" ca="1" si="604"/>
        <v>0</v>
      </c>
    </row>
    <row r="218" spans="1:208" x14ac:dyDescent="0.3">
      <c r="A218">
        <f>_xlfn.AGGREGATE(3,5,$B$2:B218)</f>
        <v>217</v>
      </c>
      <c r="B218" t="s">
        <v>539</v>
      </c>
      <c r="C218" t="s">
        <v>540</v>
      </c>
      <c r="D218" t="s">
        <v>804</v>
      </c>
      <c r="E218" t="s">
        <v>831</v>
      </c>
      <c r="F218" t="s">
        <v>956</v>
      </c>
      <c r="G218" t="s">
        <v>884</v>
      </c>
      <c r="H218">
        <f t="shared" si="606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521"/>
        <v>7238.0000000000009</v>
      </c>
      <c r="L218">
        <f t="shared" si="522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 t="shared" si="499"/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605"/>
        <v>200</v>
      </c>
      <c r="S218">
        <f t="shared" si="515"/>
        <v>55842</v>
      </c>
      <c r="T218">
        <f>_xlfn.XLOOKUP(B218,'[2]april-2025'!$A:$A,'[2]april-2025'!$C:$C,0,0)</f>
        <v>51700</v>
      </c>
      <c r="U218">
        <f t="shared" si="523"/>
        <v>9306</v>
      </c>
      <c r="V218">
        <f t="shared" si="524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516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525"/>
        <v>200</v>
      </c>
      <c r="AC218">
        <f t="shared" si="526"/>
        <v>57910</v>
      </c>
      <c r="AD218">
        <f>_xlfn.XLOOKUP(B218,'[3]may-2025'!$A:$A,'[3]may-2025'!$C:$C,0,0)</f>
        <v>51700</v>
      </c>
      <c r="AE218">
        <f t="shared" si="527"/>
        <v>9306</v>
      </c>
      <c r="AF218">
        <f t="shared" si="528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517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529"/>
        <v>200</v>
      </c>
      <c r="AM218">
        <f t="shared" si="530"/>
        <v>57910</v>
      </c>
      <c r="AN218">
        <f>_xlfn.XLOOKUP(B218,'[4]june-2025'!$A:$A,'[4]june-2025'!$C:$C,0,0)</f>
        <v>51700</v>
      </c>
      <c r="AO218">
        <f t="shared" si="531"/>
        <v>9306</v>
      </c>
      <c r="AP218">
        <f t="shared" si="532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518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533"/>
        <v>200</v>
      </c>
      <c r="AW218">
        <f t="shared" si="534"/>
        <v>57910</v>
      </c>
      <c r="AX218">
        <f>_xlfn.XLOOKUP(B218,'[5]july-2025'!$A:$A,'[5]july-2025'!$C:$C,0,0)</f>
        <v>53300</v>
      </c>
      <c r="AY218">
        <f t="shared" si="535"/>
        <v>9594</v>
      </c>
      <c r="AZ218">
        <v>0</v>
      </c>
      <c r="BA218">
        <f t="shared" si="536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 t="shared" si="500"/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537"/>
        <v>200</v>
      </c>
      <c r="BH218">
        <f t="shared" si="538"/>
        <v>59990</v>
      </c>
      <c r="BI218">
        <f>_xlfn.XLOOKUP(B218,'[6]august-2025'!$A:$A,'[6]august-2025'!$C:$C,0,0)</f>
        <v>53300</v>
      </c>
      <c r="BJ218">
        <f t="shared" si="539"/>
        <v>9594</v>
      </c>
      <c r="BK218">
        <f t="shared" si="540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541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 t="shared" si="501"/>
        <v>200</v>
      </c>
      <c r="BR218">
        <f t="shared" si="502"/>
        <v>59990</v>
      </c>
      <c r="BS218">
        <f>_xlfn.XLOOKUP(B218,'[7]september-2025'!$A:$A,'[7]september-2025'!$C:$C,0,0)</f>
        <v>53300</v>
      </c>
      <c r="BT218">
        <f t="shared" si="542"/>
        <v>9594</v>
      </c>
      <c r="BU218">
        <f t="shared" si="543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 t="shared" si="503"/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544"/>
        <v>200</v>
      </c>
      <c r="CB218">
        <f t="shared" si="545"/>
        <v>59990</v>
      </c>
      <c r="CC218">
        <f>_xlfn.XLOOKUP(B218,'[8]october-2025'!$A:$A,'[8]october-2025'!$C:$C,0,0)</f>
        <v>53300</v>
      </c>
      <c r="CD218">
        <f t="shared" si="546"/>
        <v>9594</v>
      </c>
      <c r="CE218">
        <f t="shared" si="547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 t="shared" si="504"/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548"/>
        <v>200</v>
      </c>
      <c r="CL218">
        <f t="shared" si="549"/>
        <v>59990</v>
      </c>
      <c r="CM218">
        <f>_xlfn.XLOOKUP(B218,'[9]november-2025'!$A:$A,'[9]november-2025'!$C:$C,0,0)</f>
        <v>53300</v>
      </c>
      <c r="CN218">
        <f t="shared" si="550"/>
        <v>9594</v>
      </c>
      <c r="CO218">
        <f t="shared" si="551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 t="shared" si="505"/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552"/>
        <v>200</v>
      </c>
      <c r="CV218">
        <f t="shared" si="553"/>
        <v>59990</v>
      </c>
      <c r="CW218">
        <f>_xlfn.XLOOKUP(B218,'[10]december-2025'!$A:$A,'[10]december-2025'!$C:$C,0,0)</f>
        <v>53300</v>
      </c>
      <c r="CX218">
        <f t="shared" si="554"/>
        <v>9594</v>
      </c>
      <c r="CY218">
        <f t="shared" si="555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 t="shared" si="506"/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556"/>
        <v>200</v>
      </c>
      <c r="DF218">
        <f t="shared" si="557"/>
        <v>59990</v>
      </c>
      <c r="DG218">
        <f>_xlfn.XLOOKUP(B218,'[11]january-2026'!$A:$A,'[11]january-2026'!$C:$C,0,0)</f>
        <v>53300</v>
      </c>
      <c r="DH218">
        <f t="shared" si="558"/>
        <v>9594</v>
      </c>
      <c r="DI218">
        <f t="shared" si="559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07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60"/>
        <v>200</v>
      </c>
      <c r="DP218">
        <f t="shared" si="561"/>
        <v>59990</v>
      </c>
      <c r="DQ218">
        <f>_xlfn.XLOOKUP(B218,'[12]february-2026'!$A:$A,'[12]february-2026'!$C:$C,0,0)</f>
        <v>53300</v>
      </c>
      <c r="DR218">
        <f t="shared" si="562"/>
        <v>9594</v>
      </c>
      <c r="DS218">
        <f t="shared" si="563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08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64"/>
        <v>200</v>
      </c>
      <c r="DZ218">
        <f t="shared" si="565"/>
        <v>59990</v>
      </c>
      <c r="EA218">
        <f>_xlfn.XLOOKUP(B218,'[1]march-2025'!$A:$A,'[1]march-2025'!$J:$J,0,0)</f>
        <v>0</v>
      </c>
      <c r="EB218">
        <f>_xlfn.XLOOKUP(B218,'[2]april-2025'!$A:$A,'[2]april-2025'!$J:$J,0,0)</f>
        <v>0</v>
      </c>
      <c r="EC218">
        <f>_xlfn.XLOOKUP(B218,'[3]may-2025'!$A:$A,'[3]may-2025'!$J:$J,0,0)</f>
        <v>0</v>
      </c>
      <c r="ED218">
        <f>_xlfn.XLOOKUP(B218,'[4]june-2025'!$A:$A,'[4]june-2025'!$J:$J,0,0)</f>
        <v>0</v>
      </c>
      <c r="EE218">
        <f>_xlfn.XLOOKUP(B218,'[5]july-2025'!$A:$A,'[5]july-2025'!$J:$J,0,0)</f>
        <v>0</v>
      </c>
      <c r="EF218">
        <f>_xlfn.XLOOKUP(B218,'[6]august-2025'!$A:$A,'[6]august-2025'!$J:$J,0,0)</f>
        <v>0</v>
      </c>
      <c r="EG218">
        <f>_xlfn.XLOOKUP(B218,'[7]september-2025'!$A:$A,'[7]september-2025'!$J:$J,0,0)</f>
        <v>0</v>
      </c>
      <c r="EH218">
        <f>_xlfn.XLOOKUP(B218,'[8]october-2025'!$A:$A,'[8]october-2025'!$J:$J,0,0)</f>
        <v>0</v>
      </c>
      <c r="EI218">
        <f>_xlfn.XLOOKUP(C218,'[9]november-2025'!$A:$A,'[9]november-2025'!$J:$J,0,0)</f>
        <v>0</v>
      </c>
      <c r="EJ218">
        <f>_xlfn.XLOOKUP(B218,'[10]december-2025'!$A:$A,'[10]december-2025'!$J:$J,0,0)</f>
        <v>0</v>
      </c>
      <c r="EK218">
        <f>_xlfn.XLOOKUP(B218,'[11]january-2026'!$A:$A,'[11]january-2026'!$J:$J,0,0)</f>
        <v>0</v>
      </c>
      <c r="EL218">
        <f>_xlfn.XLOOKUP(B218,'[12]february-2026'!$A:$A,'[12]february-2026'!$J:$J,0,0)</f>
        <v>0</v>
      </c>
      <c r="EM218">
        <f t="shared" si="519"/>
        <v>0</v>
      </c>
      <c r="EN218">
        <f t="shared" si="509"/>
        <v>838692</v>
      </c>
      <c r="EO218">
        <f t="shared" si="510"/>
        <v>2400</v>
      </c>
      <c r="EP218">
        <f t="shared" si="566"/>
        <v>50000</v>
      </c>
      <c r="EQ218">
        <v>0</v>
      </c>
      <c r="ER218">
        <f t="shared" si="520"/>
        <v>786292</v>
      </c>
      <c r="ES218">
        <f t="shared" si="511"/>
        <v>120000</v>
      </c>
      <c r="ET218">
        <f t="shared" si="512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567"/>
        <v>120000</v>
      </c>
      <c r="FF218">
        <f t="shared" si="568"/>
        <v>120000</v>
      </c>
      <c r="FG218">
        <f t="shared" si="569"/>
        <v>666292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513"/>
        <v>0</v>
      </c>
      <c r="FP218">
        <f t="shared" si="570"/>
        <v>666292</v>
      </c>
      <c r="FQ218">
        <f t="shared" si="571"/>
        <v>12500</v>
      </c>
      <c r="FR218">
        <f t="shared" si="572"/>
        <v>33258</v>
      </c>
      <c r="FS218">
        <f t="shared" si="573"/>
        <v>45758</v>
      </c>
      <c r="FT218">
        <f t="shared" si="574"/>
        <v>45758</v>
      </c>
      <c r="FU218">
        <f t="shared" si="575"/>
        <v>1830.32</v>
      </c>
      <c r="FV218">
        <f t="shared" si="576"/>
        <v>47588</v>
      </c>
      <c r="FW218">
        <v>0</v>
      </c>
      <c r="FX218">
        <f t="shared" si="577"/>
        <v>47588</v>
      </c>
      <c r="FY218" t="b">
        <f t="shared" si="578"/>
        <v>1</v>
      </c>
      <c r="FZ218">
        <f t="shared" ca="1" si="579"/>
        <v>721</v>
      </c>
      <c r="GA218">
        <f t="shared" ca="1" si="580"/>
        <v>839413</v>
      </c>
      <c r="GB218">
        <f t="shared" si="581"/>
        <v>75000</v>
      </c>
      <c r="GC218">
        <f t="shared" ca="1" si="582"/>
        <v>764413</v>
      </c>
      <c r="GD218">
        <f t="shared" ca="1" si="583"/>
        <v>0</v>
      </c>
      <c r="GE218">
        <f t="shared" ca="1" si="584"/>
        <v>0</v>
      </c>
      <c r="GF218">
        <f t="shared" ca="1" si="585"/>
        <v>0</v>
      </c>
      <c r="GG218">
        <f t="shared" ca="1" si="586"/>
        <v>0</v>
      </c>
      <c r="GH218">
        <f t="shared" ca="1" si="587"/>
        <v>0</v>
      </c>
      <c r="GI218">
        <f t="shared" ca="1" si="588"/>
        <v>0</v>
      </c>
      <c r="GJ218">
        <f t="shared" ca="1" si="514"/>
        <v>0</v>
      </c>
      <c r="GK218">
        <f t="shared" ca="1" si="589"/>
        <v>0</v>
      </c>
      <c r="GL218">
        <f t="shared" ca="1" si="590"/>
        <v>0</v>
      </c>
      <c r="GM218">
        <f t="shared" ca="1" si="591"/>
        <v>0</v>
      </c>
      <c r="GN218">
        <f t="shared" ca="1" si="592"/>
        <v>364413</v>
      </c>
      <c r="GO218">
        <f t="shared" ca="1" si="593"/>
        <v>18220.650000000001</v>
      </c>
      <c r="GP218">
        <f t="shared" ca="1" si="594"/>
        <v>18221</v>
      </c>
      <c r="GQ218">
        <f t="shared" ca="1" si="595"/>
        <v>0</v>
      </c>
      <c r="GR218">
        <f t="shared" ca="1" si="596"/>
        <v>0</v>
      </c>
      <c r="GS218">
        <f t="shared" ca="1" si="597"/>
        <v>18221</v>
      </c>
      <c r="GT218">
        <f t="shared" ca="1" si="598"/>
        <v>0</v>
      </c>
      <c r="GU218" t="b">
        <f t="shared" ca="1" si="599"/>
        <v>0</v>
      </c>
      <c r="GV218">
        <f t="shared" ca="1" si="600"/>
        <v>0</v>
      </c>
      <c r="GW218">
        <f t="shared" ca="1" si="601"/>
        <v>18221</v>
      </c>
      <c r="GX218">
        <f t="shared" ca="1" si="602"/>
        <v>0</v>
      </c>
      <c r="GY218">
        <f t="shared" ca="1" si="603"/>
        <v>0</v>
      </c>
      <c r="GZ218">
        <f t="shared" ca="1" si="604"/>
        <v>0</v>
      </c>
    </row>
    <row r="219" spans="1:208" x14ac:dyDescent="0.3">
      <c r="A219">
        <f>_xlfn.AGGREGATE(3,5,$B$2:B219)</f>
        <v>218</v>
      </c>
      <c r="B219" t="s">
        <v>541</v>
      </c>
      <c r="C219" t="s">
        <v>542</v>
      </c>
      <c r="D219" t="s">
        <v>804</v>
      </c>
      <c r="E219" t="s">
        <v>831</v>
      </c>
      <c r="F219" t="s">
        <v>956</v>
      </c>
      <c r="G219" t="s">
        <v>907</v>
      </c>
      <c r="H219">
        <f t="shared" si="606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521"/>
        <v>6622.0000000000009</v>
      </c>
      <c r="L219">
        <f t="shared" si="522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499"/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605"/>
        <v>200</v>
      </c>
      <c r="S219">
        <f t="shared" si="515"/>
        <v>54398</v>
      </c>
      <c r="T219">
        <f>_xlfn.XLOOKUP(B219,'[2]april-2025'!$A:$A,'[2]april-2025'!$C:$C,0,0)</f>
        <v>47300</v>
      </c>
      <c r="U219">
        <f t="shared" si="523"/>
        <v>8514</v>
      </c>
      <c r="V219">
        <f t="shared" si="524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516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525"/>
        <v>200</v>
      </c>
      <c r="AC219">
        <f t="shared" si="526"/>
        <v>56290</v>
      </c>
      <c r="AD219">
        <f>_xlfn.XLOOKUP(B219,'[3]may-2025'!$A:$A,'[3]may-2025'!$C:$C,0,0)</f>
        <v>47300</v>
      </c>
      <c r="AE219">
        <f t="shared" si="527"/>
        <v>8514</v>
      </c>
      <c r="AF219">
        <f t="shared" si="528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517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529"/>
        <v>200</v>
      </c>
      <c r="AM219">
        <f t="shared" si="530"/>
        <v>56290</v>
      </c>
      <c r="AN219">
        <f>_xlfn.XLOOKUP(B219,'[4]june-2025'!$A:$A,'[4]june-2025'!$C:$C,0,0)</f>
        <v>47300</v>
      </c>
      <c r="AO219">
        <f t="shared" si="531"/>
        <v>8514</v>
      </c>
      <c r="AP219">
        <f t="shared" si="532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518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533"/>
        <v>200</v>
      </c>
      <c r="AW219">
        <f t="shared" si="534"/>
        <v>56290</v>
      </c>
      <c r="AX219">
        <f>_xlfn.XLOOKUP(B219,'[5]july-2025'!$A:$A,'[5]july-2025'!$C:$C,0,0)</f>
        <v>48700</v>
      </c>
      <c r="AY219">
        <f t="shared" si="535"/>
        <v>8766</v>
      </c>
      <c r="AZ219">
        <v>0</v>
      </c>
      <c r="BA219">
        <f t="shared" si="536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500"/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537"/>
        <v>200</v>
      </c>
      <c r="BH219">
        <f t="shared" si="538"/>
        <v>58110</v>
      </c>
      <c r="BI219">
        <f>_xlfn.XLOOKUP(B219,'[6]august-2025'!$A:$A,'[6]august-2025'!$C:$C,0,0)</f>
        <v>48700</v>
      </c>
      <c r="BJ219">
        <f t="shared" si="539"/>
        <v>8766</v>
      </c>
      <c r="BK219">
        <f t="shared" si="540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541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501"/>
        <v>200</v>
      </c>
      <c r="BR219">
        <f t="shared" si="502"/>
        <v>58110</v>
      </c>
      <c r="BS219">
        <f>_xlfn.XLOOKUP(B219,'[7]september-2025'!$A:$A,'[7]september-2025'!$C:$C,0,0)</f>
        <v>48700</v>
      </c>
      <c r="BT219">
        <f t="shared" si="542"/>
        <v>8766</v>
      </c>
      <c r="BU219">
        <f t="shared" si="543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503"/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544"/>
        <v>200</v>
      </c>
      <c r="CB219">
        <f t="shared" si="545"/>
        <v>58110</v>
      </c>
      <c r="CC219">
        <f>_xlfn.XLOOKUP(B219,'[8]october-2025'!$A:$A,'[8]october-2025'!$C:$C,0,0)</f>
        <v>48700</v>
      </c>
      <c r="CD219">
        <f t="shared" si="546"/>
        <v>8766</v>
      </c>
      <c r="CE219">
        <f t="shared" si="547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504"/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548"/>
        <v>200</v>
      </c>
      <c r="CL219">
        <f t="shared" si="549"/>
        <v>58110</v>
      </c>
      <c r="CM219">
        <f>_xlfn.XLOOKUP(B219,'[9]november-2025'!$A:$A,'[9]november-2025'!$C:$C,0,0)</f>
        <v>48700</v>
      </c>
      <c r="CN219">
        <f t="shared" si="550"/>
        <v>8766</v>
      </c>
      <c r="CO219">
        <f t="shared" si="551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505"/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552"/>
        <v>200</v>
      </c>
      <c r="CV219">
        <f t="shared" si="553"/>
        <v>58110</v>
      </c>
      <c r="CW219">
        <f>_xlfn.XLOOKUP(B219,'[10]december-2025'!$A:$A,'[10]december-2025'!$C:$C,0,0)</f>
        <v>48700</v>
      </c>
      <c r="CX219">
        <f t="shared" si="554"/>
        <v>8766</v>
      </c>
      <c r="CY219">
        <f t="shared" si="555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506"/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556"/>
        <v>200</v>
      </c>
      <c r="DF219">
        <f t="shared" si="557"/>
        <v>58110</v>
      </c>
      <c r="DG219">
        <f>_xlfn.XLOOKUP(B219,'[11]january-2026'!$A:$A,'[11]january-2026'!$C:$C,0,0)</f>
        <v>48700</v>
      </c>
      <c r="DH219">
        <f t="shared" si="558"/>
        <v>8766</v>
      </c>
      <c r="DI219">
        <f t="shared" si="559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07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60"/>
        <v>200</v>
      </c>
      <c r="DP219">
        <f t="shared" si="561"/>
        <v>58110</v>
      </c>
      <c r="DQ219">
        <f>_xlfn.XLOOKUP(B219,'[12]february-2026'!$A:$A,'[12]february-2026'!$C:$C,0,0)</f>
        <v>48700</v>
      </c>
      <c r="DR219">
        <f t="shared" si="562"/>
        <v>8766</v>
      </c>
      <c r="DS219">
        <f t="shared" si="563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08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64"/>
        <v>200</v>
      </c>
      <c r="DZ219">
        <f t="shared" si="565"/>
        <v>58110</v>
      </c>
      <c r="EA219">
        <f>_xlfn.XLOOKUP(B219,'[1]march-2025'!$A:$A,'[1]march-2025'!$J:$J,0,0)</f>
        <v>0</v>
      </c>
      <c r="EB219">
        <f>_xlfn.XLOOKUP(B219,'[2]april-2025'!$A:$A,'[2]april-2025'!$J:$J,0,0)</f>
        <v>0</v>
      </c>
      <c r="EC219">
        <f>_xlfn.XLOOKUP(B219,'[3]may-2025'!$A:$A,'[3]may-2025'!$J:$J,0,0)</f>
        <v>0</v>
      </c>
      <c r="ED219">
        <f>_xlfn.XLOOKUP(B219,'[4]june-2025'!$A:$A,'[4]june-2025'!$J:$J,0,0)</f>
        <v>0</v>
      </c>
      <c r="EE219">
        <f>_xlfn.XLOOKUP(B219,'[5]july-2025'!$A:$A,'[5]july-2025'!$J:$J,0,0)</f>
        <v>0</v>
      </c>
      <c r="EF219">
        <f>_xlfn.XLOOKUP(B219,'[6]august-2025'!$A:$A,'[6]august-2025'!$J:$J,0,0)</f>
        <v>0</v>
      </c>
      <c r="EG219">
        <f>_xlfn.XLOOKUP(B219,'[7]september-2025'!$A:$A,'[7]september-2025'!$J:$J,0,0)</f>
        <v>0</v>
      </c>
      <c r="EH219">
        <f>_xlfn.XLOOKUP(B219,'[8]october-2025'!$A:$A,'[8]october-2025'!$J:$J,0,0)</f>
        <v>0</v>
      </c>
      <c r="EI219">
        <f>_xlfn.XLOOKUP(C219,'[9]november-2025'!$A:$A,'[9]november-2025'!$J:$J,0,0)</f>
        <v>0</v>
      </c>
      <c r="EJ219">
        <f>_xlfn.XLOOKUP(B219,'[10]december-2025'!$A:$A,'[10]december-2025'!$J:$J,0,0)</f>
        <v>0</v>
      </c>
      <c r="EK219">
        <f>_xlfn.XLOOKUP(B219,'[11]january-2026'!$A:$A,'[11]january-2026'!$J:$J,0,0)</f>
        <v>0</v>
      </c>
      <c r="EL219">
        <f>_xlfn.XLOOKUP(B219,'[12]february-2026'!$A:$A,'[12]february-2026'!$J:$J,0,0)</f>
        <v>0</v>
      </c>
      <c r="EM219">
        <f t="shared" si="519"/>
        <v>0</v>
      </c>
      <c r="EN219">
        <f t="shared" si="509"/>
        <v>757348</v>
      </c>
      <c r="EO219">
        <f t="shared" si="510"/>
        <v>2400</v>
      </c>
      <c r="EP219">
        <f t="shared" si="566"/>
        <v>50000</v>
      </c>
      <c r="EQ219">
        <v>0</v>
      </c>
      <c r="ER219">
        <f t="shared" si="520"/>
        <v>704948</v>
      </c>
      <c r="ES219">
        <f t="shared" si="511"/>
        <v>60000</v>
      </c>
      <c r="ET219">
        <f t="shared" si="512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567"/>
        <v>60000</v>
      </c>
      <c r="FF219">
        <f t="shared" si="568"/>
        <v>60000</v>
      </c>
      <c r="FG219">
        <f t="shared" si="569"/>
        <v>644948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513"/>
        <v>0</v>
      </c>
      <c r="FP219">
        <f t="shared" si="570"/>
        <v>644948</v>
      </c>
      <c r="FQ219">
        <f t="shared" si="571"/>
        <v>12500</v>
      </c>
      <c r="FR219">
        <f t="shared" si="572"/>
        <v>28990</v>
      </c>
      <c r="FS219">
        <f t="shared" si="573"/>
        <v>41490</v>
      </c>
      <c r="FT219">
        <f t="shared" si="574"/>
        <v>41490</v>
      </c>
      <c r="FU219">
        <f t="shared" si="575"/>
        <v>1659.6000000000001</v>
      </c>
      <c r="FV219">
        <f t="shared" si="576"/>
        <v>43150</v>
      </c>
      <c r="FW219">
        <v>0</v>
      </c>
      <c r="FX219">
        <f t="shared" si="577"/>
        <v>43150</v>
      </c>
      <c r="FY219" t="b">
        <f t="shared" si="578"/>
        <v>1</v>
      </c>
      <c r="FZ219">
        <f t="shared" ca="1" si="579"/>
        <v>705</v>
      </c>
      <c r="GA219">
        <f t="shared" ca="1" si="580"/>
        <v>758053</v>
      </c>
      <c r="GB219">
        <f t="shared" si="581"/>
        <v>75000</v>
      </c>
      <c r="GC219">
        <f t="shared" ca="1" si="582"/>
        <v>683053</v>
      </c>
      <c r="GD219">
        <f t="shared" ca="1" si="583"/>
        <v>0</v>
      </c>
      <c r="GE219">
        <f t="shared" ca="1" si="584"/>
        <v>0</v>
      </c>
      <c r="GF219">
        <f t="shared" ca="1" si="585"/>
        <v>0</v>
      </c>
      <c r="GG219">
        <f t="shared" ca="1" si="586"/>
        <v>0</v>
      </c>
      <c r="GH219">
        <f t="shared" ca="1" si="587"/>
        <v>0</v>
      </c>
      <c r="GI219">
        <f t="shared" ca="1" si="588"/>
        <v>0</v>
      </c>
      <c r="GJ219">
        <f t="shared" ca="1" si="514"/>
        <v>0</v>
      </c>
      <c r="GK219">
        <f t="shared" ca="1" si="589"/>
        <v>0</v>
      </c>
      <c r="GL219">
        <f t="shared" ca="1" si="590"/>
        <v>0</v>
      </c>
      <c r="GM219">
        <f t="shared" ca="1" si="591"/>
        <v>0</v>
      </c>
      <c r="GN219">
        <f t="shared" ca="1" si="592"/>
        <v>283053</v>
      </c>
      <c r="GO219">
        <f t="shared" ca="1" si="593"/>
        <v>14152.650000000001</v>
      </c>
      <c r="GP219">
        <f t="shared" ca="1" si="594"/>
        <v>14153</v>
      </c>
      <c r="GQ219">
        <f t="shared" ca="1" si="595"/>
        <v>0</v>
      </c>
      <c r="GR219">
        <f t="shared" ca="1" si="596"/>
        <v>0</v>
      </c>
      <c r="GS219">
        <f t="shared" ca="1" si="597"/>
        <v>14153</v>
      </c>
      <c r="GT219">
        <f t="shared" ca="1" si="598"/>
        <v>0</v>
      </c>
      <c r="GU219" t="b">
        <f t="shared" ca="1" si="599"/>
        <v>0</v>
      </c>
      <c r="GV219">
        <f t="shared" ca="1" si="600"/>
        <v>0</v>
      </c>
      <c r="GW219">
        <f t="shared" ca="1" si="601"/>
        <v>14153</v>
      </c>
      <c r="GX219">
        <f t="shared" ca="1" si="602"/>
        <v>0</v>
      </c>
      <c r="GY219">
        <f t="shared" ca="1" si="603"/>
        <v>0</v>
      </c>
      <c r="GZ219">
        <f t="shared" ca="1" si="604"/>
        <v>0</v>
      </c>
    </row>
    <row r="220" spans="1:208" x14ac:dyDescent="0.3">
      <c r="A220">
        <f>_xlfn.AGGREGATE(3,5,$B$2:B220)</f>
        <v>219</v>
      </c>
      <c r="B220" t="s">
        <v>543</v>
      </c>
      <c r="C220" t="s">
        <v>544</v>
      </c>
      <c r="D220" t="s">
        <v>804</v>
      </c>
      <c r="E220" t="s">
        <v>831</v>
      </c>
      <c r="F220" t="s">
        <v>956</v>
      </c>
      <c r="G220" t="s">
        <v>884</v>
      </c>
      <c r="H220">
        <f t="shared" si="606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521"/>
        <v>7028.0000000000009</v>
      </c>
      <c r="L220">
        <f t="shared" si="522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499"/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605"/>
        <v>200</v>
      </c>
      <c r="S220">
        <f t="shared" si="515"/>
        <v>58992</v>
      </c>
      <c r="T220">
        <f>_xlfn.XLOOKUP(B220,'[2]april-2025'!$A:$A,'[2]april-2025'!$C:$C,0,0)</f>
        <v>50200</v>
      </c>
      <c r="U220">
        <f t="shared" si="523"/>
        <v>9036</v>
      </c>
      <c r="V220">
        <f t="shared" si="524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516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525"/>
        <v>200</v>
      </c>
      <c r="AC220">
        <f t="shared" si="526"/>
        <v>61000</v>
      </c>
      <c r="AD220">
        <f>_xlfn.XLOOKUP(B220,'[3]may-2025'!$A:$A,'[3]may-2025'!$C:$C,0,0)</f>
        <v>50200</v>
      </c>
      <c r="AE220">
        <f t="shared" si="527"/>
        <v>9036</v>
      </c>
      <c r="AF220">
        <f t="shared" si="528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517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529"/>
        <v>200</v>
      </c>
      <c r="AM220">
        <f t="shared" si="530"/>
        <v>61000</v>
      </c>
      <c r="AN220">
        <f>_xlfn.XLOOKUP(B220,'[4]june-2025'!$A:$A,'[4]june-2025'!$C:$C,0,0)</f>
        <v>50200</v>
      </c>
      <c r="AO220">
        <f t="shared" si="531"/>
        <v>9036</v>
      </c>
      <c r="AP220">
        <f t="shared" si="532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518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533"/>
        <v>200</v>
      </c>
      <c r="AW220">
        <f t="shared" si="534"/>
        <v>61000</v>
      </c>
      <c r="AX220">
        <f>_xlfn.XLOOKUP(B220,'[5]july-2025'!$A:$A,'[5]july-2025'!$C:$C,0,0)</f>
        <v>51700</v>
      </c>
      <c r="AY220">
        <f t="shared" si="535"/>
        <v>9306</v>
      </c>
      <c r="AZ220">
        <v>0</v>
      </c>
      <c r="BA220">
        <f t="shared" si="536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500"/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537"/>
        <v>200</v>
      </c>
      <c r="BH220">
        <f t="shared" si="538"/>
        <v>62950</v>
      </c>
      <c r="BI220">
        <f>_xlfn.XLOOKUP(B220,'[6]august-2025'!$A:$A,'[6]august-2025'!$C:$C,0,0)</f>
        <v>51700</v>
      </c>
      <c r="BJ220">
        <f t="shared" si="539"/>
        <v>9306</v>
      </c>
      <c r="BK220">
        <f t="shared" si="540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541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 t="shared" si="501"/>
        <v>200</v>
      </c>
      <c r="BR220">
        <f t="shared" si="502"/>
        <v>62950</v>
      </c>
      <c r="BS220">
        <f>_xlfn.XLOOKUP(B220,'[7]september-2025'!$A:$A,'[7]september-2025'!$C:$C,0,0)</f>
        <v>51700</v>
      </c>
      <c r="BT220">
        <f t="shared" si="542"/>
        <v>9306</v>
      </c>
      <c r="BU220">
        <f t="shared" si="543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503"/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544"/>
        <v>200</v>
      </c>
      <c r="CB220">
        <f t="shared" si="545"/>
        <v>62950</v>
      </c>
      <c r="CC220">
        <f>_xlfn.XLOOKUP(B220,'[8]october-2025'!$A:$A,'[8]october-2025'!$C:$C,0,0)</f>
        <v>51700</v>
      </c>
      <c r="CD220">
        <f t="shared" si="546"/>
        <v>9306</v>
      </c>
      <c r="CE220">
        <f t="shared" si="547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504"/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548"/>
        <v>200</v>
      </c>
      <c r="CL220">
        <f t="shared" si="549"/>
        <v>62950</v>
      </c>
      <c r="CM220">
        <f>_xlfn.XLOOKUP(B220,'[9]november-2025'!$A:$A,'[9]november-2025'!$C:$C,0,0)</f>
        <v>51700</v>
      </c>
      <c r="CN220">
        <f t="shared" si="550"/>
        <v>9306</v>
      </c>
      <c r="CO220">
        <f t="shared" si="551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505"/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552"/>
        <v>200</v>
      </c>
      <c r="CV220">
        <f t="shared" si="553"/>
        <v>62950</v>
      </c>
      <c r="CW220">
        <f>_xlfn.XLOOKUP(B220,'[10]december-2025'!$A:$A,'[10]december-2025'!$C:$C,0,0)</f>
        <v>51700</v>
      </c>
      <c r="CX220">
        <f t="shared" si="554"/>
        <v>9306</v>
      </c>
      <c r="CY220">
        <f t="shared" si="555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506"/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556"/>
        <v>200</v>
      </c>
      <c r="DF220">
        <f t="shared" si="557"/>
        <v>62950</v>
      </c>
      <c r="DG220">
        <f>_xlfn.XLOOKUP(B220,'[11]january-2026'!$A:$A,'[11]january-2026'!$C:$C,0,0)</f>
        <v>51700</v>
      </c>
      <c r="DH220">
        <f t="shared" si="558"/>
        <v>9306</v>
      </c>
      <c r="DI220">
        <f t="shared" si="559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07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60"/>
        <v>200</v>
      </c>
      <c r="DP220">
        <f t="shared" si="561"/>
        <v>62950</v>
      </c>
      <c r="DQ220">
        <f>_xlfn.XLOOKUP(B220,'[12]february-2026'!$A:$A,'[12]february-2026'!$C:$C,0,0)</f>
        <v>51700</v>
      </c>
      <c r="DR220">
        <f t="shared" si="562"/>
        <v>9306</v>
      </c>
      <c r="DS220">
        <f t="shared" si="563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08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64"/>
        <v>200</v>
      </c>
      <c r="DZ220">
        <f t="shared" si="565"/>
        <v>62950</v>
      </c>
      <c r="EA220">
        <f>_xlfn.XLOOKUP(B220,'[1]march-2025'!$A:$A,'[1]march-2025'!$J:$J,0,0)</f>
        <v>0</v>
      </c>
      <c r="EB220">
        <f>_xlfn.XLOOKUP(B220,'[2]april-2025'!$A:$A,'[2]april-2025'!$J:$J,0,0)</f>
        <v>0</v>
      </c>
      <c r="EC220">
        <f>_xlfn.XLOOKUP(B220,'[3]may-2025'!$A:$A,'[3]may-2025'!$J:$J,0,0)</f>
        <v>0</v>
      </c>
      <c r="ED220">
        <f>_xlfn.XLOOKUP(B220,'[4]june-2025'!$A:$A,'[4]june-2025'!$J:$J,0,0)</f>
        <v>0</v>
      </c>
      <c r="EE220">
        <f>_xlfn.XLOOKUP(B220,'[5]july-2025'!$A:$A,'[5]july-2025'!$J:$J,0,0)</f>
        <v>0</v>
      </c>
      <c r="EF220">
        <f>_xlfn.XLOOKUP(B220,'[6]august-2025'!$A:$A,'[6]august-2025'!$J:$J,0,0)</f>
        <v>0</v>
      </c>
      <c r="EG220">
        <f>_xlfn.XLOOKUP(B220,'[7]september-2025'!$A:$A,'[7]september-2025'!$J:$J,0,0)</f>
        <v>0</v>
      </c>
      <c r="EH220">
        <f>_xlfn.XLOOKUP(B220,'[8]october-2025'!$A:$A,'[8]october-2025'!$J:$J,0,0)</f>
        <v>0</v>
      </c>
      <c r="EI220">
        <f>_xlfn.XLOOKUP(C220,'[9]november-2025'!$A:$A,'[9]november-2025'!$J:$J,0,0)</f>
        <v>0</v>
      </c>
      <c r="EJ220">
        <f>_xlfn.XLOOKUP(B220,'[10]december-2025'!$A:$A,'[10]december-2025'!$J:$J,0,0)</f>
        <v>0</v>
      </c>
      <c r="EK220">
        <f>_xlfn.XLOOKUP(B220,'[11]january-2026'!$A:$A,'[11]january-2026'!$J:$J,0,0)</f>
        <v>0</v>
      </c>
      <c r="EL220">
        <f>_xlfn.XLOOKUP(B220,'[12]february-2026'!$A:$A,'[12]february-2026'!$J:$J,0,0)</f>
        <v>0</v>
      </c>
      <c r="EM220">
        <f t="shared" si="519"/>
        <v>0</v>
      </c>
      <c r="EN220">
        <f t="shared" si="509"/>
        <v>803512</v>
      </c>
      <c r="EO220">
        <f t="shared" si="510"/>
        <v>2400</v>
      </c>
      <c r="EP220">
        <f t="shared" si="566"/>
        <v>50000</v>
      </c>
      <c r="EQ220">
        <v>0</v>
      </c>
      <c r="ER220">
        <f t="shared" si="520"/>
        <v>751112</v>
      </c>
      <c r="ES220">
        <f t="shared" si="511"/>
        <v>48000</v>
      </c>
      <c r="ET220">
        <f t="shared" si="512"/>
        <v>720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567"/>
        <v>48720</v>
      </c>
      <c r="FF220">
        <f t="shared" si="568"/>
        <v>48720</v>
      </c>
      <c r="FG220">
        <f t="shared" si="569"/>
        <v>702392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513"/>
        <v>0</v>
      </c>
      <c r="FP220">
        <f t="shared" si="570"/>
        <v>702392</v>
      </c>
      <c r="FQ220">
        <f t="shared" si="571"/>
        <v>12500</v>
      </c>
      <c r="FR220">
        <f t="shared" si="572"/>
        <v>40478</v>
      </c>
      <c r="FS220">
        <f t="shared" si="573"/>
        <v>52978</v>
      </c>
      <c r="FT220">
        <f t="shared" si="574"/>
        <v>52978</v>
      </c>
      <c r="FU220">
        <f t="shared" si="575"/>
        <v>2119.12</v>
      </c>
      <c r="FV220">
        <f t="shared" si="576"/>
        <v>55097</v>
      </c>
      <c r="FW220">
        <v>0</v>
      </c>
      <c r="FX220">
        <f t="shared" si="577"/>
        <v>55097</v>
      </c>
      <c r="FY220" t="b">
        <f t="shared" si="578"/>
        <v>1</v>
      </c>
      <c r="FZ220">
        <f t="shared" ca="1" si="579"/>
        <v>740</v>
      </c>
      <c r="GA220">
        <f t="shared" ca="1" si="580"/>
        <v>804252</v>
      </c>
      <c r="GB220">
        <f t="shared" si="581"/>
        <v>75000</v>
      </c>
      <c r="GC220">
        <f t="shared" ca="1" si="582"/>
        <v>729252</v>
      </c>
      <c r="GD220">
        <f t="shared" ca="1" si="583"/>
        <v>0</v>
      </c>
      <c r="GE220">
        <f t="shared" ca="1" si="584"/>
        <v>0</v>
      </c>
      <c r="GF220">
        <f t="shared" ca="1" si="585"/>
        <v>0</v>
      </c>
      <c r="GG220">
        <f t="shared" ca="1" si="586"/>
        <v>0</v>
      </c>
      <c r="GH220">
        <f t="shared" ca="1" si="587"/>
        <v>0</v>
      </c>
      <c r="GI220">
        <f t="shared" ca="1" si="588"/>
        <v>0</v>
      </c>
      <c r="GJ220">
        <f t="shared" ca="1" si="514"/>
        <v>0</v>
      </c>
      <c r="GK220">
        <f t="shared" ca="1" si="589"/>
        <v>0</v>
      </c>
      <c r="GL220">
        <f t="shared" ca="1" si="590"/>
        <v>0</v>
      </c>
      <c r="GM220">
        <f t="shared" ca="1" si="591"/>
        <v>0</v>
      </c>
      <c r="GN220">
        <f t="shared" ca="1" si="592"/>
        <v>329252</v>
      </c>
      <c r="GO220">
        <f t="shared" ca="1" si="593"/>
        <v>16462.600000000002</v>
      </c>
      <c r="GP220">
        <f t="shared" ca="1" si="594"/>
        <v>16463</v>
      </c>
      <c r="GQ220">
        <f t="shared" ca="1" si="595"/>
        <v>0</v>
      </c>
      <c r="GR220">
        <f t="shared" ca="1" si="596"/>
        <v>0</v>
      </c>
      <c r="GS220">
        <f t="shared" ca="1" si="597"/>
        <v>16463</v>
      </c>
      <c r="GT220">
        <f t="shared" ca="1" si="598"/>
        <v>0</v>
      </c>
      <c r="GU220" t="b">
        <f t="shared" ca="1" si="599"/>
        <v>0</v>
      </c>
      <c r="GV220">
        <f t="shared" ca="1" si="600"/>
        <v>0</v>
      </c>
      <c r="GW220">
        <f t="shared" ca="1" si="601"/>
        <v>16463</v>
      </c>
      <c r="GX220">
        <f t="shared" ca="1" si="602"/>
        <v>0</v>
      </c>
      <c r="GY220">
        <f t="shared" ca="1" si="603"/>
        <v>0</v>
      </c>
      <c r="GZ220">
        <f t="shared" ca="1" si="604"/>
        <v>0</v>
      </c>
    </row>
    <row r="221" spans="1:208" x14ac:dyDescent="0.3">
      <c r="A221">
        <f>_xlfn.AGGREGATE(3,5,$B$2:B221)</f>
        <v>220</v>
      </c>
      <c r="B221" t="s">
        <v>545</v>
      </c>
      <c r="C221" t="s">
        <v>546</v>
      </c>
      <c r="D221" t="s">
        <v>804</v>
      </c>
      <c r="E221" t="s">
        <v>830</v>
      </c>
      <c r="F221" t="s">
        <v>956</v>
      </c>
      <c r="G221" t="s">
        <v>923</v>
      </c>
      <c r="H221">
        <f t="shared" si="606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521"/>
        <v>4690</v>
      </c>
      <c r="L221">
        <f t="shared" si="522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 t="shared" si="499"/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605"/>
        <v>200</v>
      </c>
      <c r="S221">
        <f t="shared" si="515"/>
        <v>37010</v>
      </c>
      <c r="T221">
        <f>_xlfn.XLOOKUP(B221,'[2]april-2025'!$A:$A,'[2]april-2025'!$C:$C,0,0)</f>
        <v>33500</v>
      </c>
      <c r="U221">
        <f t="shared" si="523"/>
        <v>6030</v>
      </c>
      <c r="V221">
        <f t="shared" si="524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516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525"/>
        <v>200</v>
      </c>
      <c r="AC221">
        <f t="shared" si="526"/>
        <v>38350</v>
      </c>
      <c r="AD221">
        <f>_xlfn.XLOOKUP(B221,'[3]may-2025'!$A:$A,'[3]may-2025'!$C:$C,0,0)</f>
        <v>33500</v>
      </c>
      <c r="AE221">
        <f t="shared" si="527"/>
        <v>6030</v>
      </c>
      <c r="AF221">
        <f t="shared" si="528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517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529"/>
        <v>200</v>
      </c>
      <c r="AM221">
        <f t="shared" si="530"/>
        <v>38350</v>
      </c>
      <c r="AN221">
        <f>_xlfn.XLOOKUP(B221,'[4]june-2025'!$A:$A,'[4]june-2025'!$C:$C,0,0)</f>
        <v>33500</v>
      </c>
      <c r="AO221">
        <f t="shared" si="531"/>
        <v>6030</v>
      </c>
      <c r="AP221">
        <f t="shared" si="532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518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533"/>
        <v>200</v>
      </c>
      <c r="AW221">
        <f t="shared" si="534"/>
        <v>38350</v>
      </c>
      <c r="AX221">
        <f>_xlfn.XLOOKUP(B221,'[5]july-2025'!$A:$A,'[5]july-2025'!$C:$C,0,0)</f>
        <v>34500</v>
      </c>
      <c r="AY221">
        <f t="shared" si="535"/>
        <v>6210</v>
      </c>
      <c r="AZ221">
        <v>0</v>
      </c>
      <c r="BA221">
        <f t="shared" si="536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 t="shared" si="500"/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537"/>
        <v>200</v>
      </c>
      <c r="BH221">
        <f t="shared" si="538"/>
        <v>39650</v>
      </c>
      <c r="BI221">
        <f>_xlfn.XLOOKUP(B221,'[6]august-2025'!$A:$A,'[6]august-2025'!$C:$C,0,0)</f>
        <v>34500</v>
      </c>
      <c r="BJ221">
        <f t="shared" si="539"/>
        <v>6210</v>
      </c>
      <c r="BK221">
        <f t="shared" si="540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541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501"/>
        <v>200</v>
      </c>
      <c r="BR221">
        <f t="shared" si="502"/>
        <v>39650</v>
      </c>
      <c r="BS221">
        <f>_xlfn.XLOOKUP(B221,'[7]september-2025'!$A:$A,'[7]september-2025'!$C:$C,0,0)</f>
        <v>34500</v>
      </c>
      <c r="BT221">
        <f t="shared" si="542"/>
        <v>6210</v>
      </c>
      <c r="BU221">
        <f t="shared" si="543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 t="shared" si="503"/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544"/>
        <v>200</v>
      </c>
      <c r="CB221">
        <f t="shared" si="545"/>
        <v>39650</v>
      </c>
      <c r="CC221">
        <f>_xlfn.XLOOKUP(B221,'[8]october-2025'!$A:$A,'[8]october-2025'!$C:$C,0,0)</f>
        <v>34500</v>
      </c>
      <c r="CD221">
        <f t="shared" si="546"/>
        <v>6210</v>
      </c>
      <c r="CE221">
        <f t="shared" si="547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 t="shared" si="504"/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548"/>
        <v>200</v>
      </c>
      <c r="CL221">
        <f t="shared" si="549"/>
        <v>39650</v>
      </c>
      <c r="CM221">
        <f>_xlfn.XLOOKUP(B221,'[9]november-2025'!$A:$A,'[9]november-2025'!$C:$C,0,0)</f>
        <v>34500</v>
      </c>
      <c r="CN221">
        <f t="shared" si="550"/>
        <v>6210</v>
      </c>
      <c r="CO221">
        <f t="shared" si="551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 t="shared" si="505"/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552"/>
        <v>200</v>
      </c>
      <c r="CV221">
        <f t="shared" si="553"/>
        <v>39650</v>
      </c>
      <c r="CW221">
        <f>_xlfn.XLOOKUP(B221,'[10]december-2025'!$A:$A,'[10]december-2025'!$C:$C,0,0)</f>
        <v>34500</v>
      </c>
      <c r="CX221">
        <f t="shared" si="554"/>
        <v>6210</v>
      </c>
      <c r="CY221">
        <f t="shared" si="555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 t="shared" si="506"/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556"/>
        <v>200</v>
      </c>
      <c r="DF221">
        <f t="shared" si="557"/>
        <v>39650</v>
      </c>
      <c r="DG221">
        <f>_xlfn.XLOOKUP(B221,'[11]january-2026'!$A:$A,'[11]january-2026'!$C:$C,0,0)</f>
        <v>34500</v>
      </c>
      <c r="DH221">
        <f t="shared" si="558"/>
        <v>6210</v>
      </c>
      <c r="DI221">
        <f t="shared" si="559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07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60"/>
        <v>200</v>
      </c>
      <c r="DP221">
        <f t="shared" si="561"/>
        <v>39650</v>
      </c>
      <c r="DQ221">
        <f>_xlfn.XLOOKUP(B221,'[12]february-2026'!$A:$A,'[12]february-2026'!$C:$C,0,0)</f>
        <v>34500</v>
      </c>
      <c r="DR221">
        <f t="shared" si="562"/>
        <v>6210</v>
      </c>
      <c r="DS221">
        <f t="shared" si="563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08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64"/>
        <v>200</v>
      </c>
      <c r="DZ221">
        <f t="shared" si="565"/>
        <v>39650</v>
      </c>
      <c r="EA221">
        <f>_xlfn.XLOOKUP(B221,'[1]march-2025'!$A:$A,'[1]march-2025'!$J:$J,0,0)</f>
        <v>0</v>
      </c>
      <c r="EB221">
        <f>_xlfn.XLOOKUP(B221,'[2]april-2025'!$A:$A,'[2]april-2025'!$J:$J,0,0)</f>
        <v>0</v>
      </c>
      <c r="EC221">
        <f>_xlfn.XLOOKUP(B221,'[3]may-2025'!$A:$A,'[3]may-2025'!$J:$J,0,0)</f>
        <v>0</v>
      </c>
      <c r="ED221">
        <f>_xlfn.XLOOKUP(B221,'[4]june-2025'!$A:$A,'[4]june-2025'!$J:$J,0,0)</f>
        <v>0</v>
      </c>
      <c r="EE221">
        <f>_xlfn.XLOOKUP(B221,'[5]july-2025'!$A:$A,'[5]july-2025'!$J:$J,0,0)</f>
        <v>0</v>
      </c>
      <c r="EF221">
        <f>_xlfn.XLOOKUP(B221,'[6]august-2025'!$A:$A,'[6]august-2025'!$J:$J,0,0)</f>
        <v>0</v>
      </c>
      <c r="EG221">
        <f>_xlfn.XLOOKUP(B221,'[7]september-2025'!$A:$A,'[7]september-2025'!$J:$J,0,0)</f>
        <v>0</v>
      </c>
      <c r="EH221">
        <f>_xlfn.XLOOKUP(B221,'[8]october-2025'!$A:$A,'[8]october-2025'!$J:$J,0,0)</f>
        <v>0</v>
      </c>
      <c r="EI221">
        <f>_xlfn.XLOOKUP(C221,'[9]november-2025'!$A:$A,'[9]november-2025'!$J:$J,0,0)</f>
        <v>0</v>
      </c>
      <c r="EJ221">
        <f>_xlfn.XLOOKUP(B221,'[10]december-2025'!$A:$A,'[10]december-2025'!$J:$J,0,0)</f>
        <v>0</v>
      </c>
      <c r="EK221">
        <f>_xlfn.XLOOKUP(B221,'[11]january-2026'!$A:$A,'[11]january-2026'!$J:$J,0,0)</f>
        <v>0</v>
      </c>
      <c r="EL221">
        <f>_xlfn.XLOOKUP(B221,'[12]february-2026'!$A:$A,'[12]february-2026'!$J:$J,0,0)</f>
        <v>0</v>
      </c>
      <c r="EM221">
        <f t="shared" si="519"/>
        <v>0</v>
      </c>
      <c r="EN221">
        <f t="shared" si="509"/>
        <v>538460</v>
      </c>
      <c r="EO221">
        <f t="shared" si="510"/>
        <v>2400</v>
      </c>
      <c r="EP221">
        <f t="shared" si="566"/>
        <v>50000</v>
      </c>
      <c r="EQ221">
        <v>0</v>
      </c>
      <c r="ER221">
        <f t="shared" si="520"/>
        <v>486060</v>
      </c>
      <c r="ES221">
        <f t="shared" si="511"/>
        <v>60000</v>
      </c>
      <c r="ET221">
        <f t="shared" si="512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567"/>
        <v>60000</v>
      </c>
      <c r="FF221">
        <f t="shared" si="568"/>
        <v>60000</v>
      </c>
      <c r="FG221">
        <f t="shared" si="569"/>
        <v>426060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513"/>
        <v>0</v>
      </c>
      <c r="FP221">
        <f t="shared" si="570"/>
        <v>426060</v>
      </c>
      <c r="FQ221">
        <f t="shared" si="571"/>
        <v>8803</v>
      </c>
      <c r="FR221">
        <f t="shared" si="572"/>
        <v>0</v>
      </c>
      <c r="FS221">
        <f t="shared" si="573"/>
        <v>8803</v>
      </c>
      <c r="FT221">
        <f t="shared" si="574"/>
        <v>0</v>
      </c>
      <c r="FU221">
        <f t="shared" si="575"/>
        <v>0</v>
      </c>
      <c r="FV221">
        <f t="shared" si="576"/>
        <v>0</v>
      </c>
      <c r="FW221">
        <v>0</v>
      </c>
      <c r="FX221">
        <f t="shared" si="577"/>
        <v>0</v>
      </c>
      <c r="FY221" t="b">
        <f t="shared" si="578"/>
        <v>1</v>
      </c>
      <c r="FZ221">
        <f t="shared" ca="1" si="579"/>
        <v>664</v>
      </c>
      <c r="GA221">
        <f t="shared" ca="1" si="580"/>
        <v>539124</v>
      </c>
      <c r="GB221">
        <f t="shared" si="581"/>
        <v>75000</v>
      </c>
      <c r="GC221">
        <f t="shared" ca="1" si="582"/>
        <v>464124</v>
      </c>
      <c r="GD221">
        <f t="shared" ca="1" si="583"/>
        <v>0</v>
      </c>
      <c r="GE221">
        <f t="shared" ca="1" si="584"/>
        <v>0</v>
      </c>
      <c r="GF221">
        <f t="shared" ca="1" si="585"/>
        <v>0</v>
      </c>
      <c r="GG221">
        <f t="shared" ca="1" si="586"/>
        <v>0</v>
      </c>
      <c r="GH221">
        <f t="shared" ca="1" si="587"/>
        <v>0</v>
      </c>
      <c r="GI221">
        <f t="shared" ca="1" si="588"/>
        <v>0</v>
      </c>
      <c r="GJ221">
        <f t="shared" ca="1" si="514"/>
        <v>0</v>
      </c>
      <c r="GK221">
        <f t="shared" ca="1" si="589"/>
        <v>0</v>
      </c>
      <c r="GL221">
        <f t="shared" ca="1" si="590"/>
        <v>0</v>
      </c>
      <c r="GM221">
        <f t="shared" ca="1" si="591"/>
        <v>0</v>
      </c>
      <c r="GN221">
        <f t="shared" ca="1" si="592"/>
        <v>64124</v>
      </c>
      <c r="GO221">
        <f t="shared" ca="1" si="593"/>
        <v>3206.2000000000003</v>
      </c>
      <c r="GP221">
        <f t="shared" ca="1" si="594"/>
        <v>3206</v>
      </c>
      <c r="GQ221">
        <f t="shared" ca="1" si="595"/>
        <v>0</v>
      </c>
      <c r="GR221">
        <f t="shared" ca="1" si="596"/>
        <v>0</v>
      </c>
      <c r="GS221">
        <f t="shared" ca="1" si="597"/>
        <v>3206</v>
      </c>
      <c r="GT221">
        <f t="shared" ca="1" si="598"/>
        <v>0</v>
      </c>
      <c r="GU221" t="b">
        <f t="shared" ca="1" si="599"/>
        <v>0</v>
      </c>
      <c r="GV221">
        <f t="shared" ca="1" si="600"/>
        <v>0</v>
      </c>
      <c r="GW221">
        <f t="shared" ca="1" si="601"/>
        <v>3206</v>
      </c>
      <c r="GX221">
        <f t="shared" ca="1" si="602"/>
        <v>0</v>
      </c>
      <c r="GY221">
        <f t="shared" ca="1" si="603"/>
        <v>0</v>
      </c>
      <c r="GZ221">
        <f t="shared" ca="1" si="604"/>
        <v>0</v>
      </c>
    </row>
    <row r="222" spans="1:208" x14ac:dyDescent="0.3">
      <c r="A222">
        <f>_xlfn.AGGREGATE(3,5,$B$2:B222)</f>
        <v>221</v>
      </c>
      <c r="B222" t="s">
        <v>547</v>
      </c>
      <c r="C222" t="s">
        <v>548</v>
      </c>
      <c r="D222" t="s">
        <v>804</v>
      </c>
      <c r="E222" t="s">
        <v>830</v>
      </c>
      <c r="F222" t="s">
        <v>956</v>
      </c>
      <c r="G222" t="s">
        <v>942</v>
      </c>
      <c r="H222">
        <f t="shared" si="606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521"/>
        <v>6888.0000000000009</v>
      </c>
      <c r="L222">
        <f t="shared" si="522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499"/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605"/>
        <v>200</v>
      </c>
      <c r="S222">
        <f t="shared" si="515"/>
        <v>52292</v>
      </c>
      <c r="T222">
        <f>_xlfn.XLOOKUP(B222,'[2]april-2025'!$A:$A,'[2]april-2025'!$C:$C,0,0)</f>
        <v>49200</v>
      </c>
      <c r="U222">
        <f t="shared" si="523"/>
        <v>8856</v>
      </c>
      <c r="V222">
        <f t="shared" si="524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516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525"/>
        <v>200</v>
      </c>
      <c r="AC222">
        <f t="shared" si="526"/>
        <v>54260</v>
      </c>
      <c r="AD222">
        <f>_xlfn.XLOOKUP(B222,'[3]may-2025'!$A:$A,'[3]may-2025'!$C:$C,0,0)</f>
        <v>49200</v>
      </c>
      <c r="AE222">
        <f t="shared" si="527"/>
        <v>8856</v>
      </c>
      <c r="AF222">
        <f t="shared" si="528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517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529"/>
        <v>200</v>
      </c>
      <c r="AM222">
        <f t="shared" si="530"/>
        <v>54260</v>
      </c>
      <c r="AN222">
        <f>_xlfn.XLOOKUP(B222,'[4]june-2025'!$A:$A,'[4]june-2025'!$C:$C,0,0)</f>
        <v>49200</v>
      </c>
      <c r="AO222">
        <f t="shared" si="531"/>
        <v>8856</v>
      </c>
      <c r="AP222">
        <f t="shared" si="532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518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533"/>
        <v>200</v>
      </c>
      <c r="AW222">
        <f t="shared" si="534"/>
        <v>54260</v>
      </c>
      <c r="AX222">
        <f>_xlfn.XLOOKUP(B222,'[5]july-2025'!$A:$A,'[5]july-2025'!$C:$C,0,0)</f>
        <v>50700</v>
      </c>
      <c r="AY222">
        <f t="shared" si="535"/>
        <v>9126</v>
      </c>
      <c r="AZ222">
        <v>0</v>
      </c>
      <c r="BA222">
        <f t="shared" si="536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500"/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537"/>
        <v>200</v>
      </c>
      <c r="BH222">
        <f t="shared" si="538"/>
        <v>56210</v>
      </c>
      <c r="BI222">
        <f>_xlfn.XLOOKUP(B222,'[6]august-2025'!$A:$A,'[6]august-2025'!$C:$C,0,0)</f>
        <v>50700</v>
      </c>
      <c r="BJ222">
        <f t="shared" si="539"/>
        <v>9126</v>
      </c>
      <c r="BK222">
        <f t="shared" si="540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541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 t="shared" si="501"/>
        <v>200</v>
      </c>
      <c r="BR222">
        <f t="shared" si="502"/>
        <v>56210</v>
      </c>
      <c r="BS222">
        <f>_xlfn.XLOOKUP(B222,'[7]september-2025'!$A:$A,'[7]september-2025'!$C:$C,0,0)</f>
        <v>50700</v>
      </c>
      <c r="BT222">
        <f t="shared" si="542"/>
        <v>9126</v>
      </c>
      <c r="BU222">
        <f t="shared" si="543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503"/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544"/>
        <v>200</v>
      </c>
      <c r="CB222">
        <f t="shared" si="545"/>
        <v>56210</v>
      </c>
      <c r="CC222">
        <f>_xlfn.XLOOKUP(B222,'[8]october-2025'!$A:$A,'[8]october-2025'!$C:$C,0,0)</f>
        <v>50700</v>
      </c>
      <c r="CD222">
        <f t="shared" si="546"/>
        <v>9126</v>
      </c>
      <c r="CE222">
        <f t="shared" si="547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504"/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548"/>
        <v>200</v>
      </c>
      <c r="CL222">
        <f t="shared" si="549"/>
        <v>56210</v>
      </c>
      <c r="CM222">
        <f>_xlfn.XLOOKUP(B222,'[9]november-2025'!$A:$A,'[9]november-2025'!$C:$C,0,0)</f>
        <v>50700</v>
      </c>
      <c r="CN222">
        <f t="shared" si="550"/>
        <v>9126</v>
      </c>
      <c r="CO222">
        <f t="shared" si="551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505"/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552"/>
        <v>200</v>
      </c>
      <c r="CV222">
        <f t="shared" si="553"/>
        <v>56210</v>
      </c>
      <c r="CW222">
        <f>_xlfn.XLOOKUP(B222,'[10]december-2025'!$A:$A,'[10]december-2025'!$C:$C,0,0)</f>
        <v>50700</v>
      </c>
      <c r="CX222">
        <f t="shared" si="554"/>
        <v>9126</v>
      </c>
      <c r="CY222">
        <f t="shared" si="555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506"/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556"/>
        <v>200</v>
      </c>
      <c r="DF222">
        <f t="shared" si="557"/>
        <v>56210</v>
      </c>
      <c r="DG222">
        <f>_xlfn.XLOOKUP(B222,'[11]january-2026'!$A:$A,'[11]january-2026'!$C:$C,0,0)</f>
        <v>50700</v>
      </c>
      <c r="DH222">
        <f t="shared" si="558"/>
        <v>9126</v>
      </c>
      <c r="DI222">
        <f t="shared" si="559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07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60"/>
        <v>200</v>
      </c>
      <c r="DP222">
        <f t="shared" si="561"/>
        <v>56210</v>
      </c>
      <c r="DQ222">
        <f>_xlfn.XLOOKUP(B222,'[12]february-2026'!$A:$A,'[12]february-2026'!$C:$C,0,0)</f>
        <v>50700</v>
      </c>
      <c r="DR222">
        <f t="shared" si="562"/>
        <v>9126</v>
      </c>
      <c r="DS222">
        <f t="shared" si="563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08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64"/>
        <v>200</v>
      </c>
      <c r="DZ222">
        <f t="shared" si="565"/>
        <v>56210</v>
      </c>
      <c r="EA222">
        <f>_xlfn.XLOOKUP(B222,'[1]march-2025'!$A:$A,'[1]march-2025'!$J:$J,0,0)</f>
        <v>0</v>
      </c>
      <c r="EB222">
        <f>_xlfn.XLOOKUP(B222,'[2]april-2025'!$A:$A,'[2]april-2025'!$J:$J,0,0)</f>
        <v>0</v>
      </c>
      <c r="EC222">
        <f>_xlfn.XLOOKUP(B222,'[3]may-2025'!$A:$A,'[3]may-2025'!$J:$J,0,0)</f>
        <v>0</v>
      </c>
      <c r="ED222">
        <f>_xlfn.XLOOKUP(B222,'[4]june-2025'!$A:$A,'[4]june-2025'!$J:$J,0,0)</f>
        <v>0</v>
      </c>
      <c r="EE222">
        <f>_xlfn.XLOOKUP(B222,'[5]july-2025'!$A:$A,'[5]july-2025'!$J:$J,0,0)</f>
        <v>0</v>
      </c>
      <c r="EF222">
        <f>_xlfn.XLOOKUP(B222,'[6]august-2025'!$A:$A,'[6]august-2025'!$J:$J,0,0)</f>
        <v>0</v>
      </c>
      <c r="EG222">
        <f>_xlfn.XLOOKUP(B222,'[7]september-2025'!$A:$A,'[7]september-2025'!$J:$J,0,0)</f>
        <v>0</v>
      </c>
      <c r="EH222">
        <f>_xlfn.XLOOKUP(B222,'[8]october-2025'!$A:$A,'[8]october-2025'!$J:$J,0,0)</f>
        <v>0</v>
      </c>
      <c r="EI222">
        <f>_xlfn.XLOOKUP(C222,'[9]november-2025'!$A:$A,'[9]november-2025'!$J:$J,0,0)</f>
        <v>0</v>
      </c>
      <c r="EJ222">
        <f>_xlfn.XLOOKUP(B222,'[10]december-2025'!$A:$A,'[10]december-2025'!$J:$J,0,0)</f>
        <v>0</v>
      </c>
      <c r="EK222">
        <f>_xlfn.XLOOKUP(B222,'[11]january-2026'!$A:$A,'[11]january-2026'!$J:$J,0,0)</f>
        <v>0</v>
      </c>
      <c r="EL222">
        <f>_xlfn.XLOOKUP(B222,'[12]february-2026'!$A:$A,'[12]february-2026'!$J:$J,0,0)</f>
        <v>0</v>
      </c>
      <c r="EM222">
        <f t="shared" si="519"/>
        <v>0</v>
      </c>
      <c r="EN222">
        <f t="shared" si="509"/>
        <v>793952</v>
      </c>
      <c r="EO222">
        <f t="shared" si="510"/>
        <v>2400</v>
      </c>
      <c r="EP222">
        <f t="shared" si="566"/>
        <v>50000</v>
      </c>
      <c r="EQ222">
        <v>0</v>
      </c>
      <c r="ER222">
        <f t="shared" si="520"/>
        <v>741552</v>
      </c>
      <c r="ES222">
        <f t="shared" si="511"/>
        <v>120000</v>
      </c>
      <c r="ET222">
        <f t="shared" si="512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567"/>
        <v>120000</v>
      </c>
      <c r="FF222">
        <f t="shared" si="568"/>
        <v>120000</v>
      </c>
      <c r="FG222">
        <f t="shared" si="569"/>
        <v>621552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513"/>
        <v>0</v>
      </c>
      <c r="FP222">
        <f t="shared" si="570"/>
        <v>621552</v>
      </c>
      <c r="FQ222">
        <f t="shared" si="571"/>
        <v>12500</v>
      </c>
      <c r="FR222">
        <f t="shared" si="572"/>
        <v>24310</v>
      </c>
      <c r="FS222">
        <f t="shared" si="573"/>
        <v>36810</v>
      </c>
      <c r="FT222">
        <f t="shared" si="574"/>
        <v>36810</v>
      </c>
      <c r="FU222">
        <f t="shared" si="575"/>
        <v>1472.4</v>
      </c>
      <c r="FV222">
        <f t="shared" si="576"/>
        <v>38282</v>
      </c>
      <c r="FW222">
        <v>0</v>
      </c>
      <c r="FX222">
        <f t="shared" si="577"/>
        <v>38282</v>
      </c>
      <c r="FY222" t="b">
        <f t="shared" si="578"/>
        <v>1</v>
      </c>
      <c r="FZ222">
        <f t="shared" ca="1" si="579"/>
        <v>699</v>
      </c>
      <c r="GA222">
        <f t="shared" ca="1" si="580"/>
        <v>794651</v>
      </c>
      <c r="GB222">
        <f t="shared" si="581"/>
        <v>75000</v>
      </c>
      <c r="GC222">
        <f t="shared" ca="1" si="582"/>
        <v>719651</v>
      </c>
      <c r="GD222">
        <f t="shared" ca="1" si="583"/>
        <v>0</v>
      </c>
      <c r="GE222">
        <f t="shared" ca="1" si="584"/>
        <v>0</v>
      </c>
      <c r="GF222">
        <f t="shared" ca="1" si="585"/>
        <v>0</v>
      </c>
      <c r="GG222">
        <f t="shared" ca="1" si="586"/>
        <v>0</v>
      </c>
      <c r="GH222">
        <f t="shared" ca="1" si="587"/>
        <v>0</v>
      </c>
      <c r="GI222">
        <f t="shared" ca="1" si="588"/>
        <v>0</v>
      </c>
      <c r="GJ222">
        <f t="shared" ca="1" si="514"/>
        <v>0</v>
      </c>
      <c r="GK222">
        <f t="shared" ca="1" si="589"/>
        <v>0</v>
      </c>
      <c r="GL222">
        <f t="shared" ca="1" si="590"/>
        <v>0</v>
      </c>
      <c r="GM222">
        <f t="shared" ca="1" si="591"/>
        <v>0</v>
      </c>
      <c r="GN222">
        <f t="shared" ca="1" si="592"/>
        <v>319651</v>
      </c>
      <c r="GO222">
        <f t="shared" ca="1" si="593"/>
        <v>15982.550000000001</v>
      </c>
      <c r="GP222">
        <f t="shared" ca="1" si="594"/>
        <v>15983</v>
      </c>
      <c r="GQ222">
        <f t="shared" ca="1" si="595"/>
        <v>0</v>
      </c>
      <c r="GR222">
        <f t="shared" ca="1" si="596"/>
        <v>0</v>
      </c>
      <c r="GS222">
        <f t="shared" ca="1" si="597"/>
        <v>15983</v>
      </c>
      <c r="GT222">
        <f t="shared" ca="1" si="598"/>
        <v>0</v>
      </c>
      <c r="GU222" t="b">
        <f t="shared" ca="1" si="599"/>
        <v>0</v>
      </c>
      <c r="GV222">
        <f t="shared" ca="1" si="600"/>
        <v>0</v>
      </c>
      <c r="GW222">
        <f t="shared" ca="1" si="601"/>
        <v>15983</v>
      </c>
      <c r="GX222">
        <f t="shared" ca="1" si="602"/>
        <v>0</v>
      </c>
      <c r="GY222">
        <f t="shared" ca="1" si="603"/>
        <v>0</v>
      </c>
      <c r="GZ222">
        <f t="shared" ca="1" si="604"/>
        <v>0</v>
      </c>
    </row>
    <row r="223" spans="1:208" x14ac:dyDescent="0.3">
      <c r="A223">
        <f>_xlfn.AGGREGATE(3,5,$B$2:B223)</f>
        <v>222</v>
      </c>
      <c r="B223" t="s">
        <v>549</v>
      </c>
      <c r="C223" t="s">
        <v>550</v>
      </c>
      <c r="D223" t="s">
        <v>805</v>
      </c>
      <c r="E223" t="s">
        <v>830</v>
      </c>
      <c r="F223" t="s">
        <v>956</v>
      </c>
      <c r="G223" t="s">
        <v>943</v>
      </c>
      <c r="H223">
        <f t="shared" si="606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521"/>
        <v>7028.0000000000009</v>
      </c>
      <c r="L223">
        <f t="shared" si="522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 t="shared" si="499"/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605"/>
        <v>200</v>
      </c>
      <c r="S223">
        <f t="shared" si="515"/>
        <v>58952</v>
      </c>
      <c r="T223">
        <f>_xlfn.XLOOKUP(B223,'[2]april-2025'!$A:$A,'[2]april-2025'!$C:$C,0,0)</f>
        <v>50200</v>
      </c>
      <c r="U223">
        <f t="shared" si="523"/>
        <v>9036</v>
      </c>
      <c r="V223">
        <f t="shared" si="524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516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525"/>
        <v>200</v>
      </c>
      <c r="AC223">
        <f t="shared" si="526"/>
        <v>60960</v>
      </c>
      <c r="AD223">
        <f>_xlfn.XLOOKUP(B223,'[3]may-2025'!$A:$A,'[3]may-2025'!$C:$C,0,0)</f>
        <v>50200</v>
      </c>
      <c r="AE223">
        <f t="shared" si="527"/>
        <v>9036</v>
      </c>
      <c r="AF223">
        <f t="shared" si="528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517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529"/>
        <v>200</v>
      </c>
      <c r="AM223">
        <f t="shared" si="530"/>
        <v>60960</v>
      </c>
      <c r="AN223">
        <f>_xlfn.XLOOKUP(B223,'[4]june-2025'!$A:$A,'[4]june-2025'!$C:$C,0,0)</f>
        <v>50200</v>
      </c>
      <c r="AO223">
        <f t="shared" si="531"/>
        <v>9036</v>
      </c>
      <c r="AP223">
        <f t="shared" si="532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518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533"/>
        <v>200</v>
      </c>
      <c r="AW223">
        <f t="shared" si="534"/>
        <v>60960</v>
      </c>
      <c r="AX223">
        <f>_xlfn.XLOOKUP(B223,'[5]july-2025'!$A:$A,'[5]july-2025'!$C:$C,0,0)</f>
        <v>51700</v>
      </c>
      <c r="AY223">
        <f t="shared" si="535"/>
        <v>9306</v>
      </c>
      <c r="AZ223">
        <v>0</v>
      </c>
      <c r="BA223">
        <f t="shared" si="536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 t="shared" si="500"/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537"/>
        <v>200</v>
      </c>
      <c r="BH223">
        <f t="shared" si="538"/>
        <v>62910</v>
      </c>
      <c r="BI223">
        <f>_xlfn.XLOOKUP(B223,'[6]august-2025'!$A:$A,'[6]august-2025'!$C:$C,0,0)</f>
        <v>51700</v>
      </c>
      <c r="BJ223">
        <f t="shared" si="539"/>
        <v>9306</v>
      </c>
      <c r="BK223">
        <f t="shared" si="540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541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501"/>
        <v>200</v>
      </c>
      <c r="BR223">
        <f t="shared" si="502"/>
        <v>62910</v>
      </c>
      <c r="BS223">
        <f>_xlfn.XLOOKUP(B223,'[7]september-2025'!$A:$A,'[7]september-2025'!$C:$C,0,0)</f>
        <v>51700</v>
      </c>
      <c r="BT223">
        <f t="shared" si="542"/>
        <v>9306</v>
      </c>
      <c r="BU223">
        <f t="shared" si="543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 t="shared" si="503"/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544"/>
        <v>200</v>
      </c>
      <c r="CB223">
        <f t="shared" si="545"/>
        <v>62910</v>
      </c>
      <c r="CC223">
        <f>_xlfn.XLOOKUP(B223,'[8]october-2025'!$A:$A,'[8]october-2025'!$C:$C,0,0)</f>
        <v>51700</v>
      </c>
      <c r="CD223">
        <f t="shared" si="546"/>
        <v>9306</v>
      </c>
      <c r="CE223">
        <f t="shared" si="547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 t="shared" si="504"/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548"/>
        <v>200</v>
      </c>
      <c r="CL223">
        <f t="shared" si="549"/>
        <v>62910</v>
      </c>
      <c r="CM223">
        <f>_xlfn.XLOOKUP(B223,'[9]november-2025'!$A:$A,'[9]november-2025'!$C:$C,0,0)</f>
        <v>51700</v>
      </c>
      <c r="CN223">
        <f t="shared" si="550"/>
        <v>9306</v>
      </c>
      <c r="CO223">
        <f t="shared" si="551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 t="shared" si="505"/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552"/>
        <v>200</v>
      </c>
      <c r="CV223">
        <f t="shared" si="553"/>
        <v>62910</v>
      </c>
      <c r="CW223">
        <f>_xlfn.XLOOKUP(B223,'[10]december-2025'!$A:$A,'[10]december-2025'!$C:$C,0,0)</f>
        <v>51700</v>
      </c>
      <c r="CX223">
        <f t="shared" si="554"/>
        <v>9306</v>
      </c>
      <c r="CY223">
        <f t="shared" si="555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 t="shared" si="506"/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556"/>
        <v>200</v>
      </c>
      <c r="DF223">
        <f t="shared" si="557"/>
        <v>62910</v>
      </c>
      <c r="DG223">
        <f>_xlfn.XLOOKUP(B223,'[11]january-2026'!$A:$A,'[11]january-2026'!$C:$C,0,0)</f>
        <v>51700</v>
      </c>
      <c r="DH223">
        <f t="shared" si="558"/>
        <v>9306</v>
      </c>
      <c r="DI223">
        <f t="shared" si="559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07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60"/>
        <v>200</v>
      </c>
      <c r="DP223">
        <f t="shared" si="561"/>
        <v>62910</v>
      </c>
      <c r="DQ223">
        <f>_xlfn.XLOOKUP(B223,'[12]february-2026'!$A:$A,'[12]february-2026'!$C:$C,0,0)</f>
        <v>51700</v>
      </c>
      <c r="DR223">
        <f t="shared" si="562"/>
        <v>9306</v>
      </c>
      <c r="DS223">
        <f t="shared" si="563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08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64"/>
        <v>200</v>
      </c>
      <c r="DZ223">
        <f t="shared" si="565"/>
        <v>62910</v>
      </c>
      <c r="EA223">
        <f>_xlfn.XLOOKUP(B223,'[1]march-2025'!$A:$A,'[1]march-2025'!$J:$J,0,0)</f>
        <v>0</v>
      </c>
      <c r="EB223">
        <f>_xlfn.XLOOKUP(B223,'[2]april-2025'!$A:$A,'[2]april-2025'!$J:$J,0,0)</f>
        <v>0</v>
      </c>
      <c r="EC223">
        <f>_xlfn.XLOOKUP(B223,'[3]may-2025'!$A:$A,'[3]may-2025'!$J:$J,0,0)</f>
        <v>0</v>
      </c>
      <c r="ED223">
        <f>_xlfn.XLOOKUP(B223,'[4]june-2025'!$A:$A,'[4]june-2025'!$J:$J,0,0)</f>
        <v>0</v>
      </c>
      <c r="EE223">
        <f>_xlfn.XLOOKUP(B223,'[5]july-2025'!$A:$A,'[5]july-2025'!$J:$J,0,0)</f>
        <v>0</v>
      </c>
      <c r="EF223">
        <f>_xlfn.XLOOKUP(B223,'[6]august-2025'!$A:$A,'[6]august-2025'!$J:$J,0,0)</f>
        <v>0</v>
      </c>
      <c r="EG223">
        <f>_xlfn.XLOOKUP(B223,'[7]september-2025'!$A:$A,'[7]september-2025'!$J:$J,0,0)</f>
        <v>0</v>
      </c>
      <c r="EH223">
        <f>_xlfn.XLOOKUP(B223,'[8]october-2025'!$A:$A,'[8]october-2025'!$J:$J,0,0)</f>
        <v>0</v>
      </c>
      <c r="EI223">
        <f>_xlfn.XLOOKUP(C223,'[9]november-2025'!$A:$A,'[9]november-2025'!$J:$J,0,0)</f>
        <v>0</v>
      </c>
      <c r="EJ223">
        <f>_xlfn.XLOOKUP(B223,'[10]december-2025'!$A:$A,'[10]december-2025'!$J:$J,0,0)</f>
        <v>0</v>
      </c>
      <c r="EK223">
        <f>_xlfn.XLOOKUP(B223,'[11]january-2026'!$A:$A,'[11]january-2026'!$J:$J,0,0)</f>
        <v>0</v>
      </c>
      <c r="EL223">
        <f>_xlfn.XLOOKUP(B223,'[12]february-2026'!$A:$A,'[12]february-2026'!$J:$J,0,0)</f>
        <v>0</v>
      </c>
      <c r="EM223">
        <f t="shared" si="519"/>
        <v>0</v>
      </c>
      <c r="EN223">
        <f t="shared" si="509"/>
        <v>814312</v>
      </c>
      <c r="EO223">
        <f t="shared" si="510"/>
        <v>2400</v>
      </c>
      <c r="EP223">
        <f t="shared" si="566"/>
        <v>50000</v>
      </c>
      <c r="EQ223">
        <v>0</v>
      </c>
      <c r="ER223">
        <f t="shared" si="520"/>
        <v>761912</v>
      </c>
      <c r="ES223">
        <f t="shared" si="511"/>
        <v>60000</v>
      </c>
      <c r="ET223">
        <f t="shared" si="512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567"/>
        <v>60000</v>
      </c>
      <c r="FF223">
        <f t="shared" si="568"/>
        <v>60000</v>
      </c>
      <c r="FG223">
        <f t="shared" si="569"/>
        <v>701912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513"/>
        <v>0</v>
      </c>
      <c r="FP223">
        <f t="shared" si="570"/>
        <v>701912</v>
      </c>
      <c r="FQ223">
        <f t="shared" si="571"/>
        <v>12500</v>
      </c>
      <c r="FR223">
        <f t="shared" si="572"/>
        <v>40382</v>
      </c>
      <c r="FS223">
        <f t="shared" si="573"/>
        <v>52882</v>
      </c>
      <c r="FT223">
        <f t="shared" si="574"/>
        <v>52882</v>
      </c>
      <c r="FU223">
        <f t="shared" si="575"/>
        <v>2115.2800000000002</v>
      </c>
      <c r="FV223">
        <f t="shared" si="576"/>
        <v>54997</v>
      </c>
      <c r="FW223">
        <v>0</v>
      </c>
      <c r="FX223">
        <f t="shared" si="577"/>
        <v>54997</v>
      </c>
      <c r="FY223" t="b">
        <f t="shared" si="578"/>
        <v>1</v>
      </c>
      <c r="FZ223">
        <f t="shared" ca="1" si="579"/>
        <v>668</v>
      </c>
      <c r="GA223">
        <f t="shared" ca="1" si="580"/>
        <v>814980</v>
      </c>
      <c r="GB223">
        <f t="shared" si="581"/>
        <v>75000</v>
      </c>
      <c r="GC223">
        <f t="shared" ca="1" si="582"/>
        <v>739980</v>
      </c>
      <c r="GD223">
        <f t="shared" ca="1" si="583"/>
        <v>0</v>
      </c>
      <c r="GE223">
        <f t="shared" ca="1" si="584"/>
        <v>0</v>
      </c>
      <c r="GF223">
        <f t="shared" ca="1" si="585"/>
        <v>0</v>
      </c>
      <c r="GG223">
        <f t="shared" ca="1" si="586"/>
        <v>0</v>
      </c>
      <c r="GH223">
        <f t="shared" ca="1" si="587"/>
        <v>0</v>
      </c>
      <c r="GI223">
        <f t="shared" ca="1" si="588"/>
        <v>0</v>
      </c>
      <c r="GJ223">
        <f t="shared" ca="1" si="514"/>
        <v>0</v>
      </c>
      <c r="GK223">
        <f t="shared" ca="1" si="589"/>
        <v>0</v>
      </c>
      <c r="GL223">
        <f t="shared" ca="1" si="590"/>
        <v>0</v>
      </c>
      <c r="GM223">
        <f t="shared" ca="1" si="591"/>
        <v>0</v>
      </c>
      <c r="GN223">
        <f t="shared" ca="1" si="592"/>
        <v>339980</v>
      </c>
      <c r="GO223">
        <f t="shared" ca="1" si="593"/>
        <v>16999</v>
      </c>
      <c r="GP223">
        <f t="shared" ca="1" si="594"/>
        <v>16999</v>
      </c>
      <c r="GQ223">
        <f t="shared" ca="1" si="595"/>
        <v>0</v>
      </c>
      <c r="GR223">
        <f t="shared" ca="1" si="596"/>
        <v>0</v>
      </c>
      <c r="GS223">
        <f t="shared" ca="1" si="597"/>
        <v>16999</v>
      </c>
      <c r="GT223">
        <f t="shared" ca="1" si="598"/>
        <v>0</v>
      </c>
      <c r="GU223" t="b">
        <f t="shared" ca="1" si="599"/>
        <v>0</v>
      </c>
      <c r="GV223">
        <f t="shared" ca="1" si="600"/>
        <v>0</v>
      </c>
      <c r="GW223">
        <f t="shared" ca="1" si="601"/>
        <v>16999</v>
      </c>
      <c r="GX223">
        <f t="shared" ca="1" si="602"/>
        <v>0</v>
      </c>
      <c r="GY223">
        <f t="shared" ca="1" si="603"/>
        <v>0</v>
      </c>
      <c r="GZ223">
        <f t="shared" ca="1" si="604"/>
        <v>0</v>
      </c>
    </row>
    <row r="224" spans="1:208" x14ac:dyDescent="0.3">
      <c r="A224">
        <f>_xlfn.AGGREGATE(3,5,$B$2:B224)</f>
        <v>223</v>
      </c>
      <c r="B224" t="s">
        <v>551</v>
      </c>
      <c r="C224" t="s">
        <v>552</v>
      </c>
      <c r="D224" t="s">
        <v>805</v>
      </c>
      <c r="E224" t="s">
        <v>830</v>
      </c>
      <c r="F224" t="s">
        <v>956</v>
      </c>
      <c r="G224" t="s">
        <v>944</v>
      </c>
      <c r="H224">
        <f t="shared" si="606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521"/>
        <v>4830.0000000000009</v>
      </c>
      <c r="L224">
        <f t="shared" si="522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499"/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605"/>
        <v>200</v>
      </c>
      <c r="S224">
        <f t="shared" si="515"/>
        <v>38770</v>
      </c>
      <c r="T224">
        <f>_xlfn.XLOOKUP(B224,'[2]april-2025'!$A:$A,'[2]april-2025'!$C:$C,0,0)</f>
        <v>34500</v>
      </c>
      <c r="U224">
        <f t="shared" si="523"/>
        <v>6210</v>
      </c>
      <c r="V224">
        <f t="shared" si="524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516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525"/>
        <v>200</v>
      </c>
      <c r="AC224">
        <f t="shared" si="526"/>
        <v>40150</v>
      </c>
      <c r="AD224">
        <f>_xlfn.XLOOKUP(B224,'[3]may-2025'!$A:$A,'[3]may-2025'!$C:$C,0,0)</f>
        <v>34500</v>
      </c>
      <c r="AE224">
        <f t="shared" si="527"/>
        <v>6210</v>
      </c>
      <c r="AF224">
        <f t="shared" si="528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517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529"/>
        <v>200</v>
      </c>
      <c r="AM224">
        <f t="shared" si="530"/>
        <v>40150</v>
      </c>
      <c r="AN224">
        <f>_xlfn.XLOOKUP(B224,'[4]june-2025'!$A:$A,'[4]june-2025'!$C:$C,0,0)</f>
        <v>34500</v>
      </c>
      <c r="AO224">
        <f t="shared" si="531"/>
        <v>6210</v>
      </c>
      <c r="AP224">
        <f t="shared" si="532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518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533"/>
        <v>200</v>
      </c>
      <c r="AW224">
        <f t="shared" si="534"/>
        <v>40150</v>
      </c>
      <c r="AX224">
        <f>_xlfn.XLOOKUP(B224,'[5]july-2025'!$A:$A,'[5]july-2025'!$C:$C,0,0)</f>
        <v>35500</v>
      </c>
      <c r="AY224">
        <f t="shared" si="535"/>
        <v>6390</v>
      </c>
      <c r="AZ224">
        <v>0</v>
      </c>
      <c r="BA224">
        <f t="shared" si="536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500"/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537"/>
        <v>200</v>
      </c>
      <c r="BH224">
        <f t="shared" si="538"/>
        <v>41450</v>
      </c>
      <c r="BI224">
        <f>_xlfn.XLOOKUP(B224,'[6]august-2025'!$A:$A,'[6]august-2025'!$C:$C,0,0)</f>
        <v>35500</v>
      </c>
      <c r="BJ224">
        <f t="shared" si="539"/>
        <v>6390</v>
      </c>
      <c r="BK224">
        <f t="shared" si="540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541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501"/>
        <v>200</v>
      </c>
      <c r="BR224">
        <f t="shared" si="502"/>
        <v>41450</v>
      </c>
      <c r="BS224">
        <f>_xlfn.XLOOKUP(B224,'[7]september-2025'!$A:$A,'[7]september-2025'!$C:$C,0,0)</f>
        <v>35500</v>
      </c>
      <c r="BT224">
        <f t="shared" si="542"/>
        <v>6390</v>
      </c>
      <c r="BU224">
        <f t="shared" si="543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503"/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544"/>
        <v>200</v>
      </c>
      <c r="CB224">
        <f t="shared" si="545"/>
        <v>41450</v>
      </c>
      <c r="CC224">
        <f>_xlfn.XLOOKUP(B224,'[8]october-2025'!$A:$A,'[8]october-2025'!$C:$C,0,0)</f>
        <v>35500</v>
      </c>
      <c r="CD224">
        <f t="shared" si="546"/>
        <v>6390</v>
      </c>
      <c r="CE224">
        <f t="shared" si="547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504"/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548"/>
        <v>200</v>
      </c>
      <c r="CL224">
        <f t="shared" si="549"/>
        <v>41450</v>
      </c>
      <c r="CM224">
        <f>_xlfn.XLOOKUP(B224,'[9]november-2025'!$A:$A,'[9]november-2025'!$C:$C,0,0)</f>
        <v>35500</v>
      </c>
      <c r="CN224">
        <f t="shared" si="550"/>
        <v>6390</v>
      </c>
      <c r="CO224">
        <f t="shared" si="551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505"/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552"/>
        <v>200</v>
      </c>
      <c r="CV224">
        <f t="shared" si="553"/>
        <v>41450</v>
      </c>
      <c r="CW224">
        <f>_xlfn.XLOOKUP(B224,'[10]december-2025'!$A:$A,'[10]december-2025'!$C:$C,0,0)</f>
        <v>35500</v>
      </c>
      <c r="CX224">
        <f t="shared" si="554"/>
        <v>6390</v>
      </c>
      <c r="CY224">
        <f t="shared" si="555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506"/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556"/>
        <v>200</v>
      </c>
      <c r="DF224">
        <f t="shared" si="557"/>
        <v>41450</v>
      </c>
      <c r="DG224">
        <f>_xlfn.XLOOKUP(B224,'[11]january-2026'!$A:$A,'[11]january-2026'!$C:$C,0,0)</f>
        <v>35500</v>
      </c>
      <c r="DH224">
        <f t="shared" si="558"/>
        <v>6390</v>
      </c>
      <c r="DI224">
        <f t="shared" si="559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07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60"/>
        <v>200</v>
      </c>
      <c r="DP224">
        <f t="shared" si="561"/>
        <v>41450</v>
      </c>
      <c r="DQ224">
        <f>_xlfn.XLOOKUP(B224,'[12]february-2026'!$A:$A,'[12]february-2026'!$C:$C,0,0)</f>
        <v>35500</v>
      </c>
      <c r="DR224">
        <f t="shared" si="562"/>
        <v>6390</v>
      </c>
      <c r="DS224">
        <f t="shared" si="563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08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64"/>
        <v>200</v>
      </c>
      <c r="DZ224">
        <f t="shared" si="565"/>
        <v>41450</v>
      </c>
      <c r="EA224">
        <f>_xlfn.XLOOKUP(B224,'[1]march-2025'!$A:$A,'[1]march-2025'!$J:$J,0,0)</f>
        <v>0</v>
      </c>
      <c r="EB224">
        <f>_xlfn.XLOOKUP(B224,'[2]april-2025'!$A:$A,'[2]april-2025'!$J:$J,0,0)</f>
        <v>0</v>
      </c>
      <c r="EC224">
        <f>_xlfn.XLOOKUP(B224,'[3]may-2025'!$A:$A,'[3]may-2025'!$J:$J,0,0)</f>
        <v>0</v>
      </c>
      <c r="ED224">
        <f>_xlfn.XLOOKUP(B224,'[4]june-2025'!$A:$A,'[4]june-2025'!$J:$J,0,0)</f>
        <v>0</v>
      </c>
      <c r="EE224">
        <f>_xlfn.XLOOKUP(B224,'[5]july-2025'!$A:$A,'[5]july-2025'!$J:$J,0,0)</f>
        <v>0</v>
      </c>
      <c r="EF224">
        <f>_xlfn.XLOOKUP(B224,'[6]august-2025'!$A:$A,'[6]august-2025'!$J:$J,0,0)</f>
        <v>0</v>
      </c>
      <c r="EG224">
        <f>_xlfn.XLOOKUP(B224,'[7]september-2025'!$A:$A,'[7]september-2025'!$J:$J,0,0)</f>
        <v>0</v>
      </c>
      <c r="EH224">
        <f>_xlfn.XLOOKUP(B224,'[8]october-2025'!$A:$A,'[8]october-2025'!$J:$J,0,0)</f>
        <v>0</v>
      </c>
      <c r="EI224">
        <f>_xlfn.XLOOKUP(C224,'[9]november-2025'!$A:$A,'[9]november-2025'!$J:$J,0,0)</f>
        <v>0</v>
      </c>
      <c r="EJ224">
        <f>_xlfn.XLOOKUP(B224,'[10]december-2025'!$A:$A,'[10]december-2025'!$J:$J,0,0)</f>
        <v>0</v>
      </c>
      <c r="EK224">
        <f>_xlfn.XLOOKUP(B224,'[11]january-2026'!$A:$A,'[11]january-2026'!$J:$J,0,0)</f>
        <v>0</v>
      </c>
      <c r="EL224">
        <f>_xlfn.XLOOKUP(B224,'[12]february-2026'!$A:$A,'[12]february-2026'!$J:$J,0,0)</f>
        <v>0</v>
      </c>
      <c r="EM224">
        <f t="shared" si="519"/>
        <v>0</v>
      </c>
      <c r="EN224">
        <f t="shared" si="509"/>
        <v>560020</v>
      </c>
      <c r="EO224">
        <f t="shared" si="510"/>
        <v>2400</v>
      </c>
      <c r="EP224">
        <f t="shared" si="566"/>
        <v>50000</v>
      </c>
      <c r="EQ224">
        <v>0</v>
      </c>
      <c r="ER224">
        <f t="shared" si="520"/>
        <v>507620</v>
      </c>
      <c r="ES224">
        <f t="shared" si="511"/>
        <v>60000</v>
      </c>
      <c r="ET224">
        <f t="shared" si="512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567"/>
        <v>60000</v>
      </c>
      <c r="FF224">
        <f t="shared" si="568"/>
        <v>60000</v>
      </c>
      <c r="FG224">
        <f t="shared" si="569"/>
        <v>447620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513"/>
        <v>0</v>
      </c>
      <c r="FP224">
        <f t="shared" si="570"/>
        <v>447620</v>
      </c>
      <c r="FQ224">
        <f t="shared" si="571"/>
        <v>9881</v>
      </c>
      <c r="FR224">
        <f t="shared" si="572"/>
        <v>0</v>
      </c>
      <c r="FS224">
        <f t="shared" si="573"/>
        <v>9881</v>
      </c>
      <c r="FT224">
        <f t="shared" si="574"/>
        <v>0</v>
      </c>
      <c r="FU224">
        <f t="shared" si="575"/>
        <v>0</v>
      </c>
      <c r="FV224">
        <f t="shared" si="576"/>
        <v>0</v>
      </c>
      <c r="FW224">
        <v>0</v>
      </c>
      <c r="FX224">
        <f t="shared" si="577"/>
        <v>0</v>
      </c>
      <c r="FY224" t="b">
        <f t="shared" si="578"/>
        <v>1</v>
      </c>
      <c r="FZ224">
        <f t="shared" ca="1" si="579"/>
        <v>833</v>
      </c>
      <c r="GA224">
        <f t="shared" ca="1" si="580"/>
        <v>560853</v>
      </c>
      <c r="GB224">
        <f t="shared" si="581"/>
        <v>75000</v>
      </c>
      <c r="GC224">
        <f t="shared" ca="1" si="582"/>
        <v>485853</v>
      </c>
      <c r="GD224">
        <f t="shared" ca="1" si="583"/>
        <v>0</v>
      </c>
      <c r="GE224">
        <f t="shared" ca="1" si="584"/>
        <v>0</v>
      </c>
      <c r="GF224">
        <f t="shared" ca="1" si="585"/>
        <v>0</v>
      </c>
      <c r="GG224">
        <f t="shared" ca="1" si="586"/>
        <v>0</v>
      </c>
      <c r="GH224">
        <f t="shared" ca="1" si="587"/>
        <v>0</v>
      </c>
      <c r="GI224">
        <f t="shared" ca="1" si="588"/>
        <v>0</v>
      </c>
      <c r="GJ224">
        <f t="shared" ca="1" si="514"/>
        <v>0</v>
      </c>
      <c r="GK224">
        <f t="shared" ca="1" si="589"/>
        <v>0</v>
      </c>
      <c r="GL224">
        <f t="shared" ca="1" si="590"/>
        <v>0</v>
      </c>
      <c r="GM224">
        <f t="shared" ca="1" si="591"/>
        <v>0</v>
      </c>
      <c r="GN224">
        <f t="shared" ca="1" si="592"/>
        <v>85853</v>
      </c>
      <c r="GO224">
        <f t="shared" ca="1" si="593"/>
        <v>4292.6500000000005</v>
      </c>
      <c r="GP224">
        <f t="shared" ca="1" si="594"/>
        <v>4293</v>
      </c>
      <c r="GQ224">
        <f t="shared" ca="1" si="595"/>
        <v>0</v>
      </c>
      <c r="GR224">
        <f t="shared" ca="1" si="596"/>
        <v>0</v>
      </c>
      <c r="GS224">
        <f t="shared" ca="1" si="597"/>
        <v>4293</v>
      </c>
      <c r="GT224">
        <f t="shared" ca="1" si="598"/>
        <v>0</v>
      </c>
      <c r="GU224" t="b">
        <f t="shared" ca="1" si="599"/>
        <v>0</v>
      </c>
      <c r="GV224">
        <f t="shared" ca="1" si="600"/>
        <v>0</v>
      </c>
      <c r="GW224">
        <f t="shared" ca="1" si="601"/>
        <v>4293</v>
      </c>
      <c r="GX224">
        <f t="shared" ca="1" si="602"/>
        <v>0</v>
      </c>
      <c r="GY224">
        <f t="shared" ca="1" si="603"/>
        <v>0</v>
      </c>
      <c r="GZ224">
        <f t="shared" ca="1" si="604"/>
        <v>0</v>
      </c>
    </row>
    <row r="225" spans="1:208" x14ac:dyDescent="0.3">
      <c r="A225">
        <f>_xlfn.AGGREGATE(3,5,$B$2:B225)</f>
        <v>224</v>
      </c>
      <c r="B225" t="s">
        <v>553</v>
      </c>
      <c r="C225" t="s">
        <v>554</v>
      </c>
      <c r="D225" t="s">
        <v>805</v>
      </c>
      <c r="E225" t="s">
        <v>830</v>
      </c>
      <c r="F225" t="s">
        <v>956</v>
      </c>
      <c r="G225" t="s">
        <v>880</v>
      </c>
      <c r="H225">
        <f t="shared" si="606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521"/>
        <v>4046.0000000000005</v>
      </c>
      <c r="L225">
        <f t="shared" si="522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499"/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605"/>
        <v>150</v>
      </c>
      <c r="S225">
        <f t="shared" si="515"/>
        <v>34764</v>
      </c>
      <c r="T225">
        <f>_xlfn.XLOOKUP(B225,'[2]april-2025'!$A:$A,'[2]april-2025'!$C:$C,0,0)</f>
        <v>28900</v>
      </c>
      <c r="U225">
        <f t="shared" si="523"/>
        <v>5202</v>
      </c>
      <c r="V225">
        <f t="shared" si="524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516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525"/>
        <v>150</v>
      </c>
      <c r="AC225">
        <f t="shared" si="526"/>
        <v>35920</v>
      </c>
      <c r="AD225">
        <f>_xlfn.XLOOKUP(B225,'[3]may-2025'!$A:$A,'[3]may-2025'!$C:$C,0,0)</f>
        <v>28900</v>
      </c>
      <c r="AE225">
        <f t="shared" si="527"/>
        <v>5202</v>
      </c>
      <c r="AF225">
        <f t="shared" si="528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517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529"/>
        <v>150</v>
      </c>
      <c r="AM225">
        <f t="shared" si="530"/>
        <v>35920</v>
      </c>
      <c r="AN225">
        <f>_xlfn.XLOOKUP(B225,'[4]june-2025'!$A:$A,'[4]june-2025'!$C:$C,0,0)</f>
        <v>28900</v>
      </c>
      <c r="AO225">
        <f t="shared" si="531"/>
        <v>5202</v>
      </c>
      <c r="AP225">
        <f t="shared" si="532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518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533"/>
        <v>150</v>
      </c>
      <c r="AW225">
        <f t="shared" si="534"/>
        <v>35920</v>
      </c>
      <c r="AX225">
        <f>_xlfn.XLOOKUP(B225,'[5]july-2025'!$A:$A,'[5]july-2025'!$C:$C,0,0)</f>
        <v>29800</v>
      </c>
      <c r="AY225">
        <f t="shared" si="535"/>
        <v>5364</v>
      </c>
      <c r="AZ225">
        <v>0</v>
      </c>
      <c r="BA225">
        <f t="shared" si="536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500"/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537"/>
        <v>150</v>
      </c>
      <c r="BH225">
        <f t="shared" si="538"/>
        <v>37090</v>
      </c>
      <c r="BI225">
        <f>_xlfn.XLOOKUP(B225,'[6]august-2025'!$A:$A,'[6]august-2025'!$C:$C,0,0)</f>
        <v>29800</v>
      </c>
      <c r="BJ225">
        <f t="shared" si="539"/>
        <v>5364</v>
      </c>
      <c r="BK225">
        <f t="shared" si="540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541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 t="shared" si="501"/>
        <v>150</v>
      </c>
      <c r="BR225">
        <f t="shared" si="502"/>
        <v>37090</v>
      </c>
      <c r="BS225">
        <f>_xlfn.XLOOKUP(B225,'[7]september-2025'!$A:$A,'[7]september-2025'!$C:$C,0,0)</f>
        <v>29800</v>
      </c>
      <c r="BT225">
        <f t="shared" si="542"/>
        <v>5364</v>
      </c>
      <c r="BU225">
        <f t="shared" si="543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503"/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544"/>
        <v>150</v>
      </c>
      <c r="CB225">
        <f t="shared" si="545"/>
        <v>37090</v>
      </c>
      <c r="CC225">
        <f>_xlfn.XLOOKUP(B225,'[8]october-2025'!$A:$A,'[8]october-2025'!$C:$C,0,0)</f>
        <v>29800</v>
      </c>
      <c r="CD225">
        <f t="shared" si="546"/>
        <v>5364</v>
      </c>
      <c r="CE225">
        <f t="shared" si="547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504"/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548"/>
        <v>150</v>
      </c>
      <c r="CL225">
        <f t="shared" si="549"/>
        <v>37090</v>
      </c>
      <c r="CM225">
        <f>_xlfn.XLOOKUP(B225,'[9]november-2025'!$A:$A,'[9]november-2025'!$C:$C,0,0)</f>
        <v>29800</v>
      </c>
      <c r="CN225">
        <f t="shared" si="550"/>
        <v>5364</v>
      </c>
      <c r="CO225">
        <f t="shared" si="551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505"/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552"/>
        <v>150</v>
      </c>
      <c r="CV225">
        <f t="shared" si="553"/>
        <v>37090</v>
      </c>
      <c r="CW225">
        <f>_xlfn.XLOOKUP(B225,'[10]december-2025'!$A:$A,'[10]december-2025'!$C:$C,0,0)</f>
        <v>29800</v>
      </c>
      <c r="CX225">
        <f t="shared" si="554"/>
        <v>5364</v>
      </c>
      <c r="CY225">
        <f t="shared" si="555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506"/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556"/>
        <v>150</v>
      </c>
      <c r="DF225">
        <f t="shared" si="557"/>
        <v>37090</v>
      </c>
      <c r="DG225">
        <f>_xlfn.XLOOKUP(B225,'[11]january-2026'!$A:$A,'[11]january-2026'!$C:$C,0,0)</f>
        <v>29800</v>
      </c>
      <c r="DH225">
        <f t="shared" si="558"/>
        <v>5364</v>
      </c>
      <c r="DI225">
        <f t="shared" si="559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07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60"/>
        <v>150</v>
      </c>
      <c r="DP225">
        <f t="shared" si="561"/>
        <v>37090</v>
      </c>
      <c r="DQ225">
        <f>_xlfn.XLOOKUP(B225,'[12]february-2026'!$A:$A,'[12]february-2026'!$C:$C,0,0)</f>
        <v>29800</v>
      </c>
      <c r="DR225">
        <f t="shared" si="562"/>
        <v>5364</v>
      </c>
      <c r="DS225">
        <f t="shared" si="563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08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64"/>
        <v>150</v>
      </c>
      <c r="DZ225">
        <f t="shared" si="565"/>
        <v>37090</v>
      </c>
      <c r="EA225">
        <f>_xlfn.XLOOKUP(B225,'[1]march-2025'!$A:$A,'[1]march-2025'!$J:$J,0,0)</f>
        <v>0</v>
      </c>
      <c r="EB225">
        <f>_xlfn.XLOOKUP(B225,'[2]april-2025'!$A:$A,'[2]april-2025'!$J:$J,0,0)</f>
        <v>0</v>
      </c>
      <c r="EC225">
        <f>_xlfn.XLOOKUP(B225,'[3]may-2025'!$A:$A,'[3]may-2025'!$J:$J,0,0)</f>
        <v>60294</v>
      </c>
      <c r="ED225">
        <f>_xlfn.XLOOKUP(B225,'[4]june-2025'!$A:$A,'[4]june-2025'!$J:$J,0,0)</f>
        <v>0</v>
      </c>
      <c r="EE225">
        <f>_xlfn.XLOOKUP(B225,'[5]july-2025'!$A:$A,'[5]july-2025'!$J:$J,0,0)</f>
        <v>0</v>
      </c>
      <c r="EF225">
        <f>_xlfn.XLOOKUP(B225,'[6]august-2025'!$A:$A,'[6]august-2025'!$J:$J,0,0)</f>
        <v>0</v>
      </c>
      <c r="EG225">
        <f>_xlfn.XLOOKUP(B225,'[7]september-2025'!$A:$A,'[7]september-2025'!$J:$J,0,0)</f>
        <v>0</v>
      </c>
      <c r="EH225">
        <f>_xlfn.XLOOKUP(B225,'[8]october-2025'!$A:$A,'[8]october-2025'!$J:$J,0,0)</f>
        <v>0</v>
      </c>
      <c r="EI225">
        <f>_xlfn.XLOOKUP(C225,'[9]november-2025'!$A:$A,'[9]november-2025'!$J:$J,0,0)</f>
        <v>0</v>
      </c>
      <c r="EJ225">
        <f>_xlfn.XLOOKUP(B225,'[10]december-2025'!$A:$A,'[10]december-2025'!$J:$J,0,0)</f>
        <v>0</v>
      </c>
      <c r="EK225">
        <f>_xlfn.XLOOKUP(B225,'[11]january-2026'!$A:$A,'[11]january-2026'!$J:$J,0,0)</f>
        <v>0</v>
      </c>
      <c r="EL225">
        <f>_xlfn.XLOOKUP(B225,'[12]february-2026'!$A:$A,'[12]february-2026'!$J:$J,0,0)</f>
        <v>0</v>
      </c>
      <c r="EM225">
        <f t="shared" si="519"/>
        <v>60294</v>
      </c>
      <c r="EN225">
        <f t="shared" si="509"/>
        <v>471844</v>
      </c>
      <c r="EO225">
        <f t="shared" si="510"/>
        <v>1800</v>
      </c>
      <c r="EP225">
        <f t="shared" si="566"/>
        <v>50000</v>
      </c>
      <c r="EQ225">
        <v>0</v>
      </c>
      <c r="ER225">
        <f t="shared" si="520"/>
        <v>480338</v>
      </c>
      <c r="ES225">
        <f t="shared" si="511"/>
        <v>24000</v>
      </c>
      <c r="ET225">
        <f t="shared" si="512"/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567"/>
        <v>24000</v>
      </c>
      <c r="FF225">
        <f t="shared" si="568"/>
        <v>24000</v>
      </c>
      <c r="FG225">
        <f t="shared" si="569"/>
        <v>456338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513"/>
        <v>0</v>
      </c>
      <c r="FP225">
        <f t="shared" si="570"/>
        <v>456338</v>
      </c>
      <c r="FQ225">
        <f t="shared" si="571"/>
        <v>10317</v>
      </c>
      <c r="FR225">
        <f t="shared" si="572"/>
        <v>0</v>
      </c>
      <c r="FS225">
        <f t="shared" si="573"/>
        <v>10317</v>
      </c>
      <c r="FT225">
        <f t="shared" si="574"/>
        <v>0</v>
      </c>
      <c r="FU225">
        <f t="shared" si="575"/>
        <v>0</v>
      </c>
      <c r="FV225">
        <f t="shared" si="576"/>
        <v>0</v>
      </c>
      <c r="FW225">
        <v>0</v>
      </c>
      <c r="FX225">
        <f t="shared" si="577"/>
        <v>0</v>
      </c>
      <c r="FY225" t="b">
        <f t="shared" si="578"/>
        <v>0</v>
      </c>
      <c r="FZ225">
        <f t="shared" ca="1" si="579"/>
        <v>2173</v>
      </c>
      <c r="GA225">
        <f t="shared" ca="1" si="580"/>
        <v>474017</v>
      </c>
      <c r="GB225">
        <f t="shared" si="581"/>
        <v>75000</v>
      </c>
      <c r="GC225">
        <f t="shared" ca="1" si="582"/>
        <v>399017</v>
      </c>
      <c r="GD225">
        <f t="shared" ca="1" si="583"/>
        <v>0</v>
      </c>
      <c r="GE225">
        <f t="shared" ca="1" si="584"/>
        <v>0</v>
      </c>
      <c r="GF225">
        <f t="shared" ca="1" si="585"/>
        <v>0</v>
      </c>
      <c r="GG225">
        <f t="shared" ca="1" si="586"/>
        <v>0</v>
      </c>
      <c r="GH225">
        <f t="shared" ca="1" si="587"/>
        <v>0</v>
      </c>
      <c r="GI225">
        <f t="shared" ca="1" si="588"/>
        <v>0</v>
      </c>
      <c r="GJ225">
        <f t="shared" ca="1" si="514"/>
        <v>0</v>
      </c>
      <c r="GK225">
        <f t="shared" ca="1" si="589"/>
        <v>0</v>
      </c>
      <c r="GL225">
        <f t="shared" ca="1" si="590"/>
        <v>0</v>
      </c>
      <c r="GM225">
        <f t="shared" ca="1" si="591"/>
        <v>0</v>
      </c>
      <c r="GN225">
        <f t="shared" ca="1" si="592"/>
        <v>0</v>
      </c>
      <c r="GO225">
        <f t="shared" ca="1" si="593"/>
        <v>0</v>
      </c>
      <c r="GP225">
        <f t="shared" ca="1" si="594"/>
        <v>0</v>
      </c>
      <c r="GQ225">
        <f t="shared" ca="1" si="595"/>
        <v>0</v>
      </c>
      <c r="GR225">
        <f t="shared" ca="1" si="596"/>
        <v>0</v>
      </c>
      <c r="GS225">
        <f t="shared" ca="1" si="597"/>
        <v>0</v>
      </c>
      <c r="GT225">
        <f t="shared" ca="1" si="598"/>
        <v>0</v>
      </c>
      <c r="GU225" t="b">
        <f t="shared" ca="1" si="599"/>
        <v>0</v>
      </c>
      <c r="GV225">
        <f t="shared" ca="1" si="600"/>
        <v>0</v>
      </c>
      <c r="GW225">
        <f t="shared" ca="1" si="601"/>
        <v>0</v>
      </c>
      <c r="GX225">
        <f t="shared" ca="1" si="602"/>
        <v>0</v>
      </c>
      <c r="GY225">
        <f t="shared" ca="1" si="603"/>
        <v>0</v>
      </c>
      <c r="GZ225">
        <f t="shared" ca="1" si="604"/>
        <v>0</v>
      </c>
    </row>
    <row r="226" spans="1:208" x14ac:dyDescent="0.3">
      <c r="A226">
        <f>_xlfn.AGGREGATE(3,5,$B$2:B226)</f>
        <v>225</v>
      </c>
      <c r="B226" t="s">
        <v>555</v>
      </c>
      <c r="C226" t="s">
        <v>556</v>
      </c>
      <c r="D226" t="s">
        <v>806</v>
      </c>
      <c r="E226" t="s">
        <v>830</v>
      </c>
      <c r="F226" t="s">
        <v>956</v>
      </c>
      <c r="G226" t="s">
        <v>945</v>
      </c>
      <c r="H226">
        <f t="shared" si="606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521"/>
        <v>4970.0000000000009</v>
      </c>
      <c r="L226">
        <f t="shared" si="522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 t="shared" si="499"/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605"/>
        <v>200</v>
      </c>
      <c r="S226">
        <f t="shared" si="515"/>
        <v>39930</v>
      </c>
      <c r="T226">
        <f>_xlfn.XLOOKUP(B226,'[2]april-2025'!$A:$A,'[2]april-2025'!$C:$C,0,0)</f>
        <v>35500</v>
      </c>
      <c r="U226">
        <f t="shared" si="523"/>
        <v>6390</v>
      </c>
      <c r="V226">
        <f t="shared" si="524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516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525"/>
        <v>200</v>
      </c>
      <c r="AC226">
        <f t="shared" si="526"/>
        <v>41350</v>
      </c>
      <c r="AD226">
        <f>_xlfn.XLOOKUP(B226,'[3]may-2025'!$A:$A,'[3]may-2025'!$C:$C,0,0)</f>
        <v>35500</v>
      </c>
      <c r="AE226">
        <f t="shared" si="527"/>
        <v>6390</v>
      </c>
      <c r="AF226">
        <f t="shared" si="528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517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529"/>
        <v>200</v>
      </c>
      <c r="AM226">
        <f t="shared" si="530"/>
        <v>41350</v>
      </c>
      <c r="AN226">
        <f>_xlfn.XLOOKUP(B226,'[4]june-2025'!$A:$A,'[4]june-2025'!$C:$C,0,0)</f>
        <v>35500</v>
      </c>
      <c r="AO226">
        <f t="shared" si="531"/>
        <v>6390</v>
      </c>
      <c r="AP226">
        <f t="shared" si="532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518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533"/>
        <v>200</v>
      </c>
      <c r="AW226">
        <f t="shared" si="534"/>
        <v>41350</v>
      </c>
      <c r="AX226">
        <f>_xlfn.XLOOKUP(B226,'[5]july-2025'!$A:$A,'[5]july-2025'!$C:$C,0,0)</f>
        <v>36600</v>
      </c>
      <c r="AY226">
        <f t="shared" si="535"/>
        <v>6588</v>
      </c>
      <c r="AZ226">
        <v>0</v>
      </c>
      <c r="BA226">
        <f t="shared" si="536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 t="shared" si="500"/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537"/>
        <v>200</v>
      </c>
      <c r="BH226">
        <f t="shared" si="538"/>
        <v>42780</v>
      </c>
      <c r="BI226">
        <f>_xlfn.XLOOKUP(B226,'[6]august-2025'!$A:$A,'[6]august-2025'!$C:$C,0,0)</f>
        <v>36600</v>
      </c>
      <c r="BJ226">
        <f t="shared" si="539"/>
        <v>6588</v>
      </c>
      <c r="BK226">
        <f t="shared" si="540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541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 t="shared" si="501"/>
        <v>200</v>
      </c>
      <c r="BR226">
        <f t="shared" si="502"/>
        <v>42780</v>
      </c>
      <c r="BS226">
        <f>_xlfn.XLOOKUP(B226,'[7]september-2025'!$A:$A,'[7]september-2025'!$C:$C,0,0)</f>
        <v>36600</v>
      </c>
      <c r="BT226">
        <f t="shared" si="542"/>
        <v>6588</v>
      </c>
      <c r="BU226">
        <f t="shared" si="543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 t="shared" si="503"/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544"/>
        <v>200</v>
      </c>
      <c r="CB226">
        <f t="shared" si="545"/>
        <v>42780</v>
      </c>
      <c r="CC226">
        <f>_xlfn.XLOOKUP(B226,'[8]october-2025'!$A:$A,'[8]october-2025'!$C:$C,0,0)</f>
        <v>36600</v>
      </c>
      <c r="CD226">
        <f t="shared" si="546"/>
        <v>6588</v>
      </c>
      <c r="CE226">
        <f t="shared" si="547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 t="shared" si="504"/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548"/>
        <v>200</v>
      </c>
      <c r="CL226">
        <f t="shared" si="549"/>
        <v>42780</v>
      </c>
      <c r="CM226">
        <f>_xlfn.XLOOKUP(B226,'[9]november-2025'!$A:$A,'[9]november-2025'!$C:$C,0,0)</f>
        <v>36600</v>
      </c>
      <c r="CN226">
        <f t="shared" si="550"/>
        <v>6588</v>
      </c>
      <c r="CO226">
        <f t="shared" si="551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 t="shared" si="505"/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552"/>
        <v>200</v>
      </c>
      <c r="CV226">
        <f t="shared" si="553"/>
        <v>42780</v>
      </c>
      <c r="CW226">
        <f>_xlfn.XLOOKUP(B226,'[10]december-2025'!$A:$A,'[10]december-2025'!$C:$C,0,0)</f>
        <v>36600</v>
      </c>
      <c r="CX226">
        <f t="shared" si="554"/>
        <v>6588</v>
      </c>
      <c r="CY226">
        <f t="shared" si="555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 t="shared" si="506"/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556"/>
        <v>200</v>
      </c>
      <c r="DF226">
        <f t="shared" si="557"/>
        <v>42780</v>
      </c>
      <c r="DG226">
        <f>_xlfn.XLOOKUP(B226,'[11]january-2026'!$A:$A,'[11]january-2026'!$C:$C,0,0)</f>
        <v>36600</v>
      </c>
      <c r="DH226">
        <f t="shared" si="558"/>
        <v>6588</v>
      </c>
      <c r="DI226">
        <f t="shared" si="559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07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60"/>
        <v>200</v>
      </c>
      <c r="DP226">
        <f t="shared" si="561"/>
        <v>42780</v>
      </c>
      <c r="DQ226">
        <f>_xlfn.XLOOKUP(B226,'[12]february-2026'!$A:$A,'[12]february-2026'!$C:$C,0,0)</f>
        <v>36600</v>
      </c>
      <c r="DR226">
        <f t="shared" si="562"/>
        <v>6588</v>
      </c>
      <c r="DS226">
        <f t="shared" si="563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08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64"/>
        <v>200</v>
      </c>
      <c r="DZ226">
        <f t="shared" si="565"/>
        <v>42780</v>
      </c>
      <c r="EA226">
        <f>_xlfn.XLOOKUP(B226,'[1]march-2025'!$A:$A,'[1]march-2025'!$J:$J,0,0)</f>
        <v>0</v>
      </c>
      <c r="EB226">
        <f>_xlfn.XLOOKUP(B226,'[2]april-2025'!$A:$A,'[2]april-2025'!$J:$J,0,0)</f>
        <v>0</v>
      </c>
      <c r="EC226">
        <f>_xlfn.XLOOKUP(B226,'[3]may-2025'!$A:$A,'[3]may-2025'!$J:$J,0,0)</f>
        <v>0</v>
      </c>
      <c r="ED226">
        <f>_xlfn.XLOOKUP(B226,'[4]june-2025'!$A:$A,'[4]june-2025'!$J:$J,0,0)</f>
        <v>0</v>
      </c>
      <c r="EE226">
        <f>_xlfn.XLOOKUP(B226,'[5]july-2025'!$A:$A,'[5]july-2025'!$J:$J,0,0)</f>
        <v>0</v>
      </c>
      <c r="EF226">
        <f>_xlfn.XLOOKUP(B226,'[6]august-2025'!$A:$A,'[6]august-2025'!$J:$J,0,0)</f>
        <v>0</v>
      </c>
      <c r="EG226">
        <f>_xlfn.XLOOKUP(B226,'[7]september-2025'!$A:$A,'[7]september-2025'!$J:$J,0,0)</f>
        <v>0</v>
      </c>
      <c r="EH226">
        <f>_xlfn.XLOOKUP(B226,'[8]october-2025'!$A:$A,'[8]october-2025'!$J:$J,0,0)</f>
        <v>0</v>
      </c>
      <c r="EI226">
        <f>_xlfn.XLOOKUP(C226,'[9]november-2025'!$A:$A,'[9]november-2025'!$J:$J,0,0)</f>
        <v>0</v>
      </c>
      <c r="EJ226">
        <f>_xlfn.XLOOKUP(B226,'[10]december-2025'!$A:$A,'[10]december-2025'!$J:$J,0,0)</f>
        <v>0</v>
      </c>
      <c r="EK226">
        <f>_xlfn.XLOOKUP(B226,'[11]january-2026'!$A:$A,'[11]january-2026'!$J:$J,0,0)</f>
        <v>0</v>
      </c>
      <c r="EL226">
        <f>_xlfn.XLOOKUP(B226,'[12]february-2026'!$A:$A,'[12]february-2026'!$J:$J,0,0)</f>
        <v>0</v>
      </c>
      <c r="EM226">
        <f t="shared" si="519"/>
        <v>0</v>
      </c>
      <c r="EN226">
        <f t="shared" si="509"/>
        <v>575420</v>
      </c>
      <c r="EO226">
        <f t="shared" si="510"/>
        <v>2400</v>
      </c>
      <c r="EP226">
        <f t="shared" si="566"/>
        <v>50000</v>
      </c>
      <c r="EQ226">
        <v>0</v>
      </c>
      <c r="ER226">
        <f t="shared" si="520"/>
        <v>523020</v>
      </c>
      <c r="ES226">
        <f t="shared" si="511"/>
        <v>60000</v>
      </c>
      <c r="ET226">
        <f t="shared" si="512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567"/>
        <v>60000</v>
      </c>
      <c r="FF226">
        <f t="shared" si="568"/>
        <v>60000</v>
      </c>
      <c r="FG226">
        <f t="shared" si="569"/>
        <v>463020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513"/>
        <v>0</v>
      </c>
      <c r="FP226">
        <f t="shared" si="570"/>
        <v>463020</v>
      </c>
      <c r="FQ226">
        <f t="shared" si="571"/>
        <v>10651</v>
      </c>
      <c r="FR226">
        <f t="shared" si="572"/>
        <v>0</v>
      </c>
      <c r="FS226">
        <f t="shared" si="573"/>
        <v>10651</v>
      </c>
      <c r="FT226">
        <f t="shared" si="574"/>
        <v>0</v>
      </c>
      <c r="FU226">
        <f t="shared" si="575"/>
        <v>0</v>
      </c>
      <c r="FV226">
        <f t="shared" si="576"/>
        <v>0</v>
      </c>
      <c r="FW226">
        <v>0</v>
      </c>
      <c r="FX226">
        <f t="shared" si="577"/>
        <v>0</v>
      </c>
      <c r="FY226" t="b">
        <f t="shared" si="578"/>
        <v>1</v>
      </c>
      <c r="FZ226">
        <f t="shared" ca="1" si="579"/>
        <v>747</v>
      </c>
      <c r="GA226">
        <f t="shared" ca="1" si="580"/>
        <v>576167</v>
      </c>
      <c r="GB226">
        <f t="shared" si="581"/>
        <v>75000</v>
      </c>
      <c r="GC226">
        <f t="shared" ca="1" si="582"/>
        <v>501167</v>
      </c>
      <c r="GD226">
        <f t="shared" ca="1" si="583"/>
        <v>0</v>
      </c>
      <c r="GE226">
        <f t="shared" ca="1" si="584"/>
        <v>0</v>
      </c>
      <c r="GF226">
        <f t="shared" ca="1" si="585"/>
        <v>0</v>
      </c>
      <c r="GG226">
        <f t="shared" ca="1" si="586"/>
        <v>0</v>
      </c>
      <c r="GH226">
        <f t="shared" ca="1" si="587"/>
        <v>0</v>
      </c>
      <c r="GI226">
        <f t="shared" ca="1" si="588"/>
        <v>0</v>
      </c>
      <c r="GJ226">
        <f t="shared" ca="1" si="514"/>
        <v>0</v>
      </c>
      <c r="GK226">
        <f t="shared" ca="1" si="589"/>
        <v>0</v>
      </c>
      <c r="GL226">
        <f t="shared" ca="1" si="590"/>
        <v>0</v>
      </c>
      <c r="GM226">
        <f t="shared" ca="1" si="591"/>
        <v>0</v>
      </c>
      <c r="GN226">
        <f t="shared" ca="1" si="592"/>
        <v>101167</v>
      </c>
      <c r="GO226">
        <f t="shared" ca="1" si="593"/>
        <v>5058.3500000000004</v>
      </c>
      <c r="GP226">
        <f t="shared" ca="1" si="594"/>
        <v>5058</v>
      </c>
      <c r="GQ226">
        <f t="shared" ca="1" si="595"/>
        <v>0</v>
      </c>
      <c r="GR226">
        <f t="shared" ca="1" si="596"/>
        <v>0</v>
      </c>
      <c r="GS226">
        <f t="shared" ca="1" si="597"/>
        <v>5058</v>
      </c>
      <c r="GT226">
        <f t="shared" ca="1" si="598"/>
        <v>0</v>
      </c>
      <c r="GU226" t="b">
        <f t="shared" ca="1" si="599"/>
        <v>0</v>
      </c>
      <c r="GV226">
        <f t="shared" ca="1" si="600"/>
        <v>0</v>
      </c>
      <c r="GW226">
        <f t="shared" ca="1" si="601"/>
        <v>5058</v>
      </c>
      <c r="GX226">
        <f t="shared" ca="1" si="602"/>
        <v>0</v>
      </c>
      <c r="GY226">
        <f t="shared" ca="1" si="603"/>
        <v>0</v>
      </c>
      <c r="GZ226">
        <f t="shared" ca="1" si="604"/>
        <v>0</v>
      </c>
    </row>
    <row r="227" spans="1:208" x14ac:dyDescent="0.3">
      <c r="A227">
        <f>_xlfn.AGGREGATE(3,5,$B$2:B227)</f>
        <v>226</v>
      </c>
      <c r="B227" t="s">
        <v>557</v>
      </c>
      <c r="C227" t="s">
        <v>558</v>
      </c>
      <c r="D227" t="s">
        <v>806</v>
      </c>
      <c r="E227" t="s">
        <v>830</v>
      </c>
      <c r="F227" t="s">
        <v>956</v>
      </c>
      <c r="G227" t="s">
        <v>901</v>
      </c>
      <c r="H227">
        <f t="shared" si="606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521"/>
        <v>4690</v>
      </c>
      <c r="L227">
        <f t="shared" si="522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499"/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605"/>
        <v>200</v>
      </c>
      <c r="S227">
        <f t="shared" si="515"/>
        <v>39510</v>
      </c>
      <c r="T227">
        <f>_xlfn.XLOOKUP(B227,'[2]april-2025'!$A:$A,'[2]april-2025'!$C:$C,0,0)</f>
        <v>33500</v>
      </c>
      <c r="U227">
        <f t="shared" si="523"/>
        <v>6030</v>
      </c>
      <c r="V227">
        <f t="shared" si="524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516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525"/>
        <v>200</v>
      </c>
      <c r="AC227">
        <f t="shared" si="526"/>
        <v>40850</v>
      </c>
      <c r="AD227">
        <f>_xlfn.XLOOKUP(B227,'[3]may-2025'!$A:$A,'[3]may-2025'!$C:$C,0,0)</f>
        <v>33500</v>
      </c>
      <c r="AE227">
        <f t="shared" si="527"/>
        <v>6030</v>
      </c>
      <c r="AF227">
        <f t="shared" si="528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517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529"/>
        <v>200</v>
      </c>
      <c r="AM227">
        <f t="shared" si="530"/>
        <v>40850</v>
      </c>
      <c r="AN227">
        <f>_xlfn.XLOOKUP(B227,'[4]june-2025'!$A:$A,'[4]june-2025'!$C:$C,0,0)</f>
        <v>33500</v>
      </c>
      <c r="AO227">
        <f t="shared" si="531"/>
        <v>6030</v>
      </c>
      <c r="AP227">
        <f t="shared" si="532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518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533"/>
        <v>200</v>
      </c>
      <c r="AW227">
        <f t="shared" si="534"/>
        <v>40850</v>
      </c>
      <c r="AX227">
        <f>_xlfn.XLOOKUP(B227,'[5]july-2025'!$A:$A,'[5]july-2025'!$C:$C,0,0)</f>
        <v>35500</v>
      </c>
      <c r="AY227">
        <f t="shared" si="535"/>
        <v>6390</v>
      </c>
      <c r="AZ227">
        <v>0</v>
      </c>
      <c r="BA227">
        <f t="shared" si="536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500"/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537"/>
        <v>200</v>
      </c>
      <c r="BH227">
        <f t="shared" si="538"/>
        <v>43450</v>
      </c>
      <c r="BI227">
        <f>_xlfn.XLOOKUP(B227,'[6]august-2025'!$A:$A,'[6]august-2025'!$C:$C,0,0)</f>
        <v>35500</v>
      </c>
      <c r="BJ227">
        <f t="shared" si="539"/>
        <v>6390</v>
      </c>
      <c r="BK227">
        <f t="shared" si="540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541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501"/>
        <v>200</v>
      </c>
      <c r="BR227">
        <f t="shared" si="502"/>
        <v>43450</v>
      </c>
      <c r="BS227">
        <f>_xlfn.XLOOKUP(B227,'[7]september-2025'!$A:$A,'[7]september-2025'!$C:$C,0,0)</f>
        <v>35500</v>
      </c>
      <c r="BT227">
        <f t="shared" si="542"/>
        <v>6390</v>
      </c>
      <c r="BU227">
        <f t="shared" si="543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503"/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544"/>
        <v>200</v>
      </c>
      <c r="CB227">
        <f t="shared" si="545"/>
        <v>43450</v>
      </c>
      <c r="CC227">
        <f>_xlfn.XLOOKUP(B227,'[8]october-2025'!$A:$A,'[8]october-2025'!$C:$C,0,0)</f>
        <v>35500</v>
      </c>
      <c r="CD227">
        <f t="shared" si="546"/>
        <v>6390</v>
      </c>
      <c r="CE227">
        <f t="shared" si="547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504"/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548"/>
        <v>200</v>
      </c>
      <c r="CL227">
        <f t="shared" si="549"/>
        <v>43450</v>
      </c>
      <c r="CM227">
        <f>_xlfn.XLOOKUP(B227,'[9]november-2025'!$A:$A,'[9]november-2025'!$C:$C,0,0)</f>
        <v>35500</v>
      </c>
      <c r="CN227">
        <f t="shared" si="550"/>
        <v>6390</v>
      </c>
      <c r="CO227">
        <f t="shared" si="551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505"/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552"/>
        <v>200</v>
      </c>
      <c r="CV227">
        <f t="shared" si="553"/>
        <v>43450</v>
      </c>
      <c r="CW227">
        <f>_xlfn.XLOOKUP(B227,'[10]december-2025'!$A:$A,'[10]december-2025'!$C:$C,0,0)</f>
        <v>35500</v>
      </c>
      <c r="CX227">
        <f t="shared" si="554"/>
        <v>6390</v>
      </c>
      <c r="CY227">
        <f t="shared" si="555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506"/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556"/>
        <v>200</v>
      </c>
      <c r="DF227">
        <f t="shared" si="557"/>
        <v>43450</v>
      </c>
      <c r="DG227">
        <f>_xlfn.XLOOKUP(B227,'[11]january-2026'!$A:$A,'[11]january-2026'!$C:$C,0,0)</f>
        <v>35500</v>
      </c>
      <c r="DH227">
        <f t="shared" si="558"/>
        <v>6390</v>
      </c>
      <c r="DI227">
        <f t="shared" si="559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07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60"/>
        <v>200</v>
      </c>
      <c r="DP227">
        <f t="shared" si="561"/>
        <v>43450</v>
      </c>
      <c r="DQ227">
        <f>_xlfn.XLOOKUP(B227,'[12]february-2026'!$A:$A,'[12]february-2026'!$C:$C,0,0)</f>
        <v>35500</v>
      </c>
      <c r="DR227">
        <f t="shared" si="562"/>
        <v>6390</v>
      </c>
      <c r="DS227">
        <f t="shared" si="563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08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64"/>
        <v>200</v>
      </c>
      <c r="DZ227">
        <f t="shared" si="565"/>
        <v>43450</v>
      </c>
      <c r="EA227">
        <f>_xlfn.XLOOKUP(B227,'[1]march-2025'!$A:$A,'[1]march-2025'!$J:$J,0,0)</f>
        <v>0</v>
      </c>
      <c r="EB227">
        <f>_xlfn.XLOOKUP(B227,'[2]april-2025'!$A:$A,'[2]april-2025'!$J:$J,0,0)</f>
        <v>0</v>
      </c>
      <c r="EC227">
        <f>_xlfn.XLOOKUP(B227,'[3]may-2025'!$A:$A,'[3]may-2025'!$J:$J,0,0)</f>
        <v>0</v>
      </c>
      <c r="ED227">
        <f>_xlfn.XLOOKUP(B227,'[4]june-2025'!$A:$A,'[4]june-2025'!$J:$J,0,0)</f>
        <v>0</v>
      </c>
      <c r="EE227">
        <f>_xlfn.XLOOKUP(B227,'[5]july-2025'!$A:$A,'[5]july-2025'!$J:$J,0,0)</f>
        <v>0</v>
      </c>
      <c r="EF227">
        <f>_xlfn.XLOOKUP(B227,'[6]august-2025'!$A:$A,'[6]august-2025'!$J:$J,0,0)</f>
        <v>0</v>
      </c>
      <c r="EG227">
        <f>_xlfn.XLOOKUP(B227,'[7]september-2025'!$A:$A,'[7]september-2025'!$J:$J,0,0)</f>
        <v>0</v>
      </c>
      <c r="EH227">
        <f>_xlfn.XLOOKUP(B227,'[8]october-2025'!$A:$A,'[8]october-2025'!$J:$J,0,0)</f>
        <v>0</v>
      </c>
      <c r="EI227">
        <f>_xlfn.XLOOKUP(C227,'[9]november-2025'!$A:$A,'[9]november-2025'!$J:$J,0,0)</f>
        <v>0</v>
      </c>
      <c r="EJ227">
        <f>_xlfn.XLOOKUP(B227,'[10]december-2025'!$A:$A,'[10]december-2025'!$J:$J,0,0)</f>
        <v>0</v>
      </c>
      <c r="EK227">
        <f>_xlfn.XLOOKUP(B227,'[11]january-2026'!$A:$A,'[11]january-2026'!$J:$J,0,0)</f>
        <v>0</v>
      </c>
      <c r="EL227">
        <f>_xlfn.XLOOKUP(B227,'[12]february-2026'!$A:$A,'[12]february-2026'!$J:$J,0,0)</f>
        <v>0</v>
      </c>
      <c r="EM227">
        <f t="shared" si="519"/>
        <v>0</v>
      </c>
      <c r="EN227">
        <f t="shared" si="509"/>
        <v>554860</v>
      </c>
      <c r="EO227">
        <f t="shared" si="510"/>
        <v>2400</v>
      </c>
      <c r="EP227">
        <f t="shared" si="566"/>
        <v>50000</v>
      </c>
      <c r="EQ227">
        <v>0</v>
      </c>
      <c r="ER227">
        <f t="shared" si="520"/>
        <v>502460</v>
      </c>
      <c r="ES227">
        <f t="shared" si="511"/>
        <v>36000</v>
      </c>
      <c r="ET227">
        <f t="shared" si="512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567"/>
        <v>36000</v>
      </c>
      <c r="FF227">
        <f t="shared" si="568"/>
        <v>36000</v>
      </c>
      <c r="FG227">
        <f t="shared" si="569"/>
        <v>466460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513"/>
        <v>0</v>
      </c>
      <c r="FP227">
        <f t="shared" si="570"/>
        <v>466460</v>
      </c>
      <c r="FQ227">
        <f t="shared" si="571"/>
        <v>10823</v>
      </c>
      <c r="FR227">
        <f t="shared" si="572"/>
        <v>0</v>
      </c>
      <c r="FS227">
        <f t="shared" si="573"/>
        <v>10823</v>
      </c>
      <c r="FT227">
        <f t="shared" si="574"/>
        <v>0</v>
      </c>
      <c r="FU227">
        <f t="shared" si="575"/>
        <v>0</v>
      </c>
      <c r="FV227">
        <f t="shared" si="576"/>
        <v>0</v>
      </c>
      <c r="FW227">
        <v>0</v>
      </c>
      <c r="FX227">
        <f t="shared" si="577"/>
        <v>0</v>
      </c>
      <c r="FY227" t="b">
        <f t="shared" si="578"/>
        <v>1</v>
      </c>
      <c r="FZ227">
        <f t="shared" ca="1" si="579"/>
        <v>803</v>
      </c>
      <c r="GA227">
        <f t="shared" ca="1" si="580"/>
        <v>555663</v>
      </c>
      <c r="GB227">
        <f t="shared" si="581"/>
        <v>75000</v>
      </c>
      <c r="GC227">
        <f t="shared" ca="1" si="582"/>
        <v>480663</v>
      </c>
      <c r="GD227">
        <f t="shared" ca="1" si="583"/>
        <v>0</v>
      </c>
      <c r="GE227">
        <f t="shared" ca="1" si="584"/>
        <v>0</v>
      </c>
      <c r="GF227">
        <f t="shared" ca="1" si="585"/>
        <v>0</v>
      </c>
      <c r="GG227">
        <f t="shared" ca="1" si="586"/>
        <v>0</v>
      </c>
      <c r="GH227">
        <f t="shared" ca="1" si="587"/>
        <v>0</v>
      </c>
      <c r="GI227">
        <f t="shared" ca="1" si="588"/>
        <v>0</v>
      </c>
      <c r="GJ227">
        <f t="shared" ca="1" si="514"/>
        <v>0</v>
      </c>
      <c r="GK227">
        <f t="shared" ca="1" si="589"/>
        <v>0</v>
      </c>
      <c r="GL227">
        <f t="shared" ca="1" si="590"/>
        <v>0</v>
      </c>
      <c r="GM227">
        <f t="shared" ca="1" si="591"/>
        <v>0</v>
      </c>
      <c r="GN227">
        <f t="shared" ca="1" si="592"/>
        <v>80663</v>
      </c>
      <c r="GO227">
        <f t="shared" ca="1" si="593"/>
        <v>4033.15</v>
      </c>
      <c r="GP227">
        <f t="shared" ca="1" si="594"/>
        <v>4033</v>
      </c>
      <c r="GQ227">
        <f t="shared" ca="1" si="595"/>
        <v>0</v>
      </c>
      <c r="GR227">
        <f t="shared" ca="1" si="596"/>
        <v>0</v>
      </c>
      <c r="GS227">
        <f t="shared" ca="1" si="597"/>
        <v>4033</v>
      </c>
      <c r="GT227">
        <f t="shared" ca="1" si="598"/>
        <v>0</v>
      </c>
      <c r="GU227" t="b">
        <f t="shared" ca="1" si="599"/>
        <v>0</v>
      </c>
      <c r="GV227">
        <f t="shared" ca="1" si="600"/>
        <v>0</v>
      </c>
      <c r="GW227">
        <f t="shared" ca="1" si="601"/>
        <v>4033</v>
      </c>
      <c r="GX227">
        <f t="shared" ca="1" si="602"/>
        <v>0</v>
      </c>
      <c r="GY227">
        <f t="shared" ca="1" si="603"/>
        <v>0</v>
      </c>
      <c r="GZ227">
        <f t="shared" ca="1" si="604"/>
        <v>0</v>
      </c>
    </row>
    <row r="228" spans="1:208" x14ac:dyDescent="0.3">
      <c r="A228">
        <f>_xlfn.AGGREGATE(3,5,$B$2:B228)</f>
        <v>227</v>
      </c>
      <c r="B228" t="s">
        <v>559</v>
      </c>
      <c r="C228" t="s">
        <v>560</v>
      </c>
      <c r="D228" t="s">
        <v>806</v>
      </c>
      <c r="E228" t="s">
        <v>830</v>
      </c>
      <c r="F228" t="s">
        <v>956</v>
      </c>
      <c r="G228" t="s">
        <v>946</v>
      </c>
      <c r="H228">
        <f t="shared" si="606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521"/>
        <v>4424</v>
      </c>
      <c r="L228">
        <f t="shared" si="522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499"/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605"/>
        <v>200</v>
      </c>
      <c r="S228">
        <f t="shared" si="515"/>
        <v>38116</v>
      </c>
      <c r="T228">
        <f>_xlfn.XLOOKUP(B228,'[2]april-2025'!$A:$A,'[2]april-2025'!$C:$C,0,0)</f>
        <v>31600</v>
      </c>
      <c r="U228">
        <f t="shared" si="523"/>
        <v>5688</v>
      </c>
      <c r="V228">
        <f t="shared" si="524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516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525"/>
        <v>200</v>
      </c>
      <c r="AC228">
        <f t="shared" si="526"/>
        <v>39380</v>
      </c>
      <c r="AD228">
        <f>_xlfn.XLOOKUP(B228,'[3]may-2025'!$A:$A,'[3]may-2025'!$C:$C,0,0)</f>
        <v>31600</v>
      </c>
      <c r="AE228">
        <f t="shared" si="527"/>
        <v>5688</v>
      </c>
      <c r="AF228">
        <f t="shared" si="528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517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529"/>
        <v>200</v>
      </c>
      <c r="AM228">
        <f t="shared" si="530"/>
        <v>39380</v>
      </c>
      <c r="AN228">
        <f>_xlfn.XLOOKUP(B228,'[4]june-2025'!$A:$A,'[4]june-2025'!$C:$C,0,0)</f>
        <v>31600</v>
      </c>
      <c r="AO228">
        <f t="shared" si="531"/>
        <v>5688</v>
      </c>
      <c r="AP228">
        <f t="shared" si="532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518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533"/>
        <v>200</v>
      </c>
      <c r="AW228">
        <f t="shared" si="534"/>
        <v>39380</v>
      </c>
      <c r="AX228">
        <f>_xlfn.XLOOKUP(B228,'[5]july-2025'!$A:$A,'[5]july-2025'!$C:$C,0,0)</f>
        <v>32500</v>
      </c>
      <c r="AY228">
        <f t="shared" si="535"/>
        <v>5850</v>
      </c>
      <c r="AZ228">
        <v>0</v>
      </c>
      <c r="BA228">
        <f t="shared" si="536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500"/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537"/>
        <v>200</v>
      </c>
      <c r="BH228">
        <f t="shared" si="538"/>
        <v>40550</v>
      </c>
      <c r="BI228">
        <f>_xlfn.XLOOKUP(B228,'[6]august-2025'!$A:$A,'[6]august-2025'!$C:$C,0,0)</f>
        <v>32500</v>
      </c>
      <c r="BJ228">
        <f t="shared" si="539"/>
        <v>5850</v>
      </c>
      <c r="BK228">
        <f t="shared" si="540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541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 t="shared" si="501"/>
        <v>200</v>
      </c>
      <c r="BR228">
        <f t="shared" si="502"/>
        <v>40550</v>
      </c>
      <c r="BS228">
        <f>_xlfn.XLOOKUP(B228,'[7]september-2025'!$A:$A,'[7]september-2025'!$C:$C,0,0)</f>
        <v>32500</v>
      </c>
      <c r="BT228">
        <f t="shared" si="542"/>
        <v>5850</v>
      </c>
      <c r="BU228">
        <f t="shared" si="543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503"/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544"/>
        <v>200</v>
      </c>
      <c r="CB228">
        <f t="shared" si="545"/>
        <v>40550</v>
      </c>
      <c r="CC228">
        <f>_xlfn.XLOOKUP(B228,'[8]october-2025'!$A:$A,'[8]october-2025'!$C:$C,0,0)</f>
        <v>32500</v>
      </c>
      <c r="CD228">
        <f t="shared" si="546"/>
        <v>5850</v>
      </c>
      <c r="CE228">
        <f t="shared" si="547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504"/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548"/>
        <v>200</v>
      </c>
      <c r="CL228">
        <f t="shared" si="549"/>
        <v>40550</v>
      </c>
      <c r="CM228">
        <f>_xlfn.XLOOKUP(B228,'[9]november-2025'!$A:$A,'[9]november-2025'!$C:$C,0,0)</f>
        <v>32500</v>
      </c>
      <c r="CN228">
        <f t="shared" si="550"/>
        <v>5850</v>
      </c>
      <c r="CO228">
        <f t="shared" si="551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505"/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552"/>
        <v>200</v>
      </c>
      <c r="CV228">
        <f t="shared" si="553"/>
        <v>40550</v>
      </c>
      <c r="CW228">
        <f>_xlfn.XLOOKUP(B228,'[10]december-2025'!$A:$A,'[10]december-2025'!$C:$C,0,0)</f>
        <v>32500</v>
      </c>
      <c r="CX228">
        <f t="shared" si="554"/>
        <v>5850</v>
      </c>
      <c r="CY228">
        <f t="shared" si="555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506"/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556"/>
        <v>200</v>
      </c>
      <c r="DF228">
        <f t="shared" si="557"/>
        <v>40550</v>
      </c>
      <c r="DG228">
        <f>_xlfn.XLOOKUP(B228,'[11]january-2026'!$A:$A,'[11]january-2026'!$C:$C,0,0)</f>
        <v>32500</v>
      </c>
      <c r="DH228">
        <f t="shared" si="558"/>
        <v>5850</v>
      </c>
      <c r="DI228">
        <f t="shared" si="559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07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60"/>
        <v>200</v>
      </c>
      <c r="DP228">
        <f t="shared" si="561"/>
        <v>40550</v>
      </c>
      <c r="DQ228">
        <f>_xlfn.XLOOKUP(B228,'[12]february-2026'!$A:$A,'[12]february-2026'!$C:$C,0,0)</f>
        <v>32500</v>
      </c>
      <c r="DR228">
        <f t="shared" si="562"/>
        <v>5850</v>
      </c>
      <c r="DS228">
        <f t="shared" si="563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08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64"/>
        <v>200</v>
      </c>
      <c r="DZ228">
        <f t="shared" si="565"/>
        <v>40550</v>
      </c>
      <c r="EA228">
        <f>_xlfn.XLOOKUP(B228,'[1]march-2025'!$A:$A,'[1]march-2025'!$J:$J,0,0)</f>
        <v>0</v>
      </c>
      <c r="EB228">
        <f>_xlfn.XLOOKUP(B228,'[2]april-2025'!$A:$A,'[2]april-2025'!$J:$J,0,0)</f>
        <v>0</v>
      </c>
      <c r="EC228">
        <f>_xlfn.XLOOKUP(B228,'[3]may-2025'!$A:$A,'[3]may-2025'!$J:$J,0,0)</f>
        <v>0</v>
      </c>
      <c r="ED228">
        <f>_xlfn.XLOOKUP(B228,'[4]june-2025'!$A:$A,'[4]june-2025'!$J:$J,0,0)</f>
        <v>0</v>
      </c>
      <c r="EE228">
        <f>_xlfn.XLOOKUP(B228,'[5]july-2025'!$A:$A,'[5]july-2025'!$J:$J,0,0)</f>
        <v>0</v>
      </c>
      <c r="EF228">
        <f>_xlfn.XLOOKUP(B228,'[6]august-2025'!$A:$A,'[6]august-2025'!$J:$J,0,0)</f>
        <v>0</v>
      </c>
      <c r="EG228">
        <f>_xlfn.XLOOKUP(B228,'[7]september-2025'!$A:$A,'[7]september-2025'!$J:$J,0,0)</f>
        <v>0</v>
      </c>
      <c r="EH228">
        <f>_xlfn.XLOOKUP(B228,'[8]october-2025'!$A:$A,'[8]october-2025'!$J:$J,0,0)</f>
        <v>0</v>
      </c>
      <c r="EI228">
        <f>_xlfn.XLOOKUP(C228,'[9]november-2025'!$A:$A,'[9]november-2025'!$J:$J,0,0)</f>
        <v>0</v>
      </c>
      <c r="EJ228">
        <f>_xlfn.XLOOKUP(B228,'[10]december-2025'!$A:$A,'[10]december-2025'!$J:$J,0,0)</f>
        <v>0</v>
      </c>
      <c r="EK228">
        <f>_xlfn.XLOOKUP(B228,'[11]january-2026'!$A:$A,'[11]january-2026'!$J:$J,0,0)</f>
        <v>0</v>
      </c>
      <c r="EL228">
        <f>_xlfn.XLOOKUP(B228,'[12]february-2026'!$A:$A,'[12]february-2026'!$J:$J,0,0)</f>
        <v>0</v>
      </c>
      <c r="EM228">
        <f t="shared" si="519"/>
        <v>0</v>
      </c>
      <c r="EN228">
        <f t="shared" si="509"/>
        <v>513856</v>
      </c>
      <c r="EO228">
        <f t="shared" si="510"/>
        <v>2400</v>
      </c>
      <c r="EP228">
        <f t="shared" si="566"/>
        <v>50000</v>
      </c>
      <c r="EQ228">
        <v>0</v>
      </c>
      <c r="ER228">
        <f t="shared" si="520"/>
        <v>461456</v>
      </c>
      <c r="ES228">
        <f t="shared" si="511"/>
        <v>24000</v>
      </c>
      <c r="ET228">
        <f t="shared" si="512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567"/>
        <v>24000</v>
      </c>
      <c r="FF228">
        <f t="shared" si="568"/>
        <v>24000</v>
      </c>
      <c r="FG228">
        <f t="shared" si="569"/>
        <v>437456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513"/>
        <v>0</v>
      </c>
      <c r="FP228">
        <f t="shared" si="570"/>
        <v>437456</v>
      </c>
      <c r="FQ228">
        <f t="shared" si="571"/>
        <v>9373</v>
      </c>
      <c r="FR228">
        <f t="shared" si="572"/>
        <v>0</v>
      </c>
      <c r="FS228">
        <f t="shared" si="573"/>
        <v>9373</v>
      </c>
      <c r="FT228">
        <f t="shared" si="574"/>
        <v>0</v>
      </c>
      <c r="FU228">
        <f t="shared" si="575"/>
        <v>0</v>
      </c>
      <c r="FV228">
        <f t="shared" si="576"/>
        <v>0</v>
      </c>
      <c r="FW228">
        <v>0</v>
      </c>
      <c r="FX228">
        <f t="shared" si="577"/>
        <v>0</v>
      </c>
      <c r="FY228" t="b">
        <f t="shared" si="578"/>
        <v>1</v>
      </c>
      <c r="FZ228">
        <f t="shared" ca="1" si="579"/>
        <v>966</v>
      </c>
      <c r="GA228">
        <f t="shared" ca="1" si="580"/>
        <v>514822</v>
      </c>
      <c r="GB228">
        <f t="shared" si="581"/>
        <v>75000</v>
      </c>
      <c r="GC228">
        <f t="shared" ca="1" si="582"/>
        <v>439822</v>
      </c>
      <c r="GD228">
        <f t="shared" ca="1" si="583"/>
        <v>0</v>
      </c>
      <c r="GE228">
        <f t="shared" ca="1" si="584"/>
        <v>0</v>
      </c>
      <c r="GF228">
        <f t="shared" ca="1" si="585"/>
        <v>0</v>
      </c>
      <c r="GG228">
        <f t="shared" ca="1" si="586"/>
        <v>0</v>
      </c>
      <c r="GH228">
        <f t="shared" ca="1" si="587"/>
        <v>0</v>
      </c>
      <c r="GI228">
        <f t="shared" ca="1" si="588"/>
        <v>0</v>
      </c>
      <c r="GJ228">
        <f t="shared" ca="1" si="514"/>
        <v>0</v>
      </c>
      <c r="GK228">
        <f t="shared" ca="1" si="589"/>
        <v>0</v>
      </c>
      <c r="GL228">
        <f t="shared" ca="1" si="590"/>
        <v>0</v>
      </c>
      <c r="GM228">
        <f t="shared" ca="1" si="591"/>
        <v>0</v>
      </c>
      <c r="GN228">
        <f t="shared" ca="1" si="592"/>
        <v>39822</v>
      </c>
      <c r="GO228">
        <f t="shared" ca="1" si="593"/>
        <v>1991.1000000000001</v>
      </c>
      <c r="GP228">
        <f t="shared" ca="1" si="594"/>
        <v>1991</v>
      </c>
      <c r="GQ228">
        <f t="shared" ca="1" si="595"/>
        <v>0</v>
      </c>
      <c r="GR228">
        <f t="shared" ca="1" si="596"/>
        <v>0</v>
      </c>
      <c r="GS228">
        <f t="shared" ca="1" si="597"/>
        <v>1991</v>
      </c>
      <c r="GT228">
        <f t="shared" ca="1" si="598"/>
        <v>0</v>
      </c>
      <c r="GU228" t="b">
        <f t="shared" ca="1" si="599"/>
        <v>0</v>
      </c>
      <c r="GV228">
        <f t="shared" ca="1" si="600"/>
        <v>0</v>
      </c>
      <c r="GW228">
        <f t="shared" ca="1" si="601"/>
        <v>1991</v>
      </c>
      <c r="GX228">
        <f t="shared" ca="1" si="602"/>
        <v>0</v>
      </c>
      <c r="GY228">
        <f t="shared" ca="1" si="603"/>
        <v>0</v>
      </c>
      <c r="GZ228">
        <f t="shared" ca="1" si="604"/>
        <v>0</v>
      </c>
    </row>
    <row r="229" spans="1:208" x14ac:dyDescent="0.3">
      <c r="A229">
        <f>_xlfn.AGGREGATE(3,5,$B$2:B229)</f>
        <v>228</v>
      </c>
      <c r="B229" t="s">
        <v>561</v>
      </c>
      <c r="C229" t="s">
        <v>562</v>
      </c>
      <c r="D229" t="s">
        <v>807</v>
      </c>
      <c r="E229" t="s">
        <v>830</v>
      </c>
      <c r="F229" t="s">
        <v>956</v>
      </c>
      <c r="G229" t="s">
        <v>892</v>
      </c>
      <c r="H229">
        <f t="shared" si="606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521"/>
        <v>4830.0000000000009</v>
      </c>
      <c r="L229">
        <f t="shared" si="522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499"/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605"/>
        <v>200</v>
      </c>
      <c r="S229">
        <f t="shared" si="515"/>
        <v>41170</v>
      </c>
      <c r="T229">
        <f>_xlfn.XLOOKUP(B229,'[2]april-2025'!$A:$A,'[2]april-2025'!$C:$C,0,0)</f>
        <v>34500</v>
      </c>
      <c r="U229">
        <f t="shared" si="523"/>
        <v>6210</v>
      </c>
      <c r="V229">
        <f t="shared" si="524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516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525"/>
        <v>200</v>
      </c>
      <c r="AC229">
        <f t="shared" si="526"/>
        <v>42550</v>
      </c>
      <c r="AD229">
        <f>_xlfn.XLOOKUP(B229,'[3]may-2025'!$A:$A,'[3]may-2025'!$C:$C,0,0)</f>
        <v>34500</v>
      </c>
      <c r="AE229">
        <f t="shared" si="527"/>
        <v>6210</v>
      </c>
      <c r="AF229">
        <f t="shared" si="528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517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529"/>
        <v>200</v>
      </c>
      <c r="AM229">
        <f t="shared" si="530"/>
        <v>42550</v>
      </c>
      <c r="AN229">
        <f>_xlfn.XLOOKUP(B229,'[4]june-2025'!$A:$A,'[4]june-2025'!$C:$C,0,0)</f>
        <v>34500</v>
      </c>
      <c r="AO229">
        <f t="shared" si="531"/>
        <v>6210</v>
      </c>
      <c r="AP229">
        <f t="shared" si="532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518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533"/>
        <v>200</v>
      </c>
      <c r="AW229">
        <f t="shared" si="534"/>
        <v>42550</v>
      </c>
      <c r="AX229">
        <f>_xlfn.XLOOKUP(B229,'[5]july-2025'!$A:$A,'[5]july-2025'!$C:$C,0,0)</f>
        <v>35500</v>
      </c>
      <c r="AY229">
        <f t="shared" si="535"/>
        <v>6390</v>
      </c>
      <c r="AZ229">
        <v>0</v>
      </c>
      <c r="BA229">
        <f t="shared" si="536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500"/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537"/>
        <v>200</v>
      </c>
      <c r="BH229">
        <f t="shared" si="538"/>
        <v>43850</v>
      </c>
      <c r="BI229">
        <f>_xlfn.XLOOKUP(B229,'[6]august-2025'!$A:$A,'[6]august-2025'!$C:$C,0,0)</f>
        <v>35500</v>
      </c>
      <c r="BJ229">
        <f t="shared" si="539"/>
        <v>6390</v>
      </c>
      <c r="BK229">
        <f t="shared" si="540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541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501"/>
        <v>200</v>
      </c>
      <c r="BR229">
        <f t="shared" si="502"/>
        <v>43850</v>
      </c>
      <c r="BS229">
        <f>_xlfn.XLOOKUP(B229,'[7]september-2025'!$A:$A,'[7]september-2025'!$C:$C,0,0)</f>
        <v>35500</v>
      </c>
      <c r="BT229">
        <f t="shared" si="542"/>
        <v>6390</v>
      </c>
      <c r="BU229">
        <f t="shared" si="543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503"/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544"/>
        <v>200</v>
      </c>
      <c r="CB229">
        <f t="shared" si="545"/>
        <v>43850</v>
      </c>
      <c r="CC229">
        <f>_xlfn.XLOOKUP(B229,'[8]october-2025'!$A:$A,'[8]october-2025'!$C:$C,0,0)</f>
        <v>35500</v>
      </c>
      <c r="CD229">
        <f t="shared" si="546"/>
        <v>6390</v>
      </c>
      <c r="CE229">
        <f t="shared" si="547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504"/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548"/>
        <v>200</v>
      </c>
      <c r="CL229">
        <f t="shared" si="549"/>
        <v>43850</v>
      </c>
      <c r="CM229">
        <f>_xlfn.XLOOKUP(B229,'[9]november-2025'!$A:$A,'[9]november-2025'!$C:$C,0,0)</f>
        <v>35500</v>
      </c>
      <c r="CN229">
        <f t="shared" si="550"/>
        <v>6390</v>
      </c>
      <c r="CO229">
        <f t="shared" si="551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505"/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552"/>
        <v>200</v>
      </c>
      <c r="CV229">
        <f t="shared" si="553"/>
        <v>43850</v>
      </c>
      <c r="CW229">
        <f>_xlfn.XLOOKUP(B229,'[10]december-2025'!$A:$A,'[10]december-2025'!$C:$C,0,0)</f>
        <v>35500</v>
      </c>
      <c r="CX229">
        <f t="shared" si="554"/>
        <v>6390</v>
      </c>
      <c r="CY229">
        <f t="shared" si="555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506"/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556"/>
        <v>200</v>
      </c>
      <c r="DF229">
        <f t="shared" si="557"/>
        <v>43850</v>
      </c>
      <c r="DG229">
        <f>_xlfn.XLOOKUP(B229,'[11]january-2026'!$A:$A,'[11]january-2026'!$C:$C,0,0)</f>
        <v>35500</v>
      </c>
      <c r="DH229">
        <f t="shared" si="558"/>
        <v>6390</v>
      </c>
      <c r="DI229">
        <f t="shared" si="559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07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60"/>
        <v>200</v>
      </c>
      <c r="DP229">
        <f t="shared" si="561"/>
        <v>43850</v>
      </c>
      <c r="DQ229">
        <f>_xlfn.XLOOKUP(B229,'[12]february-2026'!$A:$A,'[12]february-2026'!$C:$C,0,0)</f>
        <v>35500</v>
      </c>
      <c r="DR229">
        <f t="shared" si="562"/>
        <v>6390</v>
      </c>
      <c r="DS229">
        <f t="shared" si="563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08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64"/>
        <v>200</v>
      </c>
      <c r="DZ229">
        <f t="shared" si="565"/>
        <v>43850</v>
      </c>
      <c r="EA229">
        <f>_xlfn.XLOOKUP(B229,'[1]march-2025'!$A:$A,'[1]march-2025'!$J:$J,0,0)</f>
        <v>0</v>
      </c>
      <c r="EB229">
        <f>_xlfn.XLOOKUP(B229,'[2]april-2025'!$A:$A,'[2]april-2025'!$J:$J,0,0)</f>
        <v>0</v>
      </c>
      <c r="EC229">
        <f>_xlfn.XLOOKUP(B229,'[3]may-2025'!$A:$A,'[3]may-2025'!$J:$J,0,0)</f>
        <v>0</v>
      </c>
      <c r="ED229">
        <f>_xlfn.XLOOKUP(B229,'[4]june-2025'!$A:$A,'[4]june-2025'!$J:$J,0,0)</f>
        <v>0</v>
      </c>
      <c r="EE229">
        <f>_xlfn.XLOOKUP(B229,'[5]july-2025'!$A:$A,'[5]july-2025'!$J:$J,0,0)</f>
        <v>0</v>
      </c>
      <c r="EF229">
        <f>_xlfn.XLOOKUP(B229,'[6]august-2025'!$A:$A,'[6]august-2025'!$J:$J,0,0)</f>
        <v>0</v>
      </c>
      <c r="EG229">
        <f>_xlfn.XLOOKUP(B229,'[7]september-2025'!$A:$A,'[7]september-2025'!$J:$J,0,0)</f>
        <v>0</v>
      </c>
      <c r="EH229">
        <f>_xlfn.XLOOKUP(B229,'[8]october-2025'!$A:$A,'[8]october-2025'!$J:$J,0,0)</f>
        <v>0</v>
      </c>
      <c r="EI229">
        <f>_xlfn.XLOOKUP(C229,'[9]november-2025'!$A:$A,'[9]november-2025'!$J:$J,0,0)</f>
        <v>0</v>
      </c>
      <c r="EJ229">
        <f>_xlfn.XLOOKUP(B229,'[10]december-2025'!$A:$A,'[10]december-2025'!$J:$J,0,0)</f>
        <v>0</v>
      </c>
      <c r="EK229">
        <f>_xlfn.XLOOKUP(B229,'[11]january-2026'!$A:$A,'[11]january-2026'!$J:$J,0,0)</f>
        <v>0</v>
      </c>
      <c r="EL229">
        <f>_xlfn.XLOOKUP(B229,'[12]february-2026'!$A:$A,'[12]february-2026'!$J:$J,0,0)</f>
        <v>0</v>
      </c>
      <c r="EM229">
        <f t="shared" si="519"/>
        <v>0</v>
      </c>
      <c r="EN229">
        <f t="shared" si="509"/>
        <v>564820</v>
      </c>
      <c r="EO229">
        <f t="shared" si="510"/>
        <v>2400</v>
      </c>
      <c r="EP229">
        <f t="shared" si="566"/>
        <v>50000</v>
      </c>
      <c r="EQ229">
        <v>0</v>
      </c>
      <c r="ER229">
        <f t="shared" si="520"/>
        <v>512420</v>
      </c>
      <c r="ES229">
        <f t="shared" si="511"/>
        <v>36000</v>
      </c>
      <c r="ET229">
        <f t="shared" si="512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567"/>
        <v>36000</v>
      </c>
      <c r="FF229">
        <f t="shared" si="568"/>
        <v>36000</v>
      </c>
      <c r="FG229">
        <f t="shared" si="569"/>
        <v>476420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513"/>
        <v>0</v>
      </c>
      <c r="FP229">
        <f t="shared" si="570"/>
        <v>476420</v>
      </c>
      <c r="FQ229">
        <f t="shared" si="571"/>
        <v>11321</v>
      </c>
      <c r="FR229">
        <f t="shared" si="572"/>
        <v>0</v>
      </c>
      <c r="FS229">
        <f t="shared" si="573"/>
        <v>11321</v>
      </c>
      <c r="FT229">
        <f t="shared" si="574"/>
        <v>0</v>
      </c>
      <c r="FU229">
        <f t="shared" si="575"/>
        <v>0</v>
      </c>
      <c r="FV229">
        <f t="shared" si="576"/>
        <v>0</v>
      </c>
      <c r="FW229">
        <v>0</v>
      </c>
      <c r="FX229">
        <f t="shared" si="577"/>
        <v>0</v>
      </c>
      <c r="FY229" t="b">
        <f t="shared" si="578"/>
        <v>1</v>
      </c>
      <c r="FZ229">
        <f t="shared" ca="1" si="579"/>
        <v>929</v>
      </c>
      <c r="GA229">
        <f t="shared" ca="1" si="580"/>
        <v>565749</v>
      </c>
      <c r="GB229">
        <f t="shared" si="581"/>
        <v>75000</v>
      </c>
      <c r="GC229">
        <f t="shared" ca="1" si="582"/>
        <v>490749</v>
      </c>
      <c r="GD229">
        <f t="shared" ca="1" si="583"/>
        <v>0</v>
      </c>
      <c r="GE229">
        <f t="shared" ca="1" si="584"/>
        <v>0</v>
      </c>
      <c r="GF229">
        <f t="shared" ca="1" si="585"/>
        <v>0</v>
      </c>
      <c r="GG229">
        <f t="shared" ca="1" si="586"/>
        <v>0</v>
      </c>
      <c r="GH229">
        <f t="shared" ca="1" si="587"/>
        <v>0</v>
      </c>
      <c r="GI229">
        <f t="shared" ca="1" si="588"/>
        <v>0</v>
      </c>
      <c r="GJ229">
        <f t="shared" ca="1" si="514"/>
        <v>0</v>
      </c>
      <c r="GK229">
        <f t="shared" ca="1" si="589"/>
        <v>0</v>
      </c>
      <c r="GL229">
        <f t="shared" ca="1" si="590"/>
        <v>0</v>
      </c>
      <c r="GM229">
        <f t="shared" ca="1" si="591"/>
        <v>0</v>
      </c>
      <c r="GN229">
        <f t="shared" ca="1" si="592"/>
        <v>90749</v>
      </c>
      <c r="GO229">
        <f t="shared" ca="1" si="593"/>
        <v>4537.45</v>
      </c>
      <c r="GP229">
        <f t="shared" ca="1" si="594"/>
        <v>4537</v>
      </c>
      <c r="GQ229">
        <f t="shared" ca="1" si="595"/>
        <v>0</v>
      </c>
      <c r="GR229">
        <f t="shared" ca="1" si="596"/>
        <v>0</v>
      </c>
      <c r="GS229">
        <f t="shared" ca="1" si="597"/>
        <v>4537</v>
      </c>
      <c r="GT229">
        <f t="shared" ca="1" si="598"/>
        <v>0</v>
      </c>
      <c r="GU229" t="b">
        <f t="shared" ca="1" si="599"/>
        <v>0</v>
      </c>
      <c r="GV229">
        <f t="shared" ca="1" si="600"/>
        <v>0</v>
      </c>
      <c r="GW229">
        <f t="shared" ca="1" si="601"/>
        <v>4537</v>
      </c>
      <c r="GX229">
        <f t="shared" ca="1" si="602"/>
        <v>0</v>
      </c>
      <c r="GY229">
        <f t="shared" ca="1" si="603"/>
        <v>0</v>
      </c>
      <c r="GZ229">
        <f t="shared" ca="1" si="604"/>
        <v>0</v>
      </c>
    </row>
    <row r="230" spans="1:208" x14ac:dyDescent="0.3">
      <c r="A230">
        <f>_xlfn.AGGREGATE(3,5,$B$2:B230)</f>
        <v>229</v>
      </c>
      <c r="B230" t="s">
        <v>563</v>
      </c>
      <c r="C230" t="s">
        <v>564</v>
      </c>
      <c r="D230" t="s">
        <v>807</v>
      </c>
      <c r="E230" t="s">
        <v>830</v>
      </c>
      <c r="F230" t="s">
        <v>956</v>
      </c>
      <c r="G230" t="s">
        <v>947</v>
      </c>
      <c r="H230">
        <f t="shared" si="606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521"/>
        <v>4830.0000000000009</v>
      </c>
      <c r="L230">
        <f t="shared" si="522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499"/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605"/>
        <v>200</v>
      </c>
      <c r="S230">
        <f t="shared" si="515"/>
        <v>40770</v>
      </c>
      <c r="T230">
        <f>_xlfn.XLOOKUP(B230,'[2]april-2025'!$A:$A,'[2]april-2025'!$C:$C,0,0)</f>
        <v>34500</v>
      </c>
      <c r="U230">
        <f t="shared" si="523"/>
        <v>6210</v>
      </c>
      <c r="V230">
        <f t="shared" si="524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516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525"/>
        <v>200</v>
      </c>
      <c r="AC230">
        <f t="shared" si="526"/>
        <v>42150</v>
      </c>
      <c r="AD230">
        <f>_xlfn.XLOOKUP(B230,'[3]may-2025'!$A:$A,'[3]may-2025'!$C:$C,0,0)</f>
        <v>34500</v>
      </c>
      <c r="AE230">
        <f t="shared" si="527"/>
        <v>6210</v>
      </c>
      <c r="AF230">
        <f t="shared" si="528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517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529"/>
        <v>200</v>
      </c>
      <c r="AM230">
        <f t="shared" si="530"/>
        <v>42150</v>
      </c>
      <c r="AN230">
        <f>_xlfn.XLOOKUP(B230,'[4]june-2025'!$A:$A,'[4]june-2025'!$C:$C,0,0)</f>
        <v>34500</v>
      </c>
      <c r="AO230">
        <f t="shared" si="531"/>
        <v>6210</v>
      </c>
      <c r="AP230">
        <f t="shared" si="532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518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533"/>
        <v>200</v>
      </c>
      <c r="AW230">
        <f t="shared" si="534"/>
        <v>42150</v>
      </c>
      <c r="AX230">
        <f>_xlfn.XLOOKUP(B230,'[5]july-2025'!$A:$A,'[5]july-2025'!$C:$C,0,0)</f>
        <v>35500</v>
      </c>
      <c r="AY230">
        <f t="shared" si="535"/>
        <v>6390</v>
      </c>
      <c r="AZ230">
        <v>0</v>
      </c>
      <c r="BA230">
        <f t="shared" si="536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500"/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537"/>
        <v>200</v>
      </c>
      <c r="BH230">
        <f t="shared" si="538"/>
        <v>43450</v>
      </c>
      <c r="BI230">
        <f>_xlfn.XLOOKUP(B230,'[6]august-2025'!$A:$A,'[6]august-2025'!$C:$C,0,0)</f>
        <v>35500</v>
      </c>
      <c r="BJ230">
        <f t="shared" si="539"/>
        <v>6390</v>
      </c>
      <c r="BK230">
        <f t="shared" si="540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541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 t="shared" si="501"/>
        <v>200</v>
      </c>
      <c r="BR230">
        <f t="shared" si="502"/>
        <v>43450</v>
      </c>
      <c r="BS230">
        <f>_xlfn.XLOOKUP(B230,'[7]september-2025'!$A:$A,'[7]september-2025'!$C:$C,0,0)</f>
        <v>35500</v>
      </c>
      <c r="BT230">
        <f t="shared" si="542"/>
        <v>6390</v>
      </c>
      <c r="BU230">
        <f t="shared" si="543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503"/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544"/>
        <v>200</v>
      </c>
      <c r="CB230">
        <f t="shared" si="545"/>
        <v>43450</v>
      </c>
      <c r="CC230">
        <f>_xlfn.XLOOKUP(B230,'[8]october-2025'!$A:$A,'[8]october-2025'!$C:$C,0,0)</f>
        <v>35500</v>
      </c>
      <c r="CD230">
        <f t="shared" si="546"/>
        <v>6390</v>
      </c>
      <c r="CE230">
        <f t="shared" si="547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504"/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548"/>
        <v>200</v>
      </c>
      <c r="CL230">
        <f t="shared" si="549"/>
        <v>43450</v>
      </c>
      <c r="CM230">
        <f>_xlfn.XLOOKUP(B230,'[9]november-2025'!$A:$A,'[9]november-2025'!$C:$C,0,0)</f>
        <v>35500</v>
      </c>
      <c r="CN230">
        <f t="shared" si="550"/>
        <v>6390</v>
      </c>
      <c r="CO230">
        <f t="shared" si="551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505"/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552"/>
        <v>200</v>
      </c>
      <c r="CV230">
        <f t="shared" si="553"/>
        <v>43450</v>
      </c>
      <c r="CW230">
        <f>_xlfn.XLOOKUP(B230,'[10]december-2025'!$A:$A,'[10]december-2025'!$C:$C,0,0)</f>
        <v>35500</v>
      </c>
      <c r="CX230">
        <f t="shared" si="554"/>
        <v>6390</v>
      </c>
      <c r="CY230">
        <f t="shared" si="555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506"/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556"/>
        <v>200</v>
      </c>
      <c r="DF230">
        <f t="shared" si="557"/>
        <v>43450</v>
      </c>
      <c r="DG230">
        <f>_xlfn.XLOOKUP(B230,'[11]january-2026'!$A:$A,'[11]january-2026'!$C:$C,0,0)</f>
        <v>35500</v>
      </c>
      <c r="DH230">
        <f t="shared" si="558"/>
        <v>6390</v>
      </c>
      <c r="DI230">
        <f t="shared" si="559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07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60"/>
        <v>200</v>
      </c>
      <c r="DP230">
        <f t="shared" si="561"/>
        <v>43450</v>
      </c>
      <c r="DQ230">
        <f>_xlfn.XLOOKUP(B230,'[12]february-2026'!$A:$A,'[12]february-2026'!$C:$C,0,0)</f>
        <v>35500</v>
      </c>
      <c r="DR230">
        <f t="shared" si="562"/>
        <v>6390</v>
      </c>
      <c r="DS230">
        <f t="shared" si="563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08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64"/>
        <v>200</v>
      </c>
      <c r="DZ230">
        <f t="shared" si="565"/>
        <v>43450</v>
      </c>
      <c r="EA230">
        <f>_xlfn.XLOOKUP(B230,'[1]march-2025'!$A:$A,'[1]march-2025'!$J:$J,0,0)</f>
        <v>0</v>
      </c>
      <c r="EB230">
        <f>_xlfn.XLOOKUP(B230,'[2]april-2025'!$A:$A,'[2]april-2025'!$J:$J,0,0)</f>
        <v>0</v>
      </c>
      <c r="EC230">
        <f>_xlfn.XLOOKUP(B230,'[3]may-2025'!$A:$A,'[3]may-2025'!$J:$J,0,0)</f>
        <v>0</v>
      </c>
      <c r="ED230">
        <f>_xlfn.XLOOKUP(B230,'[4]june-2025'!$A:$A,'[4]june-2025'!$J:$J,0,0)</f>
        <v>0</v>
      </c>
      <c r="EE230">
        <f>_xlfn.XLOOKUP(B230,'[5]july-2025'!$A:$A,'[5]july-2025'!$J:$J,0,0)</f>
        <v>0</v>
      </c>
      <c r="EF230">
        <f>_xlfn.XLOOKUP(B230,'[6]august-2025'!$A:$A,'[6]august-2025'!$J:$J,0,0)</f>
        <v>0</v>
      </c>
      <c r="EG230">
        <f>_xlfn.XLOOKUP(B230,'[7]september-2025'!$A:$A,'[7]september-2025'!$J:$J,0,0)</f>
        <v>0</v>
      </c>
      <c r="EH230">
        <f>_xlfn.XLOOKUP(B230,'[8]october-2025'!$A:$A,'[8]october-2025'!$J:$J,0,0)</f>
        <v>0</v>
      </c>
      <c r="EI230">
        <f>_xlfn.XLOOKUP(C230,'[9]november-2025'!$A:$A,'[9]november-2025'!$J:$J,0,0)</f>
        <v>0</v>
      </c>
      <c r="EJ230">
        <f>_xlfn.XLOOKUP(B230,'[10]december-2025'!$A:$A,'[10]december-2025'!$J:$J,0,0)</f>
        <v>0</v>
      </c>
      <c r="EK230">
        <f>_xlfn.XLOOKUP(B230,'[11]january-2026'!$A:$A,'[11]january-2026'!$J:$J,0,0)</f>
        <v>0</v>
      </c>
      <c r="EL230">
        <f>_xlfn.XLOOKUP(B230,'[12]february-2026'!$A:$A,'[12]february-2026'!$J:$J,0,0)</f>
        <v>0</v>
      </c>
      <c r="EM230">
        <f t="shared" si="519"/>
        <v>0</v>
      </c>
      <c r="EN230">
        <f t="shared" si="509"/>
        <v>560020</v>
      </c>
      <c r="EO230">
        <f t="shared" si="510"/>
        <v>2400</v>
      </c>
      <c r="EP230">
        <f t="shared" si="566"/>
        <v>50000</v>
      </c>
      <c r="EQ230">
        <v>0</v>
      </c>
      <c r="ER230">
        <f t="shared" si="520"/>
        <v>507620</v>
      </c>
      <c r="ES230">
        <f t="shared" si="511"/>
        <v>36000</v>
      </c>
      <c r="ET230">
        <f t="shared" si="512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567"/>
        <v>36000</v>
      </c>
      <c r="FF230">
        <f t="shared" si="568"/>
        <v>36000</v>
      </c>
      <c r="FG230">
        <f t="shared" si="569"/>
        <v>471620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513"/>
        <v>0</v>
      </c>
      <c r="FP230">
        <f t="shared" si="570"/>
        <v>471620</v>
      </c>
      <c r="FQ230">
        <f t="shared" si="571"/>
        <v>11081</v>
      </c>
      <c r="FR230">
        <f t="shared" si="572"/>
        <v>0</v>
      </c>
      <c r="FS230">
        <f t="shared" si="573"/>
        <v>11081</v>
      </c>
      <c r="FT230">
        <f t="shared" si="574"/>
        <v>0</v>
      </c>
      <c r="FU230">
        <f t="shared" si="575"/>
        <v>0</v>
      </c>
      <c r="FV230">
        <f t="shared" si="576"/>
        <v>0</v>
      </c>
      <c r="FW230">
        <v>0</v>
      </c>
      <c r="FX230">
        <f t="shared" si="577"/>
        <v>0</v>
      </c>
      <c r="FY230" t="b">
        <f t="shared" si="578"/>
        <v>1</v>
      </c>
      <c r="FZ230">
        <f t="shared" ca="1" si="579"/>
        <v>529</v>
      </c>
      <c r="GA230">
        <f t="shared" ca="1" si="580"/>
        <v>560549</v>
      </c>
      <c r="GB230">
        <f t="shared" si="581"/>
        <v>75000</v>
      </c>
      <c r="GC230">
        <f t="shared" ca="1" si="582"/>
        <v>485549</v>
      </c>
      <c r="GD230">
        <f t="shared" ca="1" si="583"/>
        <v>0</v>
      </c>
      <c r="GE230">
        <f t="shared" ca="1" si="584"/>
        <v>0</v>
      </c>
      <c r="GF230">
        <f t="shared" ca="1" si="585"/>
        <v>0</v>
      </c>
      <c r="GG230">
        <f t="shared" ca="1" si="586"/>
        <v>0</v>
      </c>
      <c r="GH230">
        <f t="shared" ca="1" si="587"/>
        <v>0</v>
      </c>
      <c r="GI230">
        <f t="shared" ca="1" si="588"/>
        <v>0</v>
      </c>
      <c r="GJ230">
        <f t="shared" ca="1" si="514"/>
        <v>0</v>
      </c>
      <c r="GK230">
        <f t="shared" ca="1" si="589"/>
        <v>0</v>
      </c>
      <c r="GL230">
        <f t="shared" ca="1" si="590"/>
        <v>0</v>
      </c>
      <c r="GM230">
        <f t="shared" ca="1" si="591"/>
        <v>0</v>
      </c>
      <c r="GN230">
        <f t="shared" ca="1" si="592"/>
        <v>85549</v>
      </c>
      <c r="GO230">
        <f t="shared" ca="1" si="593"/>
        <v>4277.45</v>
      </c>
      <c r="GP230">
        <f t="shared" ca="1" si="594"/>
        <v>4277</v>
      </c>
      <c r="GQ230">
        <f t="shared" ca="1" si="595"/>
        <v>0</v>
      </c>
      <c r="GR230">
        <f t="shared" ca="1" si="596"/>
        <v>0</v>
      </c>
      <c r="GS230">
        <f t="shared" ca="1" si="597"/>
        <v>4277</v>
      </c>
      <c r="GT230">
        <f t="shared" ca="1" si="598"/>
        <v>0</v>
      </c>
      <c r="GU230" t="b">
        <f t="shared" ca="1" si="599"/>
        <v>0</v>
      </c>
      <c r="GV230">
        <f t="shared" ca="1" si="600"/>
        <v>0</v>
      </c>
      <c r="GW230">
        <f t="shared" ca="1" si="601"/>
        <v>4277</v>
      </c>
      <c r="GX230">
        <f t="shared" ca="1" si="602"/>
        <v>0</v>
      </c>
      <c r="GY230">
        <f t="shared" ca="1" si="603"/>
        <v>0</v>
      </c>
      <c r="GZ230">
        <f t="shared" ca="1" si="604"/>
        <v>0</v>
      </c>
    </row>
    <row r="231" spans="1:208" x14ac:dyDescent="0.3">
      <c r="A231">
        <f>_xlfn.AGGREGATE(3,5,$B$2:B231)</f>
        <v>230</v>
      </c>
      <c r="B231" t="s">
        <v>565</v>
      </c>
      <c r="C231" t="s">
        <v>566</v>
      </c>
      <c r="D231" t="s">
        <v>808</v>
      </c>
      <c r="E231" t="s">
        <v>832</v>
      </c>
      <c r="F231" t="s">
        <v>956</v>
      </c>
      <c r="G231" t="s">
        <v>892</v>
      </c>
      <c r="H231">
        <f t="shared" ref="H231:H262" si="607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521"/>
        <v>4690</v>
      </c>
      <c r="L231">
        <f t="shared" si="522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 t="shared" si="499"/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605"/>
        <v>200</v>
      </c>
      <c r="S231">
        <f t="shared" si="515"/>
        <v>40410</v>
      </c>
      <c r="T231">
        <f>_xlfn.XLOOKUP(B231,'[2]april-2025'!$A:$A,'[2]april-2025'!$C:$C,0,0)</f>
        <v>33500</v>
      </c>
      <c r="U231">
        <f t="shared" si="523"/>
        <v>6030</v>
      </c>
      <c r="V231">
        <f t="shared" si="524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516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525"/>
        <v>200</v>
      </c>
      <c r="AC231">
        <f t="shared" si="526"/>
        <v>41750</v>
      </c>
      <c r="AD231">
        <f>_xlfn.XLOOKUP(B231,'[3]may-2025'!$A:$A,'[3]may-2025'!$C:$C,0,0)</f>
        <v>33500</v>
      </c>
      <c r="AE231">
        <f t="shared" si="527"/>
        <v>6030</v>
      </c>
      <c r="AF231">
        <f t="shared" si="528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517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529"/>
        <v>200</v>
      </c>
      <c r="AM231">
        <f t="shared" si="530"/>
        <v>41750</v>
      </c>
      <c r="AN231">
        <f>_xlfn.XLOOKUP(B231,'[4]june-2025'!$A:$A,'[4]june-2025'!$C:$C,0,0)</f>
        <v>33500</v>
      </c>
      <c r="AO231">
        <f t="shared" si="531"/>
        <v>6030</v>
      </c>
      <c r="AP231">
        <f t="shared" si="532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518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533"/>
        <v>200</v>
      </c>
      <c r="AW231">
        <f t="shared" si="534"/>
        <v>41750</v>
      </c>
      <c r="AX231">
        <f>_xlfn.XLOOKUP(B231,'[5]july-2025'!$A:$A,'[5]july-2025'!$C:$C,0,0)</f>
        <v>35500</v>
      </c>
      <c r="AY231">
        <f t="shared" si="535"/>
        <v>6390</v>
      </c>
      <c r="AZ231">
        <v>0</v>
      </c>
      <c r="BA231">
        <f t="shared" si="536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 t="shared" si="500"/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537"/>
        <v>200</v>
      </c>
      <c r="BH231">
        <f t="shared" si="538"/>
        <v>44350</v>
      </c>
      <c r="BI231">
        <f>_xlfn.XLOOKUP(B231,'[6]august-2025'!$A:$A,'[6]august-2025'!$C:$C,0,0)</f>
        <v>35500</v>
      </c>
      <c r="BJ231">
        <f t="shared" si="539"/>
        <v>6390</v>
      </c>
      <c r="BK231">
        <f t="shared" si="540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541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501"/>
        <v>200</v>
      </c>
      <c r="BR231">
        <f t="shared" si="502"/>
        <v>44350</v>
      </c>
      <c r="BS231">
        <f>_xlfn.XLOOKUP(B231,'[7]september-2025'!$A:$A,'[7]september-2025'!$C:$C,0,0)</f>
        <v>35500</v>
      </c>
      <c r="BT231">
        <f t="shared" si="542"/>
        <v>6390</v>
      </c>
      <c r="BU231">
        <f t="shared" si="543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 t="shared" si="503"/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544"/>
        <v>200</v>
      </c>
      <c r="CB231">
        <f t="shared" si="545"/>
        <v>44350</v>
      </c>
      <c r="CC231">
        <f>_xlfn.XLOOKUP(B231,'[8]october-2025'!$A:$A,'[8]october-2025'!$C:$C,0,0)</f>
        <v>35500</v>
      </c>
      <c r="CD231">
        <f t="shared" si="546"/>
        <v>6390</v>
      </c>
      <c r="CE231">
        <f t="shared" si="547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 t="shared" si="504"/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548"/>
        <v>200</v>
      </c>
      <c r="CL231">
        <f t="shared" si="549"/>
        <v>44350</v>
      </c>
      <c r="CM231">
        <f>_xlfn.XLOOKUP(B231,'[9]november-2025'!$A:$A,'[9]november-2025'!$C:$C,0,0)</f>
        <v>35500</v>
      </c>
      <c r="CN231">
        <f t="shared" si="550"/>
        <v>6390</v>
      </c>
      <c r="CO231">
        <f t="shared" si="551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 t="shared" si="505"/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552"/>
        <v>200</v>
      </c>
      <c r="CV231">
        <f t="shared" si="553"/>
        <v>44350</v>
      </c>
      <c r="CW231">
        <f>_xlfn.XLOOKUP(B231,'[10]december-2025'!$A:$A,'[10]december-2025'!$C:$C,0,0)</f>
        <v>35500</v>
      </c>
      <c r="CX231">
        <f t="shared" si="554"/>
        <v>6390</v>
      </c>
      <c r="CY231">
        <f t="shared" si="555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 t="shared" si="506"/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556"/>
        <v>200</v>
      </c>
      <c r="DF231">
        <f t="shared" si="557"/>
        <v>44350</v>
      </c>
      <c r="DG231">
        <f>_xlfn.XLOOKUP(B231,'[11]january-2026'!$A:$A,'[11]january-2026'!$C:$C,0,0)</f>
        <v>35500</v>
      </c>
      <c r="DH231">
        <f t="shared" si="558"/>
        <v>6390</v>
      </c>
      <c r="DI231">
        <f t="shared" si="559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07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60"/>
        <v>200</v>
      </c>
      <c r="DP231">
        <f t="shared" si="561"/>
        <v>44350</v>
      </c>
      <c r="DQ231">
        <f>_xlfn.XLOOKUP(B231,'[12]february-2026'!$A:$A,'[12]february-2026'!$C:$C,0,0)</f>
        <v>35500</v>
      </c>
      <c r="DR231">
        <f t="shared" si="562"/>
        <v>6390</v>
      </c>
      <c r="DS231">
        <f t="shared" si="563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08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64"/>
        <v>200</v>
      </c>
      <c r="DZ231">
        <f t="shared" si="565"/>
        <v>44350</v>
      </c>
      <c r="EA231">
        <f>_xlfn.XLOOKUP(B231,'[1]march-2025'!$A:$A,'[1]march-2025'!$J:$J,0,0)</f>
        <v>0</v>
      </c>
      <c r="EB231">
        <f>_xlfn.XLOOKUP(B231,'[2]april-2025'!$A:$A,'[2]april-2025'!$J:$J,0,0)</f>
        <v>0</v>
      </c>
      <c r="EC231">
        <f>_xlfn.XLOOKUP(B231,'[3]may-2025'!$A:$A,'[3]may-2025'!$J:$J,0,0)</f>
        <v>0</v>
      </c>
      <c r="ED231">
        <f>_xlfn.XLOOKUP(B231,'[4]june-2025'!$A:$A,'[4]june-2025'!$J:$J,0,0)</f>
        <v>0</v>
      </c>
      <c r="EE231">
        <f>_xlfn.XLOOKUP(B231,'[5]july-2025'!$A:$A,'[5]july-2025'!$J:$J,0,0)</f>
        <v>0</v>
      </c>
      <c r="EF231">
        <f>_xlfn.XLOOKUP(B231,'[6]august-2025'!$A:$A,'[6]august-2025'!$J:$J,0,0)</f>
        <v>0</v>
      </c>
      <c r="EG231">
        <f>_xlfn.XLOOKUP(B231,'[7]september-2025'!$A:$A,'[7]september-2025'!$J:$J,0,0)</f>
        <v>0</v>
      </c>
      <c r="EH231">
        <f>_xlfn.XLOOKUP(B231,'[8]october-2025'!$A:$A,'[8]october-2025'!$J:$J,0,0)</f>
        <v>0</v>
      </c>
      <c r="EI231">
        <f>_xlfn.XLOOKUP(C231,'[9]november-2025'!$A:$A,'[9]november-2025'!$J:$J,0,0)</f>
        <v>0</v>
      </c>
      <c r="EJ231">
        <f>_xlfn.XLOOKUP(B231,'[10]december-2025'!$A:$A,'[10]december-2025'!$J:$J,0,0)</f>
        <v>0</v>
      </c>
      <c r="EK231">
        <f>_xlfn.XLOOKUP(B231,'[11]january-2026'!$A:$A,'[11]january-2026'!$J:$J,0,0)</f>
        <v>0</v>
      </c>
      <c r="EL231">
        <f>_xlfn.XLOOKUP(B231,'[12]february-2026'!$A:$A,'[12]february-2026'!$J:$J,0,0)</f>
        <v>0</v>
      </c>
      <c r="EM231">
        <f t="shared" si="519"/>
        <v>0</v>
      </c>
      <c r="EN231">
        <f t="shared" si="509"/>
        <v>559660</v>
      </c>
      <c r="EO231">
        <f t="shared" si="510"/>
        <v>2400</v>
      </c>
      <c r="EP231">
        <f t="shared" si="566"/>
        <v>50000</v>
      </c>
      <c r="EQ231">
        <v>0</v>
      </c>
      <c r="ER231">
        <f t="shared" si="520"/>
        <v>507260</v>
      </c>
      <c r="ES231">
        <f t="shared" si="511"/>
        <v>30000</v>
      </c>
      <c r="ET231">
        <f t="shared" si="512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567"/>
        <v>30000</v>
      </c>
      <c r="FF231">
        <f t="shared" si="568"/>
        <v>30000</v>
      </c>
      <c r="FG231">
        <f t="shared" si="569"/>
        <v>477260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513"/>
        <v>0</v>
      </c>
      <c r="FP231">
        <f t="shared" si="570"/>
        <v>477260</v>
      </c>
      <c r="FQ231">
        <f t="shared" si="571"/>
        <v>11363</v>
      </c>
      <c r="FR231">
        <f t="shared" si="572"/>
        <v>0</v>
      </c>
      <c r="FS231">
        <f t="shared" si="573"/>
        <v>11363</v>
      </c>
      <c r="FT231">
        <f t="shared" si="574"/>
        <v>0</v>
      </c>
      <c r="FU231">
        <f t="shared" si="575"/>
        <v>0</v>
      </c>
      <c r="FV231">
        <f t="shared" si="576"/>
        <v>0</v>
      </c>
      <c r="FW231">
        <v>0</v>
      </c>
      <c r="FX231">
        <f t="shared" si="577"/>
        <v>0</v>
      </c>
      <c r="FY231" t="b">
        <f t="shared" si="578"/>
        <v>1</v>
      </c>
      <c r="FZ231">
        <f t="shared" ca="1" si="579"/>
        <v>958</v>
      </c>
      <c r="GA231">
        <f t="shared" ca="1" si="580"/>
        <v>560618</v>
      </c>
      <c r="GB231">
        <f t="shared" si="581"/>
        <v>75000</v>
      </c>
      <c r="GC231">
        <f t="shared" ca="1" si="582"/>
        <v>485618</v>
      </c>
      <c r="GD231">
        <f t="shared" ca="1" si="583"/>
        <v>0</v>
      </c>
      <c r="GE231">
        <f t="shared" ca="1" si="584"/>
        <v>0</v>
      </c>
      <c r="GF231">
        <f t="shared" ca="1" si="585"/>
        <v>0</v>
      </c>
      <c r="GG231">
        <f t="shared" ca="1" si="586"/>
        <v>0</v>
      </c>
      <c r="GH231">
        <f t="shared" ca="1" si="587"/>
        <v>0</v>
      </c>
      <c r="GI231">
        <f t="shared" ca="1" si="588"/>
        <v>0</v>
      </c>
      <c r="GJ231">
        <f t="shared" ca="1" si="514"/>
        <v>0</v>
      </c>
      <c r="GK231">
        <f t="shared" ca="1" si="589"/>
        <v>0</v>
      </c>
      <c r="GL231">
        <f t="shared" ca="1" si="590"/>
        <v>0</v>
      </c>
      <c r="GM231">
        <f t="shared" ca="1" si="591"/>
        <v>0</v>
      </c>
      <c r="GN231">
        <f t="shared" ca="1" si="592"/>
        <v>85618</v>
      </c>
      <c r="GO231">
        <f t="shared" ca="1" si="593"/>
        <v>4280.9000000000005</v>
      </c>
      <c r="GP231">
        <f t="shared" ca="1" si="594"/>
        <v>4281</v>
      </c>
      <c r="GQ231">
        <f t="shared" ca="1" si="595"/>
        <v>0</v>
      </c>
      <c r="GR231">
        <f t="shared" ca="1" si="596"/>
        <v>0</v>
      </c>
      <c r="GS231">
        <f t="shared" ca="1" si="597"/>
        <v>4281</v>
      </c>
      <c r="GT231">
        <f t="shared" ca="1" si="598"/>
        <v>0</v>
      </c>
      <c r="GU231" t="b">
        <f t="shared" ca="1" si="599"/>
        <v>0</v>
      </c>
      <c r="GV231">
        <f t="shared" ca="1" si="600"/>
        <v>0</v>
      </c>
      <c r="GW231">
        <f t="shared" ca="1" si="601"/>
        <v>4281</v>
      </c>
      <c r="GX231">
        <f t="shared" ca="1" si="602"/>
        <v>0</v>
      </c>
      <c r="GY231">
        <f t="shared" ca="1" si="603"/>
        <v>0</v>
      </c>
      <c r="GZ231">
        <f t="shared" ca="1" si="604"/>
        <v>0</v>
      </c>
    </row>
    <row r="232" spans="1:208" x14ac:dyDescent="0.3">
      <c r="A232">
        <f>_xlfn.AGGREGATE(3,5,$B$2:B232)</f>
        <v>231</v>
      </c>
      <c r="B232" t="s">
        <v>567</v>
      </c>
      <c r="C232" t="s">
        <v>568</v>
      </c>
      <c r="D232" t="s">
        <v>808</v>
      </c>
      <c r="E232" t="s">
        <v>830</v>
      </c>
      <c r="F232" t="s">
        <v>956</v>
      </c>
      <c r="G232" t="s">
        <v>923</v>
      </c>
      <c r="H232">
        <f t="shared" si="607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521"/>
        <v>4690</v>
      </c>
      <c r="L232">
        <f t="shared" si="522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499"/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605"/>
        <v>200</v>
      </c>
      <c r="S232">
        <f t="shared" si="515"/>
        <v>40010</v>
      </c>
      <c r="T232">
        <f>_xlfn.XLOOKUP(B232,'[2]april-2025'!$A:$A,'[2]april-2025'!$C:$C,0,0)</f>
        <v>33500</v>
      </c>
      <c r="U232">
        <f t="shared" si="523"/>
        <v>6030</v>
      </c>
      <c r="V232">
        <f t="shared" si="524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516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525"/>
        <v>200</v>
      </c>
      <c r="AC232">
        <f t="shared" si="526"/>
        <v>41350</v>
      </c>
      <c r="AD232">
        <f>_xlfn.XLOOKUP(B232,'[3]may-2025'!$A:$A,'[3]may-2025'!$C:$C,0,0)</f>
        <v>33500</v>
      </c>
      <c r="AE232">
        <f t="shared" si="527"/>
        <v>6030</v>
      </c>
      <c r="AF232">
        <f t="shared" si="528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517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529"/>
        <v>200</v>
      </c>
      <c r="AM232">
        <f t="shared" si="530"/>
        <v>41350</v>
      </c>
      <c r="AN232">
        <f>_xlfn.XLOOKUP(B232,'[4]june-2025'!$A:$A,'[4]june-2025'!$C:$C,0,0)</f>
        <v>33500</v>
      </c>
      <c r="AO232">
        <f t="shared" si="531"/>
        <v>6030</v>
      </c>
      <c r="AP232">
        <f t="shared" si="532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518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533"/>
        <v>200</v>
      </c>
      <c r="AW232">
        <f t="shared" si="534"/>
        <v>41350</v>
      </c>
      <c r="AX232">
        <f>_xlfn.XLOOKUP(B232,'[5]july-2025'!$A:$A,'[5]july-2025'!$C:$C,0,0)</f>
        <v>34500</v>
      </c>
      <c r="AY232">
        <f t="shared" si="535"/>
        <v>6210</v>
      </c>
      <c r="AZ232">
        <v>0</v>
      </c>
      <c r="BA232">
        <f t="shared" si="536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500"/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537"/>
        <v>200</v>
      </c>
      <c r="BH232">
        <f t="shared" si="538"/>
        <v>42650</v>
      </c>
      <c r="BI232">
        <f>_xlfn.XLOOKUP(B232,'[6]august-2025'!$A:$A,'[6]august-2025'!$C:$C,0,0)</f>
        <v>34500</v>
      </c>
      <c r="BJ232">
        <f t="shared" si="539"/>
        <v>6210</v>
      </c>
      <c r="BK232">
        <f t="shared" si="540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541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 t="shared" si="501"/>
        <v>200</v>
      </c>
      <c r="BR232">
        <f t="shared" si="502"/>
        <v>42650</v>
      </c>
      <c r="BS232">
        <f>_xlfn.XLOOKUP(B232,'[7]september-2025'!$A:$A,'[7]september-2025'!$C:$C,0,0)</f>
        <v>34500</v>
      </c>
      <c r="BT232">
        <f t="shared" si="542"/>
        <v>6210</v>
      </c>
      <c r="BU232">
        <f t="shared" si="543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503"/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544"/>
        <v>200</v>
      </c>
      <c r="CB232">
        <f t="shared" si="545"/>
        <v>42650</v>
      </c>
      <c r="CC232">
        <f>_xlfn.XLOOKUP(B232,'[8]october-2025'!$A:$A,'[8]october-2025'!$C:$C,0,0)</f>
        <v>34500</v>
      </c>
      <c r="CD232">
        <f t="shared" si="546"/>
        <v>6210</v>
      </c>
      <c r="CE232">
        <f t="shared" si="547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504"/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548"/>
        <v>200</v>
      </c>
      <c r="CL232">
        <f t="shared" si="549"/>
        <v>42650</v>
      </c>
      <c r="CM232">
        <f>_xlfn.XLOOKUP(B232,'[9]november-2025'!$A:$A,'[9]november-2025'!$C:$C,0,0)</f>
        <v>34500</v>
      </c>
      <c r="CN232">
        <f t="shared" si="550"/>
        <v>6210</v>
      </c>
      <c r="CO232">
        <f t="shared" si="551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505"/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552"/>
        <v>200</v>
      </c>
      <c r="CV232">
        <f t="shared" si="553"/>
        <v>42650</v>
      </c>
      <c r="CW232">
        <f>_xlfn.XLOOKUP(B232,'[10]december-2025'!$A:$A,'[10]december-2025'!$C:$C,0,0)</f>
        <v>34500</v>
      </c>
      <c r="CX232">
        <f t="shared" si="554"/>
        <v>6210</v>
      </c>
      <c r="CY232">
        <f t="shared" si="555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506"/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556"/>
        <v>200</v>
      </c>
      <c r="DF232">
        <f t="shared" si="557"/>
        <v>42650</v>
      </c>
      <c r="DG232">
        <f>_xlfn.XLOOKUP(B232,'[11]january-2026'!$A:$A,'[11]january-2026'!$C:$C,0,0)</f>
        <v>34500</v>
      </c>
      <c r="DH232">
        <f t="shared" si="558"/>
        <v>6210</v>
      </c>
      <c r="DI232">
        <f t="shared" si="559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07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60"/>
        <v>200</v>
      </c>
      <c r="DP232">
        <f t="shared" si="561"/>
        <v>42650</v>
      </c>
      <c r="DQ232">
        <f>_xlfn.XLOOKUP(B232,'[12]february-2026'!$A:$A,'[12]february-2026'!$C:$C,0,0)</f>
        <v>34500</v>
      </c>
      <c r="DR232">
        <f t="shared" si="562"/>
        <v>6210</v>
      </c>
      <c r="DS232">
        <f t="shared" si="563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08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64"/>
        <v>200</v>
      </c>
      <c r="DZ232">
        <f t="shared" si="565"/>
        <v>42650</v>
      </c>
      <c r="EA232">
        <f>_xlfn.XLOOKUP(B232,'[1]march-2025'!$A:$A,'[1]march-2025'!$J:$J,0,0)</f>
        <v>0</v>
      </c>
      <c r="EB232">
        <f>_xlfn.XLOOKUP(B232,'[2]april-2025'!$A:$A,'[2]april-2025'!$J:$J,0,0)</f>
        <v>0</v>
      </c>
      <c r="EC232">
        <f>_xlfn.XLOOKUP(B232,'[3]may-2025'!$A:$A,'[3]may-2025'!$J:$J,0,0)</f>
        <v>0</v>
      </c>
      <c r="ED232">
        <f>_xlfn.XLOOKUP(B232,'[4]june-2025'!$A:$A,'[4]june-2025'!$J:$J,0,0)</f>
        <v>0</v>
      </c>
      <c r="EE232">
        <f>_xlfn.XLOOKUP(B232,'[5]july-2025'!$A:$A,'[5]july-2025'!$J:$J,0,0)</f>
        <v>0</v>
      </c>
      <c r="EF232">
        <f>_xlfn.XLOOKUP(B232,'[6]august-2025'!$A:$A,'[6]august-2025'!$J:$J,0,0)</f>
        <v>0</v>
      </c>
      <c r="EG232">
        <f>_xlfn.XLOOKUP(B232,'[7]september-2025'!$A:$A,'[7]september-2025'!$J:$J,0,0)</f>
        <v>0</v>
      </c>
      <c r="EH232">
        <f>_xlfn.XLOOKUP(B232,'[8]october-2025'!$A:$A,'[8]october-2025'!$J:$J,0,0)</f>
        <v>0</v>
      </c>
      <c r="EI232">
        <f>_xlfn.XLOOKUP(C232,'[9]november-2025'!$A:$A,'[9]november-2025'!$J:$J,0,0)</f>
        <v>0</v>
      </c>
      <c r="EJ232">
        <f>_xlfn.XLOOKUP(B232,'[10]december-2025'!$A:$A,'[10]december-2025'!$J:$J,0,0)</f>
        <v>0</v>
      </c>
      <c r="EK232">
        <f>_xlfn.XLOOKUP(B232,'[11]january-2026'!$A:$A,'[11]january-2026'!$J:$J,0,0)</f>
        <v>0</v>
      </c>
      <c r="EL232">
        <f>_xlfn.XLOOKUP(B232,'[12]february-2026'!$A:$A,'[12]february-2026'!$J:$J,0,0)</f>
        <v>0</v>
      </c>
      <c r="EM232">
        <f t="shared" si="519"/>
        <v>0</v>
      </c>
      <c r="EN232">
        <f t="shared" si="509"/>
        <v>544460</v>
      </c>
      <c r="EO232">
        <f t="shared" si="510"/>
        <v>2400</v>
      </c>
      <c r="EP232">
        <f t="shared" si="566"/>
        <v>50000</v>
      </c>
      <c r="EQ232">
        <v>0</v>
      </c>
      <c r="ER232">
        <f t="shared" si="520"/>
        <v>492060</v>
      </c>
      <c r="ES232">
        <f t="shared" si="511"/>
        <v>30000</v>
      </c>
      <c r="ET232">
        <f t="shared" si="512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567"/>
        <v>30000</v>
      </c>
      <c r="FF232">
        <f t="shared" si="568"/>
        <v>30000</v>
      </c>
      <c r="FG232">
        <f t="shared" si="569"/>
        <v>462060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513"/>
        <v>0</v>
      </c>
      <c r="FP232">
        <f t="shared" si="570"/>
        <v>462060</v>
      </c>
      <c r="FQ232">
        <f t="shared" si="571"/>
        <v>10603</v>
      </c>
      <c r="FR232">
        <f t="shared" si="572"/>
        <v>0</v>
      </c>
      <c r="FS232">
        <f t="shared" si="573"/>
        <v>10603</v>
      </c>
      <c r="FT232">
        <f t="shared" si="574"/>
        <v>0</v>
      </c>
      <c r="FU232">
        <f t="shared" si="575"/>
        <v>0</v>
      </c>
      <c r="FV232">
        <f t="shared" si="576"/>
        <v>0</v>
      </c>
      <c r="FW232">
        <v>0</v>
      </c>
      <c r="FX232">
        <f t="shared" si="577"/>
        <v>0</v>
      </c>
      <c r="FY232" t="b">
        <f t="shared" si="578"/>
        <v>1</v>
      </c>
      <c r="FZ232">
        <f t="shared" ca="1" si="579"/>
        <v>712</v>
      </c>
      <c r="GA232">
        <f t="shared" ca="1" si="580"/>
        <v>545172</v>
      </c>
      <c r="GB232">
        <f t="shared" si="581"/>
        <v>75000</v>
      </c>
      <c r="GC232">
        <f t="shared" ca="1" si="582"/>
        <v>470172</v>
      </c>
      <c r="GD232">
        <f t="shared" ca="1" si="583"/>
        <v>0</v>
      </c>
      <c r="GE232">
        <f t="shared" ca="1" si="584"/>
        <v>0</v>
      </c>
      <c r="GF232">
        <f t="shared" ca="1" si="585"/>
        <v>0</v>
      </c>
      <c r="GG232">
        <f t="shared" ca="1" si="586"/>
        <v>0</v>
      </c>
      <c r="GH232">
        <f t="shared" ca="1" si="587"/>
        <v>0</v>
      </c>
      <c r="GI232">
        <f t="shared" ca="1" si="588"/>
        <v>0</v>
      </c>
      <c r="GJ232">
        <f t="shared" ca="1" si="514"/>
        <v>0</v>
      </c>
      <c r="GK232">
        <f t="shared" ca="1" si="589"/>
        <v>0</v>
      </c>
      <c r="GL232">
        <f t="shared" ca="1" si="590"/>
        <v>0</v>
      </c>
      <c r="GM232">
        <f t="shared" ca="1" si="591"/>
        <v>0</v>
      </c>
      <c r="GN232">
        <f t="shared" ca="1" si="592"/>
        <v>70172</v>
      </c>
      <c r="GO232">
        <f t="shared" ca="1" si="593"/>
        <v>3508.6000000000004</v>
      </c>
      <c r="GP232">
        <f t="shared" ca="1" si="594"/>
        <v>3509</v>
      </c>
      <c r="GQ232">
        <f t="shared" ca="1" si="595"/>
        <v>0</v>
      </c>
      <c r="GR232">
        <f t="shared" ca="1" si="596"/>
        <v>0</v>
      </c>
      <c r="GS232">
        <f t="shared" ca="1" si="597"/>
        <v>3509</v>
      </c>
      <c r="GT232">
        <f t="shared" ca="1" si="598"/>
        <v>0</v>
      </c>
      <c r="GU232" t="b">
        <f t="shared" ca="1" si="599"/>
        <v>0</v>
      </c>
      <c r="GV232">
        <f t="shared" ca="1" si="600"/>
        <v>0</v>
      </c>
      <c r="GW232">
        <f t="shared" ca="1" si="601"/>
        <v>3509</v>
      </c>
      <c r="GX232">
        <f t="shared" ca="1" si="602"/>
        <v>0</v>
      </c>
      <c r="GY232">
        <f t="shared" ca="1" si="603"/>
        <v>0</v>
      </c>
      <c r="GZ232">
        <f t="shared" ca="1" si="604"/>
        <v>0</v>
      </c>
    </row>
    <row r="233" spans="1:208" x14ac:dyDescent="0.3">
      <c r="A233">
        <f>_xlfn.AGGREGATE(3,5,$B$2:B233)</f>
        <v>232</v>
      </c>
      <c r="B233" t="s">
        <v>569</v>
      </c>
      <c r="C233" t="s">
        <v>570</v>
      </c>
      <c r="D233" t="s">
        <v>808</v>
      </c>
      <c r="E233" t="s">
        <v>830</v>
      </c>
      <c r="F233" t="s">
        <v>956</v>
      </c>
      <c r="G233" t="s">
        <v>880</v>
      </c>
      <c r="H233">
        <f t="shared" si="607"/>
        <v>6800</v>
      </c>
      <c r="I233">
        <f>_xlfn.XLOOKUP(B233,'[1]march-2025'!$A:$A,'[1]march-2025'!$J:$J,0,0)</f>
        <v>0</v>
      </c>
      <c r="J233">
        <f>_xlfn.XLOOKUP(B233,'[1]march-2025'!$A:$A,'[1]march-2025'!$C:$C,0,0)</f>
        <v>28900</v>
      </c>
      <c r="K233">
        <f t="shared" si="521"/>
        <v>4046.0000000000005</v>
      </c>
      <c r="L233">
        <f t="shared" si="522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499"/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605"/>
        <v>150</v>
      </c>
      <c r="S233">
        <f t="shared" si="515"/>
        <v>34764</v>
      </c>
      <c r="T233">
        <f>_xlfn.XLOOKUP(B233,'[2]april-2025'!$A:$A,'[2]april-2025'!$C:$C,0,0)</f>
        <v>28900</v>
      </c>
      <c r="U233">
        <f t="shared" si="523"/>
        <v>5202</v>
      </c>
      <c r="V233">
        <f t="shared" si="524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516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525"/>
        <v>150</v>
      </c>
      <c r="AC233">
        <f t="shared" si="526"/>
        <v>35920</v>
      </c>
      <c r="AD233">
        <f>_xlfn.XLOOKUP(B233,'[3]may-2025'!$A:$A,'[3]may-2025'!$C:$C,0,0)</f>
        <v>28900</v>
      </c>
      <c r="AE233">
        <f t="shared" si="527"/>
        <v>5202</v>
      </c>
      <c r="AF233">
        <f t="shared" si="528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517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529"/>
        <v>150</v>
      </c>
      <c r="AM233">
        <f t="shared" si="530"/>
        <v>35920</v>
      </c>
      <c r="AN233">
        <f>_xlfn.XLOOKUP(B233,'[4]june-2025'!$A:$A,'[4]june-2025'!$C:$C,0,0)</f>
        <v>28900</v>
      </c>
      <c r="AO233">
        <f t="shared" si="531"/>
        <v>5202</v>
      </c>
      <c r="AP233">
        <f t="shared" si="532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518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533"/>
        <v>150</v>
      </c>
      <c r="AW233">
        <f t="shared" si="534"/>
        <v>35920</v>
      </c>
      <c r="AX233">
        <f>_xlfn.XLOOKUP(B233,'[5]july-2025'!$A:$A,'[5]july-2025'!$C:$C,0,0)</f>
        <v>29800</v>
      </c>
      <c r="AY233">
        <f t="shared" si="535"/>
        <v>5364</v>
      </c>
      <c r="AZ233">
        <v>0</v>
      </c>
      <c r="BA233">
        <f t="shared" si="536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500"/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537"/>
        <v>150</v>
      </c>
      <c r="BH233">
        <f t="shared" si="538"/>
        <v>37090</v>
      </c>
      <c r="BI233">
        <f>_xlfn.XLOOKUP(B233,'[6]august-2025'!$A:$A,'[6]august-2025'!$C:$C,0,0)</f>
        <v>29800</v>
      </c>
      <c r="BJ233">
        <f t="shared" si="539"/>
        <v>5364</v>
      </c>
      <c r="BK233">
        <f t="shared" si="540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541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 t="shared" si="501"/>
        <v>150</v>
      </c>
      <c r="BR233">
        <f t="shared" si="502"/>
        <v>37090</v>
      </c>
      <c r="BS233">
        <f>_xlfn.XLOOKUP(B233,'[7]september-2025'!$A:$A,'[7]september-2025'!$C:$C,0,0)</f>
        <v>29800</v>
      </c>
      <c r="BT233">
        <f t="shared" si="542"/>
        <v>5364</v>
      </c>
      <c r="BU233">
        <f t="shared" si="543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503"/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544"/>
        <v>150</v>
      </c>
      <c r="CB233">
        <f t="shared" si="545"/>
        <v>37090</v>
      </c>
      <c r="CC233">
        <f>_xlfn.XLOOKUP(B233,'[8]october-2025'!$A:$A,'[8]october-2025'!$C:$C,0,0)</f>
        <v>29800</v>
      </c>
      <c r="CD233">
        <f t="shared" si="546"/>
        <v>5364</v>
      </c>
      <c r="CE233">
        <f t="shared" si="547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504"/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548"/>
        <v>150</v>
      </c>
      <c r="CL233">
        <f t="shared" si="549"/>
        <v>37090</v>
      </c>
      <c r="CM233">
        <f>_xlfn.XLOOKUP(B233,'[9]november-2025'!$A:$A,'[9]november-2025'!$C:$C,0,0)</f>
        <v>29800</v>
      </c>
      <c r="CN233">
        <f t="shared" si="550"/>
        <v>5364</v>
      </c>
      <c r="CO233">
        <f t="shared" si="551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505"/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552"/>
        <v>150</v>
      </c>
      <c r="CV233">
        <f t="shared" si="553"/>
        <v>37090</v>
      </c>
      <c r="CW233">
        <f>_xlfn.XLOOKUP(B233,'[10]december-2025'!$A:$A,'[10]december-2025'!$C:$C,0,0)</f>
        <v>29800</v>
      </c>
      <c r="CX233">
        <f t="shared" si="554"/>
        <v>5364</v>
      </c>
      <c r="CY233">
        <f t="shared" si="555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506"/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556"/>
        <v>150</v>
      </c>
      <c r="DF233">
        <f t="shared" si="557"/>
        <v>37090</v>
      </c>
      <c r="DG233">
        <f>_xlfn.XLOOKUP(B233,'[11]january-2026'!$A:$A,'[11]january-2026'!$C:$C,0,0)</f>
        <v>29800</v>
      </c>
      <c r="DH233">
        <f t="shared" si="558"/>
        <v>5364</v>
      </c>
      <c r="DI233">
        <f t="shared" si="559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07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60"/>
        <v>150</v>
      </c>
      <c r="DP233">
        <f t="shared" si="561"/>
        <v>37090</v>
      </c>
      <c r="DQ233">
        <f>_xlfn.XLOOKUP(B233,'[12]february-2026'!$A:$A,'[12]february-2026'!$C:$C,0,0)</f>
        <v>29800</v>
      </c>
      <c r="DR233">
        <f t="shared" si="562"/>
        <v>5364</v>
      </c>
      <c r="DS233">
        <f t="shared" si="563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08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64"/>
        <v>150</v>
      </c>
      <c r="DZ233">
        <f t="shared" si="565"/>
        <v>37090</v>
      </c>
      <c r="EA233">
        <f>_xlfn.XLOOKUP(B233,'[1]march-2025'!$A:$A,'[1]march-2025'!$J:$J,0,0)</f>
        <v>0</v>
      </c>
      <c r="EB233">
        <f>_xlfn.XLOOKUP(B233,'[2]april-2025'!$A:$A,'[2]april-2025'!$J:$J,0,0)</f>
        <v>0</v>
      </c>
      <c r="EC233">
        <f>_xlfn.XLOOKUP(B233,'[3]may-2025'!$A:$A,'[3]may-2025'!$J:$J,0,0)</f>
        <v>61490</v>
      </c>
      <c r="ED233">
        <f>_xlfn.XLOOKUP(B233,'[4]june-2025'!$A:$A,'[4]june-2025'!$J:$J,0,0)</f>
        <v>0</v>
      </c>
      <c r="EE233">
        <f>_xlfn.XLOOKUP(B233,'[5]july-2025'!$A:$A,'[5]july-2025'!$J:$J,0,0)</f>
        <v>0</v>
      </c>
      <c r="EF233">
        <f>_xlfn.XLOOKUP(B233,'[6]august-2025'!$A:$A,'[6]august-2025'!$J:$J,0,0)</f>
        <v>0</v>
      </c>
      <c r="EG233">
        <f>_xlfn.XLOOKUP(B233,'[7]september-2025'!$A:$A,'[7]september-2025'!$J:$J,0,0)</f>
        <v>0</v>
      </c>
      <c r="EH233">
        <f>_xlfn.XLOOKUP(B233,'[8]october-2025'!$A:$A,'[8]october-2025'!$J:$J,0,0)</f>
        <v>0</v>
      </c>
      <c r="EI233">
        <f>_xlfn.XLOOKUP(C233,'[9]november-2025'!$A:$A,'[9]november-2025'!$J:$J,0,0)</f>
        <v>0</v>
      </c>
      <c r="EJ233">
        <f>_xlfn.XLOOKUP(B233,'[10]december-2025'!$A:$A,'[10]december-2025'!$J:$J,0,0)</f>
        <v>0</v>
      </c>
      <c r="EK233">
        <f>_xlfn.XLOOKUP(B233,'[11]january-2026'!$A:$A,'[11]january-2026'!$J:$J,0,0)</f>
        <v>0</v>
      </c>
      <c r="EL233">
        <f>_xlfn.XLOOKUP(B233,'[12]february-2026'!$A:$A,'[12]february-2026'!$J:$J,0,0)</f>
        <v>0</v>
      </c>
      <c r="EM233">
        <f t="shared" si="519"/>
        <v>61490</v>
      </c>
      <c r="EN233">
        <f t="shared" si="509"/>
        <v>471844</v>
      </c>
      <c r="EO233">
        <f t="shared" si="510"/>
        <v>1800</v>
      </c>
      <c r="EP233">
        <f t="shared" si="566"/>
        <v>50000</v>
      </c>
      <c r="EQ233">
        <v>0</v>
      </c>
      <c r="ER233">
        <f t="shared" si="520"/>
        <v>481534</v>
      </c>
      <c r="ES233">
        <f t="shared" si="511"/>
        <v>24000</v>
      </c>
      <c r="ET233">
        <f t="shared" si="512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567"/>
        <v>24000</v>
      </c>
      <c r="FF233">
        <f t="shared" si="568"/>
        <v>24000</v>
      </c>
      <c r="FG233">
        <f t="shared" si="569"/>
        <v>457534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513"/>
        <v>0</v>
      </c>
      <c r="FP233">
        <f t="shared" si="570"/>
        <v>457534</v>
      </c>
      <c r="FQ233">
        <f t="shared" si="571"/>
        <v>10377</v>
      </c>
      <c r="FR233">
        <f t="shared" si="572"/>
        <v>0</v>
      </c>
      <c r="FS233">
        <f t="shared" si="573"/>
        <v>10377</v>
      </c>
      <c r="FT233">
        <f t="shared" si="574"/>
        <v>0</v>
      </c>
      <c r="FU233">
        <f t="shared" si="575"/>
        <v>0</v>
      </c>
      <c r="FV233">
        <f t="shared" si="576"/>
        <v>0</v>
      </c>
      <c r="FW233">
        <v>0</v>
      </c>
      <c r="FX233">
        <f t="shared" si="577"/>
        <v>0</v>
      </c>
      <c r="FY233" t="b">
        <f t="shared" si="578"/>
        <v>0</v>
      </c>
      <c r="FZ233">
        <f t="shared" ca="1" si="579"/>
        <v>1825</v>
      </c>
      <c r="GA233">
        <f t="shared" ca="1" si="580"/>
        <v>473669</v>
      </c>
      <c r="GB233">
        <f t="shared" si="581"/>
        <v>75000</v>
      </c>
      <c r="GC233">
        <f t="shared" ca="1" si="582"/>
        <v>398669</v>
      </c>
      <c r="GD233">
        <f t="shared" ca="1" si="583"/>
        <v>0</v>
      </c>
      <c r="GE233">
        <f t="shared" ca="1" si="584"/>
        <v>0</v>
      </c>
      <c r="GF233">
        <f t="shared" ca="1" si="585"/>
        <v>0</v>
      </c>
      <c r="GG233">
        <f t="shared" ca="1" si="586"/>
        <v>0</v>
      </c>
      <c r="GH233">
        <f t="shared" ca="1" si="587"/>
        <v>0</v>
      </c>
      <c r="GI233">
        <f t="shared" ca="1" si="588"/>
        <v>0</v>
      </c>
      <c r="GJ233">
        <f t="shared" ca="1" si="514"/>
        <v>0</v>
      </c>
      <c r="GK233">
        <f t="shared" ca="1" si="589"/>
        <v>0</v>
      </c>
      <c r="GL233">
        <f t="shared" ca="1" si="590"/>
        <v>0</v>
      </c>
      <c r="GM233">
        <f t="shared" ca="1" si="591"/>
        <v>0</v>
      </c>
      <c r="GN233">
        <f t="shared" ca="1" si="592"/>
        <v>0</v>
      </c>
      <c r="GO233">
        <f t="shared" ca="1" si="593"/>
        <v>0</v>
      </c>
      <c r="GP233">
        <f t="shared" ca="1" si="594"/>
        <v>0</v>
      </c>
      <c r="GQ233">
        <f t="shared" ca="1" si="595"/>
        <v>0</v>
      </c>
      <c r="GR233">
        <f t="shared" ca="1" si="596"/>
        <v>0</v>
      </c>
      <c r="GS233">
        <f t="shared" ca="1" si="597"/>
        <v>0</v>
      </c>
      <c r="GT233">
        <f t="shared" ca="1" si="598"/>
        <v>0</v>
      </c>
      <c r="GU233" t="b">
        <f t="shared" ca="1" si="599"/>
        <v>0</v>
      </c>
      <c r="GV233">
        <f t="shared" ca="1" si="600"/>
        <v>0</v>
      </c>
      <c r="GW233">
        <f t="shared" ca="1" si="601"/>
        <v>0</v>
      </c>
      <c r="GX233">
        <f t="shared" ca="1" si="602"/>
        <v>0</v>
      </c>
      <c r="GY233">
        <f t="shared" ca="1" si="603"/>
        <v>0</v>
      </c>
      <c r="GZ233">
        <f t="shared" ca="1" si="604"/>
        <v>0</v>
      </c>
    </row>
    <row r="234" spans="1:208" x14ac:dyDescent="0.3">
      <c r="A234">
        <f>_xlfn.AGGREGATE(3,5,$B$2:B234)</f>
        <v>233</v>
      </c>
      <c r="B234" t="s">
        <v>571</v>
      </c>
      <c r="C234" t="s">
        <v>572</v>
      </c>
      <c r="D234" t="s">
        <v>809</v>
      </c>
      <c r="E234" t="s">
        <v>830</v>
      </c>
      <c r="F234" t="s">
        <v>956</v>
      </c>
      <c r="G234" t="s">
        <v>875</v>
      </c>
      <c r="H234">
        <f t="shared" si="607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521"/>
        <v>6622.0000000000009</v>
      </c>
      <c r="L234">
        <f t="shared" si="522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 t="shared" si="499"/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605"/>
        <v>200</v>
      </c>
      <c r="S234">
        <f t="shared" si="515"/>
        <v>49338</v>
      </c>
      <c r="T234">
        <f>_xlfn.XLOOKUP(B234,'[2]april-2025'!$A:$A,'[2]april-2025'!$C:$C,0,0)</f>
        <v>47300</v>
      </c>
      <c r="U234">
        <f t="shared" si="523"/>
        <v>8514</v>
      </c>
      <c r="V234">
        <f t="shared" si="524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516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525"/>
        <v>200</v>
      </c>
      <c r="AC234">
        <f t="shared" si="526"/>
        <v>51230</v>
      </c>
      <c r="AD234">
        <f>_xlfn.XLOOKUP(B234,'[3]may-2025'!$A:$A,'[3]may-2025'!$C:$C,0,0)</f>
        <v>47300</v>
      </c>
      <c r="AE234">
        <f t="shared" si="527"/>
        <v>8514</v>
      </c>
      <c r="AF234">
        <f t="shared" si="528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517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529"/>
        <v>200</v>
      </c>
      <c r="AM234">
        <f t="shared" si="530"/>
        <v>51230</v>
      </c>
      <c r="AN234">
        <f>_xlfn.XLOOKUP(B234,'[4]june-2025'!$A:$A,'[4]june-2025'!$C:$C,0,0)</f>
        <v>47300</v>
      </c>
      <c r="AO234">
        <f t="shared" si="531"/>
        <v>8514</v>
      </c>
      <c r="AP234">
        <f t="shared" si="532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518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533"/>
        <v>200</v>
      </c>
      <c r="AW234">
        <f t="shared" si="534"/>
        <v>51230</v>
      </c>
      <c r="AX234">
        <f>_xlfn.XLOOKUP(B234,'[5]july-2025'!$A:$A,'[5]july-2025'!$C:$C,0,0)</f>
        <v>48700</v>
      </c>
      <c r="AY234">
        <f t="shared" si="535"/>
        <v>8766</v>
      </c>
      <c r="AZ234">
        <v>0</v>
      </c>
      <c r="BA234">
        <f t="shared" si="536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 t="shared" si="500"/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537"/>
        <v>200</v>
      </c>
      <c r="BH234">
        <f t="shared" si="538"/>
        <v>53050</v>
      </c>
      <c r="BI234">
        <f>_xlfn.XLOOKUP(B234,'[6]august-2025'!$A:$A,'[6]august-2025'!$C:$C,0,0)</f>
        <v>48700</v>
      </c>
      <c r="BJ234">
        <f t="shared" si="539"/>
        <v>8766</v>
      </c>
      <c r="BK234">
        <f t="shared" si="540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541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 t="shared" si="501"/>
        <v>200</v>
      </c>
      <c r="BR234">
        <f t="shared" si="502"/>
        <v>53050</v>
      </c>
      <c r="BS234">
        <f>_xlfn.XLOOKUP(B234,'[7]september-2025'!$A:$A,'[7]september-2025'!$C:$C,0,0)</f>
        <v>48700</v>
      </c>
      <c r="BT234">
        <f t="shared" si="542"/>
        <v>8766</v>
      </c>
      <c r="BU234">
        <f t="shared" si="543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 t="shared" si="503"/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544"/>
        <v>200</v>
      </c>
      <c r="CB234">
        <f t="shared" si="545"/>
        <v>53050</v>
      </c>
      <c r="CC234">
        <f>_xlfn.XLOOKUP(B234,'[8]october-2025'!$A:$A,'[8]october-2025'!$C:$C,0,0)</f>
        <v>48700</v>
      </c>
      <c r="CD234">
        <f t="shared" si="546"/>
        <v>8766</v>
      </c>
      <c r="CE234">
        <f t="shared" si="547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 t="shared" si="504"/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548"/>
        <v>200</v>
      </c>
      <c r="CL234">
        <f t="shared" si="549"/>
        <v>53050</v>
      </c>
      <c r="CM234">
        <f>_xlfn.XLOOKUP(B234,'[9]november-2025'!$A:$A,'[9]november-2025'!$C:$C,0,0)</f>
        <v>48700</v>
      </c>
      <c r="CN234">
        <f t="shared" si="550"/>
        <v>8766</v>
      </c>
      <c r="CO234">
        <f t="shared" si="551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 t="shared" si="505"/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552"/>
        <v>200</v>
      </c>
      <c r="CV234">
        <f t="shared" si="553"/>
        <v>53050</v>
      </c>
      <c r="CW234">
        <f>_xlfn.XLOOKUP(B234,'[10]december-2025'!$A:$A,'[10]december-2025'!$C:$C,0,0)</f>
        <v>48700</v>
      </c>
      <c r="CX234">
        <f t="shared" si="554"/>
        <v>8766</v>
      </c>
      <c r="CY234">
        <f t="shared" si="555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 t="shared" si="506"/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556"/>
        <v>200</v>
      </c>
      <c r="DF234">
        <f t="shared" si="557"/>
        <v>53050</v>
      </c>
      <c r="DG234">
        <f>_xlfn.XLOOKUP(B234,'[11]january-2026'!$A:$A,'[11]january-2026'!$C:$C,0,0)</f>
        <v>48700</v>
      </c>
      <c r="DH234">
        <f t="shared" si="558"/>
        <v>8766</v>
      </c>
      <c r="DI234">
        <f t="shared" si="559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07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60"/>
        <v>200</v>
      </c>
      <c r="DP234">
        <f t="shared" si="561"/>
        <v>53050</v>
      </c>
      <c r="DQ234">
        <f>_xlfn.XLOOKUP(B234,'[12]february-2026'!$A:$A,'[12]february-2026'!$C:$C,0,0)</f>
        <v>48700</v>
      </c>
      <c r="DR234">
        <f t="shared" si="562"/>
        <v>8766</v>
      </c>
      <c r="DS234">
        <f t="shared" si="563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08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64"/>
        <v>200</v>
      </c>
      <c r="DZ234">
        <f t="shared" si="565"/>
        <v>53050</v>
      </c>
      <c r="EA234">
        <f>_xlfn.XLOOKUP(B234,'[1]march-2025'!$A:$A,'[1]march-2025'!$J:$J,0,0)</f>
        <v>0</v>
      </c>
      <c r="EB234">
        <f>_xlfn.XLOOKUP(B234,'[2]april-2025'!$A:$A,'[2]april-2025'!$J:$J,0,0)</f>
        <v>0</v>
      </c>
      <c r="EC234">
        <f>_xlfn.XLOOKUP(B234,'[3]may-2025'!$A:$A,'[3]may-2025'!$J:$J,0,0)</f>
        <v>0</v>
      </c>
      <c r="ED234">
        <f>_xlfn.XLOOKUP(B234,'[4]june-2025'!$A:$A,'[4]june-2025'!$J:$J,0,0)</f>
        <v>0</v>
      </c>
      <c r="EE234">
        <f>_xlfn.XLOOKUP(B234,'[5]july-2025'!$A:$A,'[5]july-2025'!$J:$J,0,0)</f>
        <v>0</v>
      </c>
      <c r="EF234">
        <f>_xlfn.XLOOKUP(B234,'[6]august-2025'!$A:$A,'[6]august-2025'!$J:$J,0,0)</f>
        <v>0</v>
      </c>
      <c r="EG234">
        <f>_xlfn.XLOOKUP(B234,'[7]september-2025'!$A:$A,'[7]september-2025'!$J:$J,0,0)</f>
        <v>0</v>
      </c>
      <c r="EH234">
        <f>_xlfn.XLOOKUP(B234,'[8]october-2025'!$A:$A,'[8]october-2025'!$J:$J,0,0)</f>
        <v>0</v>
      </c>
      <c r="EI234">
        <f>_xlfn.XLOOKUP(C234,'[9]november-2025'!$A:$A,'[9]november-2025'!$J:$J,0,0)</f>
        <v>0</v>
      </c>
      <c r="EJ234">
        <f>_xlfn.XLOOKUP(B234,'[10]december-2025'!$A:$A,'[10]december-2025'!$J:$J,0,0)</f>
        <v>0</v>
      </c>
      <c r="EK234">
        <f>_xlfn.XLOOKUP(B234,'[11]january-2026'!$A:$A,'[11]january-2026'!$J:$J,0,0)</f>
        <v>0</v>
      </c>
      <c r="EL234">
        <f>_xlfn.XLOOKUP(B234,'[12]february-2026'!$A:$A,'[12]february-2026'!$J:$J,0,0)</f>
        <v>0</v>
      </c>
      <c r="EM234">
        <f t="shared" si="519"/>
        <v>0</v>
      </c>
      <c r="EN234">
        <f t="shared" si="509"/>
        <v>757348</v>
      </c>
      <c r="EO234">
        <f t="shared" si="510"/>
        <v>2400</v>
      </c>
      <c r="EP234">
        <f t="shared" si="566"/>
        <v>50000</v>
      </c>
      <c r="EQ234">
        <v>0</v>
      </c>
      <c r="ER234">
        <f t="shared" si="520"/>
        <v>704948</v>
      </c>
      <c r="ES234">
        <f t="shared" si="511"/>
        <v>120000</v>
      </c>
      <c r="ET234">
        <f t="shared" si="512"/>
        <v>720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567"/>
        <v>120720</v>
      </c>
      <c r="FF234">
        <f t="shared" si="568"/>
        <v>120720</v>
      </c>
      <c r="FG234">
        <f t="shared" si="569"/>
        <v>584228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513"/>
        <v>0</v>
      </c>
      <c r="FP234">
        <f t="shared" si="570"/>
        <v>584228</v>
      </c>
      <c r="FQ234">
        <f t="shared" si="571"/>
        <v>12500</v>
      </c>
      <c r="FR234">
        <f t="shared" si="572"/>
        <v>16846</v>
      </c>
      <c r="FS234">
        <f t="shared" si="573"/>
        <v>29346</v>
      </c>
      <c r="FT234">
        <f t="shared" si="574"/>
        <v>29346</v>
      </c>
      <c r="FU234">
        <f t="shared" si="575"/>
        <v>1173.8399999999999</v>
      </c>
      <c r="FV234">
        <f t="shared" si="576"/>
        <v>30520</v>
      </c>
      <c r="FW234">
        <v>0</v>
      </c>
      <c r="FX234">
        <f t="shared" si="577"/>
        <v>30520</v>
      </c>
      <c r="FY234" t="b">
        <f t="shared" si="578"/>
        <v>1</v>
      </c>
      <c r="FZ234">
        <f t="shared" ca="1" si="579"/>
        <v>692</v>
      </c>
      <c r="GA234">
        <f t="shared" ca="1" si="580"/>
        <v>758040</v>
      </c>
      <c r="GB234">
        <f t="shared" si="581"/>
        <v>75000</v>
      </c>
      <c r="GC234">
        <f t="shared" ca="1" si="582"/>
        <v>683040</v>
      </c>
      <c r="GD234">
        <f t="shared" ca="1" si="583"/>
        <v>0</v>
      </c>
      <c r="GE234">
        <f t="shared" ca="1" si="584"/>
        <v>0</v>
      </c>
      <c r="GF234">
        <f t="shared" ca="1" si="585"/>
        <v>0</v>
      </c>
      <c r="GG234">
        <f t="shared" ca="1" si="586"/>
        <v>0</v>
      </c>
      <c r="GH234">
        <f t="shared" ca="1" si="587"/>
        <v>0</v>
      </c>
      <c r="GI234">
        <f t="shared" ca="1" si="588"/>
        <v>0</v>
      </c>
      <c r="GJ234">
        <f t="shared" ca="1" si="514"/>
        <v>0</v>
      </c>
      <c r="GK234">
        <f t="shared" ca="1" si="589"/>
        <v>0</v>
      </c>
      <c r="GL234">
        <f t="shared" ca="1" si="590"/>
        <v>0</v>
      </c>
      <c r="GM234">
        <f t="shared" ca="1" si="591"/>
        <v>0</v>
      </c>
      <c r="GN234">
        <f t="shared" ca="1" si="592"/>
        <v>283040</v>
      </c>
      <c r="GO234">
        <f t="shared" ca="1" si="593"/>
        <v>14152</v>
      </c>
      <c r="GP234">
        <f t="shared" ca="1" si="594"/>
        <v>14152</v>
      </c>
      <c r="GQ234">
        <f t="shared" ca="1" si="595"/>
        <v>0</v>
      </c>
      <c r="GR234">
        <f t="shared" ca="1" si="596"/>
        <v>0</v>
      </c>
      <c r="GS234">
        <f t="shared" ca="1" si="597"/>
        <v>14152</v>
      </c>
      <c r="GT234">
        <f t="shared" ca="1" si="598"/>
        <v>0</v>
      </c>
      <c r="GU234" t="b">
        <f t="shared" ca="1" si="599"/>
        <v>0</v>
      </c>
      <c r="GV234">
        <f t="shared" ca="1" si="600"/>
        <v>0</v>
      </c>
      <c r="GW234">
        <f t="shared" ca="1" si="601"/>
        <v>14152</v>
      </c>
      <c r="GX234">
        <f t="shared" ca="1" si="602"/>
        <v>0</v>
      </c>
      <c r="GY234">
        <f t="shared" ca="1" si="603"/>
        <v>0</v>
      </c>
      <c r="GZ234">
        <f t="shared" ca="1" si="604"/>
        <v>0</v>
      </c>
    </row>
    <row r="235" spans="1:208" x14ac:dyDescent="0.3">
      <c r="A235">
        <f>_xlfn.AGGREGATE(3,5,$B$2:B235)</f>
        <v>234</v>
      </c>
      <c r="B235" t="s">
        <v>573</v>
      </c>
      <c r="C235" t="s">
        <v>574</v>
      </c>
      <c r="D235" t="s">
        <v>809</v>
      </c>
      <c r="E235" t="s">
        <v>830</v>
      </c>
      <c r="F235" t="s">
        <v>956</v>
      </c>
      <c r="G235" t="s">
        <v>877</v>
      </c>
      <c r="H235">
        <f t="shared" si="607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521"/>
        <v>4830.0000000000009</v>
      </c>
      <c r="L235">
        <f t="shared" si="522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499"/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605"/>
        <v>200</v>
      </c>
      <c r="S235">
        <f t="shared" si="515"/>
        <v>41270</v>
      </c>
      <c r="T235">
        <f>_xlfn.XLOOKUP(B235,'[2]april-2025'!$A:$A,'[2]april-2025'!$C:$C,0,0)</f>
        <v>34500</v>
      </c>
      <c r="U235">
        <f t="shared" si="523"/>
        <v>6210</v>
      </c>
      <c r="V235">
        <f t="shared" si="524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516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525"/>
        <v>200</v>
      </c>
      <c r="AC235">
        <f t="shared" si="526"/>
        <v>42650</v>
      </c>
      <c r="AD235">
        <f>_xlfn.XLOOKUP(B235,'[3]may-2025'!$A:$A,'[3]may-2025'!$C:$C,0,0)</f>
        <v>34500</v>
      </c>
      <c r="AE235">
        <f t="shared" si="527"/>
        <v>6210</v>
      </c>
      <c r="AF235">
        <f t="shared" si="528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517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529"/>
        <v>200</v>
      </c>
      <c r="AM235">
        <f t="shared" si="530"/>
        <v>42650</v>
      </c>
      <c r="AN235">
        <f>_xlfn.XLOOKUP(B235,'[4]june-2025'!$A:$A,'[4]june-2025'!$C:$C,0,0)</f>
        <v>34500</v>
      </c>
      <c r="AO235">
        <f t="shared" si="531"/>
        <v>6210</v>
      </c>
      <c r="AP235">
        <f t="shared" si="532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518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533"/>
        <v>200</v>
      </c>
      <c r="AW235">
        <f t="shared" si="534"/>
        <v>42650</v>
      </c>
      <c r="AX235">
        <f>_xlfn.XLOOKUP(B235,'[5]july-2025'!$A:$A,'[5]july-2025'!$C:$C,0,0)</f>
        <v>35500</v>
      </c>
      <c r="AY235">
        <f t="shared" si="535"/>
        <v>6390</v>
      </c>
      <c r="AZ235">
        <v>0</v>
      </c>
      <c r="BA235">
        <f t="shared" si="536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500"/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537"/>
        <v>200</v>
      </c>
      <c r="BH235">
        <f t="shared" si="538"/>
        <v>43950</v>
      </c>
      <c r="BI235">
        <f>_xlfn.XLOOKUP(B235,'[6]august-2025'!$A:$A,'[6]august-2025'!$C:$C,0,0)</f>
        <v>35500</v>
      </c>
      <c r="BJ235">
        <f t="shared" si="539"/>
        <v>6390</v>
      </c>
      <c r="BK235">
        <f t="shared" si="540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541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 t="shared" si="501"/>
        <v>200</v>
      </c>
      <c r="BR235">
        <f t="shared" si="502"/>
        <v>43950</v>
      </c>
      <c r="BS235">
        <f>_xlfn.XLOOKUP(B235,'[7]september-2025'!$A:$A,'[7]september-2025'!$C:$C,0,0)</f>
        <v>35500</v>
      </c>
      <c r="BT235">
        <f t="shared" si="542"/>
        <v>6390</v>
      </c>
      <c r="BU235">
        <f t="shared" si="543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503"/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544"/>
        <v>200</v>
      </c>
      <c r="CB235">
        <f t="shared" si="545"/>
        <v>43950</v>
      </c>
      <c r="CC235">
        <f>_xlfn.XLOOKUP(B235,'[8]october-2025'!$A:$A,'[8]october-2025'!$C:$C,0,0)</f>
        <v>35500</v>
      </c>
      <c r="CD235">
        <f t="shared" si="546"/>
        <v>6390</v>
      </c>
      <c r="CE235">
        <f t="shared" si="547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504"/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548"/>
        <v>200</v>
      </c>
      <c r="CL235">
        <f t="shared" si="549"/>
        <v>43950</v>
      </c>
      <c r="CM235">
        <f>_xlfn.XLOOKUP(B235,'[9]november-2025'!$A:$A,'[9]november-2025'!$C:$C,0,0)</f>
        <v>35500</v>
      </c>
      <c r="CN235">
        <f t="shared" si="550"/>
        <v>6390</v>
      </c>
      <c r="CO235">
        <f t="shared" si="551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505"/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552"/>
        <v>200</v>
      </c>
      <c r="CV235">
        <f t="shared" si="553"/>
        <v>43950</v>
      </c>
      <c r="CW235">
        <f>_xlfn.XLOOKUP(B235,'[10]december-2025'!$A:$A,'[10]december-2025'!$C:$C,0,0)</f>
        <v>35500</v>
      </c>
      <c r="CX235">
        <f t="shared" si="554"/>
        <v>6390</v>
      </c>
      <c r="CY235">
        <f t="shared" si="555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506"/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556"/>
        <v>200</v>
      </c>
      <c r="DF235">
        <f t="shared" si="557"/>
        <v>43950</v>
      </c>
      <c r="DG235">
        <f>_xlfn.XLOOKUP(B235,'[11]january-2026'!$A:$A,'[11]january-2026'!$C:$C,0,0)</f>
        <v>35500</v>
      </c>
      <c r="DH235">
        <f t="shared" si="558"/>
        <v>6390</v>
      </c>
      <c r="DI235">
        <f t="shared" si="559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07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60"/>
        <v>200</v>
      </c>
      <c r="DP235">
        <f t="shared" si="561"/>
        <v>43950</v>
      </c>
      <c r="DQ235">
        <f>_xlfn.XLOOKUP(B235,'[12]february-2026'!$A:$A,'[12]february-2026'!$C:$C,0,0)</f>
        <v>35500</v>
      </c>
      <c r="DR235">
        <f t="shared" si="562"/>
        <v>6390</v>
      </c>
      <c r="DS235">
        <f t="shared" si="563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08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64"/>
        <v>200</v>
      </c>
      <c r="DZ235">
        <f t="shared" si="565"/>
        <v>43950</v>
      </c>
      <c r="EA235">
        <f>_xlfn.XLOOKUP(B235,'[1]march-2025'!$A:$A,'[1]march-2025'!$J:$J,0,0)</f>
        <v>0</v>
      </c>
      <c r="EB235">
        <f>_xlfn.XLOOKUP(B235,'[2]april-2025'!$A:$A,'[2]april-2025'!$J:$J,0,0)</f>
        <v>0</v>
      </c>
      <c r="EC235">
        <f>_xlfn.XLOOKUP(B235,'[3]may-2025'!$A:$A,'[3]may-2025'!$J:$J,0,0)</f>
        <v>0</v>
      </c>
      <c r="ED235">
        <f>_xlfn.XLOOKUP(B235,'[4]june-2025'!$A:$A,'[4]june-2025'!$J:$J,0,0)</f>
        <v>0</v>
      </c>
      <c r="EE235">
        <f>_xlfn.XLOOKUP(B235,'[5]july-2025'!$A:$A,'[5]july-2025'!$J:$J,0,0)</f>
        <v>0</v>
      </c>
      <c r="EF235">
        <f>_xlfn.XLOOKUP(B235,'[6]august-2025'!$A:$A,'[6]august-2025'!$J:$J,0,0)</f>
        <v>0</v>
      </c>
      <c r="EG235">
        <f>_xlfn.XLOOKUP(B235,'[7]september-2025'!$A:$A,'[7]september-2025'!$J:$J,0,0)</f>
        <v>0</v>
      </c>
      <c r="EH235">
        <f>_xlfn.XLOOKUP(B235,'[8]october-2025'!$A:$A,'[8]october-2025'!$J:$J,0,0)</f>
        <v>0</v>
      </c>
      <c r="EI235">
        <f>_xlfn.XLOOKUP(C235,'[9]november-2025'!$A:$A,'[9]november-2025'!$J:$J,0,0)</f>
        <v>0</v>
      </c>
      <c r="EJ235">
        <f>_xlfn.XLOOKUP(B235,'[10]december-2025'!$A:$A,'[10]december-2025'!$J:$J,0,0)</f>
        <v>0</v>
      </c>
      <c r="EK235">
        <f>_xlfn.XLOOKUP(B235,'[11]january-2026'!$A:$A,'[11]january-2026'!$J:$J,0,0)</f>
        <v>0</v>
      </c>
      <c r="EL235">
        <f>_xlfn.XLOOKUP(B235,'[12]february-2026'!$A:$A,'[12]february-2026'!$J:$J,0,0)</f>
        <v>0</v>
      </c>
      <c r="EM235">
        <f t="shared" si="519"/>
        <v>0</v>
      </c>
      <c r="EN235">
        <f t="shared" si="509"/>
        <v>560020</v>
      </c>
      <c r="EO235">
        <f t="shared" si="510"/>
        <v>2400</v>
      </c>
      <c r="EP235">
        <f t="shared" si="566"/>
        <v>50000</v>
      </c>
      <c r="EQ235">
        <v>0</v>
      </c>
      <c r="ER235">
        <f t="shared" si="520"/>
        <v>507620</v>
      </c>
      <c r="ES235">
        <f t="shared" si="511"/>
        <v>30000</v>
      </c>
      <c r="ET235">
        <f t="shared" si="512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567"/>
        <v>30000</v>
      </c>
      <c r="FF235">
        <f t="shared" si="568"/>
        <v>30000</v>
      </c>
      <c r="FG235">
        <f t="shared" si="569"/>
        <v>477620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513"/>
        <v>0</v>
      </c>
      <c r="FP235">
        <f t="shared" si="570"/>
        <v>477620</v>
      </c>
      <c r="FQ235">
        <f t="shared" si="571"/>
        <v>11381</v>
      </c>
      <c r="FR235">
        <f t="shared" si="572"/>
        <v>0</v>
      </c>
      <c r="FS235">
        <f t="shared" si="573"/>
        <v>11381</v>
      </c>
      <c r="FT235">
        <f t="shared" si="574"/>
        <v>0</v>
      </c>
      <c r="FU235">
        <f t="shared" si="575"/>
        <v>0</v>
      </c>
      <c r="FV235">
        <f t="shared" si="576"/>
        <v>0</v>
      </c>
      <c r="FW235">
        <v>0</v>
      </c>
      <c r="FX235">
        <f t="shared" si="577"/>
        <v>0</v>
      </c>
      <c r="FY235" t="b">
        <f t="shared" si="578"/>
        <v>1</v>
      </c>
      <c r="FZ235">
        <f t="shared" ca="1" si="579"/>
        <v>827</v>
      </c>
      <c r="GA235">
        <f t="shared" ca="1" si="580"/>
        <v>560847</v>
      </c>
      <c r="GB235">
        <f t="shared" si="581"/>
        <v>75000</v>
      </c>
      <c r="GC235">
        <f t="shared" ca="1" si="582"/>
        <v>485847</v>
      </c>
      <c r="GD235">
        <f t="shared" ca="1" si="583"/>
        <v>0</v>
      </c>
      <c r="GE235">
        <f t="shared" ca="1" si="584"/>
        <v>0</v>
      </c>
      <c r="GF235">
        <f t="shared" ca="1" si="585"/>
        <v>0</v>
      </c>
      <c r="GG235">
        <f t="shared" ca="1" si="586"/>
        <v>0</v>
      </c>
      <c r="GH235">
        <f t="shared" ca="1" si="587"/>
        <v>0</v>
      </c>
      <c r="GI235">
        <f t="shared" ca="1" si="588"/>
        <v>0</v>
      </c>
      <c r="GJ235">
        <f t="shared" ca="1" si="514"/>
        <v>0</v>
      </c>
      <c r="GK235">
        <f t="shared" ca="1" si="589"/>
        <v>0</v>
      </c>
      <c r="GL235">
        <f t="shared" ca="1" si="590"/>
        <v>0</v>
      </c>
      <c r="GM235">
        <f t="shared" ca="1" si="591"/>
        <v>0</v>
      </c>
      <c r="GN235">
        <f t="shared" ca="1" si="592"/>
        <v>85847</v>
      </c>
      <c r="GO235">
        <f t="shared" ca="1" si="593"/>
        <v>4292.3500000000004</v>
      </c>
      <c r="GP235">
        <f t="shared" ca="1" si="594"/>
        <v>4292</v>
      </c>
      <c r="GQ235">
        <f t="shared" ca="1" si="595"/>
        <v>0</v>
      </c>
      <c r="GR235">
        <f t="shared" ca="1" si="596"/>
        <v>0</v>
      </c>
      <c r="GS235">
        <f t="shared" ca="1" si="597"/>
        <v>4292</v>
      </c>
      <c r="GT235">
        <f t="shared" ca="1" si="598"/>
        <v>0</v>
      </c>
      <c r="GU235" t="b">
        <f t="shared" ca="1" si="599"/>
        <v>0</v>
      </c>
      <c r="GV235">
        <f t="shared" ca="1" si="600"/>
        <v>0</v>
      </c>
      <c r="GW235">
        <f t="shared" ca="1" si="601"/>
        <v>4292</v>
      </c>
      <c r="GX235">
        <f t="shared" ca="1" si="602"/>
        <v>0</v>
      </c>
      <c r="GY235">
        <f t="shared" ca="1" si="603"/>
        <v>0</v>
      </c>
      <c r="GZ235">
        <f t="shared" ca="1" si="604"/>
        <v>0</v>
      </c>
    </row>
    <row r="236" spans="1:208" x14ac:dyDescent="0.3">
      <c r="A236">
        <f>_xlfn.AGGREGATE(3,5,$B$2:B236)</f>
        <v>235</v>
      </c>
      <c r="B236" t="s">
        <v>575</v>
      </c>
      <c r="C236" t="s">
        <v>576</v>
      </c>
      <c r="D236" t="s">
        <v>809</v>
      </c>
      <c r="E236" t="s">
        <v>830</v>
      </c>
      <c r="F236" t="s">
        <v>956</v>
      </c>
      <c r="G236" t="s">
        <v>903</v>
      </c>
      <c r="H236">
        <f t="shared" si="607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521"/>
        <v>4046.0000000000005</v>
      </c>
      <c r="L236">
        <f t="shared" si="522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 t="shared" si="499"/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605"/>
        <v>150</v>
      </c>
      <c r="S236">
        <f t="shared" si="515"/>
        <v>34764</v>
      </c>
      <c r="T236">
        <f>_xlfn.XLOOKUP(B236,'[2]april-2025'!$A:$A,'[2]april-2025'!$C:$C,0,0)</f>
        <v>28900</v>
      </c>
      <c r="U236">
        <f t="shared" si="523"/>
        <v>5202</v>
      </c>
      <c r="V236">
        <f t="shared" si="524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516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525"/>
        <v>150</v>
      </c>
      <c r="AC236">
        <f t="shared" si="526"/>
        <v>35920</v>
      </c>
      <c r="AD236">
        <f>_xlfn.XLOOKUP(B236,'[3]may-2025'!$A:$A,'[3]may-2025'!$C:$C,0,0)</f>
        <v>28900</v>
      </c>
      <c r="AE236">
        <f t="shared" si="527"/>
        <v>5202</v>
      </c>
      <c r="AF236">
        <f t="shared" si="528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517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529"/>
        <v>150</v>
      </c>
      <c r="AM236">
        <f t="shared" si="530"/>
        <v>35920</v>
      </c>
      <c r="AN236">
        <f>_xlfn.XLOOKUP(B236,'[4]june-2025'!$A:$A,'[4]june-2025'!$C:$C,0,0)</f>
        <v>28900</v>
      </c>
      <c r="AO236">
        <f t="shared" si="531"/>
        <v>5202</v>
      </c>
      <c r="AP236">
        <f t="shared" si="532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518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533"/>
        <v>150</v>
      </c>
      <c r="AW236">
        <f t="shared" si="534"/>
        <v>35920</v>
      </c>
      <c r="AX236">
        <f>_xlfn.XLOOKUP(B236,'[5]july-2025'!$A:$A,'[5]july-2025'!$C:$C,0,0)</f>
        <v>29800</v>
      </c>
      <c r="AY236">
        <f t="shared" si="535"/>
        <v>5364</v>
      </c>
      <c r="AZ236">
        <v>0</v>
      </c>
      <c r="BA236">
        <f t="shared" si="536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 t="shared" si="500"/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537"/>
        <v>150</v>
      </c>
      <c r="BH236">
        <f t="shared" si="538"/>
        <v>37090</v>
      </c>
      <c r="BI236">
        <f>_xlfn.XLOOKUP(B236,'[6]august-2025'!$A:$A,'[6]august-2025'!$C:$C,0,0)</f>
        <v>29800</v>
      </c>
      <c r="BJ236">
        <f t="shared" si="539"/>
        <v>5364</v>
      </c>
      <c r="BK236">
        <f t="shared" si="540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541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 t="shared" si="501"/>
        <v>150</v>
      </c>
      <c r="BR236">
        <f t="shared" si="502"/>
        <v>37090</v>
      </c>
      <c r="BS236">
        <f>_xlfn.XLOOKUP(B236,'[7]september-2025'!$A:$A,'[7]september-2025'!$C:$C,0,0)</f>
        <v>29800</v>
      </c>
      <c r="BT236">
        <f t="shared" si="542"/>
        <v>5364</v>
      </c>
      <c r="BU236">
        <f t="shared" si="543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 t="shared" si="503"/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544"/>
        <v>150</v>
      </c>
      <c r="CB236">
        <f t="shared" si="545"/>
        <v>37090</v>
      </c>
      <c r="CC236">
        <f>_xlfn.XLOOKUP(B236,'[8]october-2025'!$A:$A,'[8]october-2025'!$C:$C,0,0)</f>
        <v>29800</v>
      </c>
      <c r="CD236">
        <f t="shared" si="546"/>
        <v>5364</v>
      </c>
      <c r="CE236">
        <f t="shared" si="547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 t="shared" si="504"/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548"/>
        <v>150</v>
      </c>
      <c r="CL236">
        <f t="shared" si="549"/>
        <v>37090</v>
      </c>
      <c r="CM236">
        <f>_xlfn.XLOOKUP(B236,'[9]november-2025'!$A:$A,'[9]november-2025'!$C:$C,0,0)</f>
        <v>29800</v>
      </c>
      <c r="CN236">
        <f t="shared" si="550"/>
        <v>5364</v>
      </c>
      <c r="CO236">
        <f t="shared" si="551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 t="shared" si="505"/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552"/>
        <v>150</v>
      </c>
      <c r="CV236">
        <f t="shared" si="553"/>
        <v>37090</v>
      </c>
      <c r="CW236">
        <f>_xlfn.XLOOKUP(B236,'[10]december-2025'!$A:$A,'[10]december-2025'!$C:$C,0,0)</f>
        <v>29800</v>
      </c>
      <c r="CX236">
        <f t="shared" si="554"/>
        <v>5364</v>
      </c>
      <c r="CY236">
        <f t="shared" si="555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 t="shared" si="506"/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556"/>
        <v>150</v>
      </c>
      <c r="DF236">
        <f t="shared" si="557"/>
        <v>37090</v>
      </c>
      <c r="DG236">
        <f>_xlfn.XLOOKUP(B236,'[11]january-2026'!$A:$A,'[11]january-2026'!$C:$C,0,0)</f>
        <v>29800</v>
      </c>
      <c r="DH236">
        <f t="shared" si="558"/>
        <v>5364</v>
      </c>
      <c r="DI236">
        <f t="shared" si="559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07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60"/>
        <v>150</v>
      </c>
      <c r="DP236">
        <f t="shared" si="561"/>
        <v>37090</v>
      </c>
      <c r="DQ236">
        <f>_xlfn.XLOOKUP(B236,'[12]february-2026'!$A:$A,'[12]february-2026'!$C:$C,0,0)</f>
        <v>29800</v>
      </c>
      <c r="DR236">
        <f t="shared" si="562"/>
        <v>5364</v>
      </c>
      <c r="DS236">
        <f t="shared" si="563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08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64"/>
        <v>150</v>
      </c>
      <c r="DZ236">
        <f t="shared" si="565"/>
        <v>37090</v>
      </c>
      <c r="EA236">
        <f>_xlfn.XLOOKUP(B236,'[1]march-2025'!$A:$A,'[1]march-2025'!$J:$J,0,0)</f>
        <v>0</v>
      </c>
      <c r="EB236">
        <f>_xlfn.XLOOKUP(B236,'[2]april-2025'!$A:$A,'[2]april-2025'!$J:$J,0,0)</f>
        <v>0</v>
      </c>
      <c r="EC236">
        <f>_xlfn.XLOOKUP(B236,'[3]may-2025'!$A:$A,'[3]may-2025'!$J:$J,0,0)</f>
        <v>34471</v>
      </c>
      <c r="ED236">
        <f>_xlfn.XLOOKUP(B236,'[4]june-2025'!$A:$A,'[4]june-2025'!$J:$J,0,0)</f>
        <v>0</v>
      </c>
      <c r="EE236">
        <f>_xlfn.XLOOKUP(B236,'[5]july-2025'!$A:$A,'[5]july-2025'!$J:$J,0,0)</f>
        <v>0</v>
      </c>
      <c r="EF236">
        <f>_xlfn.XLOOKUP(B236,'[6]august-2025'!$A:$A,'[6]august-2025'!$J:$J,0,0)</f>
        <v>0</v>
      </c>
      <c r="EG236">
        <f>_xlfn.XLOOKUP(B236,'[7]september-2025'!$A:$A,'[7]september-2025'!$J:$J,0,0)</f>
        <v>0</v>
      </c>
      <c r="EH236">
        <f>_xlfn.XLOOKUP(B236,'[8]october-2025'!$A:$A,'[8]october-2025'!$J:$J,0,0)</f>
        <v>0</v>
      </c>
      <c r="EI236">
        <f>_xlfn.XLOOKUP(C236,'[9]november-2025'!$A:$A,'[9]november-2025'!$J:$J,0,0)</f>
        <v>0</v>
      </c>
      <c r="EJ236">
        <f>_xlfn.XLOOKUP(B236,'[10]december-2025'!$A:$A,'[10]december-2025'!$J:$J,0,0)</f>
        <v>0</v>
      </c>
      <c r="EK236">
        <f>_xlfn.XLOOKUP(B236,'[11]january-2026'!$A:$A,'[11]january-2026'!$J:$J,0,0)</f>
        <v>0</v>
      </c>
      <c r="EL236">
        <f>_xlfn.XLOOKUP(B236,'[12]february-2026'!$A:$A,'[12]february-2026'!$J:$J,0,0)</f>
        <v>0</v>
      </c>
      <c r="EM236">
        <f t="shared" si="519"/>
        <v>34471</v>
      </c>
      <c r="EN236">
        <f t="shared" si="509"/>
        <v>471844</v>
      </c>
      <c r="EO236">
        <f t="shared" si="510"/>
        <v>1800</v>
      </c>
      <c r="EP236">
        <f t="shared" si="566"/>
        <v>50000</v>
      </c>
      <c r="EQ236">
        <v>0</v>
      </c>
      <c r="ER236">
        <f t="shared" si="520"/>
        <v>454515</v>
      </c>
      <c r="ES236">
        <f t="shared" si="511"/>
        <v>24000</v>
      </c>
      <c r="ET236">
        <f t="shared" si="512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567"/>
        <v>24000</v>
      </c>
      <c r="FF236">
        <f t="shared" si="568"/>
        <v>24000</v>
      </c>
      <c r="FG236">
        <f t="shared" si="569"/>
        <v>430515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513"/>
        <v>0</v>
      </c>
      <c r="FP236">
        <f t="shared" si="570"/>
        <v>430515</v>
      </c>
      <c r="FQ236">
        <f t="shared" si="571"/>
        <v>9026</v>
      </c>
      <c r="FR236">
        <f t="shared" si="572"/>
        <v>0</v>
      </c>
      <c r="FS236">
        <f t="shared" si="573"/>
        <v>9026</v>
      </c>
      <c r="FT236">
        <f t="shared" si="574"/>
        <v>0</v>
      </c>
      <c r="FU236">
        <f t="shared" si="575"/>
        <v>0</v>
      </c>
      <c r="FV236">
        <f t="shared" si="576"/>
        <v>0</v>
      </c>
      <c r="FW236">
        <v>0</v>
      </c>
      <c r="FX236">
        <f t="shared" si="577"/>
        <v>0</v>
      </c>
      <c r="FY236" t="b">
        <f t="shared" si="578"/>
        <v>0</v>
      </c>
      <c r="FZ236">
        <f t="shared" ca="1" si="579"/>
        <v>1123</v>
      </c>
      <c r="GA236">
        <f t="shared" ca="1" si="580"/>
        <v>472967</v>
      </c>
      <c r="GB236">
        <f t="shared" si="581"/>
        <v>75000</v>
      </c>
      <c r="GC236">
        <f t="shared" ca="1" si="582"/>
        <v>397967</v>
      </c>
      <c r="GD236">
        <f t="shared" ca="1" si="583"/>
        <v>0</v>
      </c>
      <c r="GE236">
        <f t="shared" ca="1" si="584"/>
        <v>0</v>
      </c>
      <c r="GF236">
        <f t="shared" ca="1" si="585"/>
        <v>0</v>
      </c>
      <c r="GG236">
        <f t="shared" ca="1" si="586"/>
        <v>0</v>
      </c>
      <c r="GH236">
        <f t="shared" ca="1" si="587"/>
        <v>0</v>
      </c>
      <c r="GI236">
        <f t="shared" ca="1" si="588"/>
        <v>0</v>
      </c>
      <c r="GJ236">
        <f t="shared" ca="1" si="514"/>
        <v>0</v>
      </c>
      <c r="GK236">
        <f t="shared" ca="1" si="589"/>
        <v>0</v>
      </c>
      <c r="GL236">
        <f t="shared" ca="1" si="590"/>
        <v>0</v>
      </c>
      <c r="GM236">
        <f t="shared" ca="1" si="591"/>
        <v>0</v>
      </c>
      <c r="GN236">
        <f t="shared" ca="1" si="592"/>
        <v>0</v>
      </c>
      <c r="GO236">
        <f t="shared" ca="1" si="593"/>
        <v>0</v>
      </c>
      <c r="GP236">
        <f t="shared" ca="1" si="594"/>
        <v>0</v>
      </c>
      <c r="GQ236">
        <f t="shared" ca="1" si="595"/>
        <v>0</v>
      </c>
      <c r="GR236">
        <f t="shared" ca="1" si="596"/>
        <v>0</v>
      </c>
      <c r="GS236">
        <f t="shared" ca="1" si="597"/>
        <v>0</v>
      </c>
      <c r="GT236">
        <f t="shared" ca="1" si="598"/>
        <v>0</v>
      </c>
      <c r="GU236" t="b">
        <f t="shared" ca="1" si="599"/>
        <v>0</v>
      </c>
      <c r="GV236">
        <f t="shared" ca="1" si="600"/>
        <v>0</v>
      </c>
      <c r="GW236">
        <f t="shared" ca="1" si="601"/>
        <v>0</v>
      </c>
      <c r="GX236">
        <f t="shared" ca="1" si="602"/>
        <v>0</v>
      </c>
      <c r="GY236">
        <f t="shared" ca="1" si="603"/>
        <v>0</v>
      </c>
      <c r="GZ236">
        <f t="shared" ca="1" si="604"/>
        <v>0</v>
      </c>
    </row>
    <row r="237" spans="1:208" x14ac:dyDescent="0.3">
      <c r="A237">
        <f>_xlfn.AGGREGATE(3,5,$B$2:B237)</f>
        <v>236</v>
      </c>
      <c r="B237" t="s">
        <v>577</v>
      </c>
      <c r="C237" t="s">
        <v>578</v>
      </c>
      <c r="D237" t="s">
        <v>810</v>
      </c>
      <c r="E237" t="s">
        <v>830</v>
      </c>
      <c r="F237" t="s">
        <v>956</v>
      </c>
      <c r="G237" t="s">
        <v>948</v>
      </c>
      <c r="H237">
        <f t="shared" si="607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521"/>
        <v>6818.0000000000009</v>
      </c>
      <c r="L237">
        <f t="shared" si="522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 t="shared" si="499"/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605"/>
        <v>200</v>
      </c>
      <c r="S237">
        <f t="shared" si="515"/>
        <v>56062</v>
      </c>
      <c r="T237">
        <f>_xlfn.XLOOKUP(B237,'[2]april-2025'!$A:$A,'[2]april-2025'!$C:$C,0,0)</f>
        <v>48700</v>
      </c>
      <c r="U237">
        <f t="shared" si="523"/>
        <v>8766</v>
      </c>
      <c r="V237">
        <f t="shared" si="524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516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525"/>
        <v>200</v>
      </c>
      <c r="AC237">
        <f t="shared" si="526"/>
        <v>58010</v>
      </c>
      <c r="AD237">
        <f>_xlfn.XLOOKUP(B237,'[3]may-2025'!$A:$A,'[3]may-2025'!$C:$C,0,0)</f>
        <v>48700</v>
      </c>
      <c r="AE237">
        <f t="shared" si="527"/>
        <v>8766</v>
      </c>
      <c r="AF237">
        <f t="shared" si="528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517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529"/>
        <v>200</v>
      </c>
      <c r="AM237">
        <f t="shared" si="530"/>
        <v>58010</v>
      </c>
      <c r="AN237">
        <f>_xlfn.XLOOKUP(B237,'[4]june-2025'!$A:$A,'[4]june-2025'!$C:$C,0,0)</f>
        <v>48700</v>
      </c>
      <c r="AO237">
        <f t="shared" si="531"/>
        <v>8766</v>
      </c>
      <c r="AP237">
        <f t="shared" si="532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518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533"/>
        <v>200</v>
      </c>
      <c r="AW237">
        <f t="shared" si="534"/>
        <v>58010</v>
      </c>
      <c r="AX237">
        <f>_xlfn.XLOOKUP(B237,'[5]july-2025'!$A:$A,'[5]july-2025'!$C:$C,0,0)</f>
        <v>50200</v>
      </c>
      <c r="AY237">
        <f t="shared" si="535"/>
        <v>9036</v>
      </c>
      <c r="AZ237">
        <v>0</v>
      </c>
      <c r="BA237">
        <f t="shared" si="536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 t="shared" si="500"/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537"/>
        <v>200</v>
      </c>
      <c r="BH237">
        <f t="shared" si="538"/>
        <v>59960</v>
      </c>
      <c r="BI237">
        <f>_xlfn.XLOOKUP(B237,'[6]august-2025'!$A:$A,'[6]august-2025'!$C:$C,0,0)</f>
        <v>50200</v>
      </c>
      <c r="BJ237">
        <f t="shared" si="539"/>
        <v>9036</v>
      </c>
      <c r="BK237">
        <f t="shared" si="540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541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501"/>
        <v>200</v>
      </c>
      <c r="BR237">
        <f t="shared" si="502"/>
        <v>59960</v>
      </c>
      <c r="BS237">
        <f>_xlfn.XLOOKUP(B237,'[7]september-2025'!$A:$A,'[7]september-2025'!$C:$C,0,0)</f>
        <v>50200</v>
      </c>
      <c r="BT237">
        <f t="shared" si="542"/>
        <v>9036</v>
      </c>
      <c r="BU237">
        <f t="shared" si="543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 t="shared" si="503"/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544"/>
        <v>200</v>
      </c>
      <c r="CB237">
        <f t="shared" si="545"/>
        <v>59960</v>
      </c>
      <c r="CC237">
        <f>_xlfn.XLOOKUP(B237,'[8]october-2025'!$A:$A,'[8]october-2025'!$C:$C,0,0)</f>
        <v>50200</v>
      </c>
      <c r="CD237">
        <f t="shared" si="546"/>
        <v>9036</v>
      </c>
      <c r="CE237">
        <f t="shared" si="547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 t="shared" si="504"/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548"/>
        <v>200</v>
      </c>
      <c r="CL237">
        <f t="shared" si="549"/>
        <v>59960</v>
      </c>
      <c r="CM237">
        <f>_xlfn.XLOOKUP(B237,'[9]november-2025'!$A:$A,'[9]november-2025'!$C:$C,0,0)</f>
        <v>50200</v>
      </c>
      <c r="CN237">
        <f t="shared" si="550"/>
        <v>9036</v>
      </c>
      <c r="CO237">
        <f t="shared" si="551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 t="shared" si="505"/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552"/>
        <v>200</v>
      </c>
      <c r="CV237">
        <f t="shared" si="553"/>
        <v>59960</v>
      </c>
      <c r="CW237">
        <f>_xlfn.XLOOKUP(B237,'[10]december-2025'!$A:$A,'[10]december-2025'!$C:$C,0,0)</f>
        <v>51604</v>
      </c>
      <c r="CX237">
        <f t="shared" si="554"/>
        <v>9289</v>
      </c>
      <c r="CY237">
        <f t="shared" si="555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 t="shared" si="506"/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556"/>
        <v>200</v>
      </c>
      <c r="DF237">
        <f t="shared" si="557"/>
        <v>61785</v>
      </c>
      <c r="DG237">
        <f>_xlfn.XLOOKUP(B237,'[11]january-2026'!$A:$A,'[11]january-2026'!$C:$C,0,0)</f>
        <v>51700</v>
      </c>
      <c r="DH237">
        <f t="shared" si="558"/>
        <v>9306</v>
      </c>
      <c r="DI237">
        <f t="shared" si="559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07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60"/>
        <v>200</v>
      </c>
      <c r="DP237">
        <f t="shared" si="561"/>
        <v>61910</v>
      </c>
      <c r="DQ237">
        <f>_xlfn.XLOOKUP(B237,'[12]february-2026'!$A:$A,'[12]february-2026'!$C:$C,0,0)</f>
        <v>51700</v>
      </c>
      <c r="DR237">
        <f t="shared" si="562"/>
        <v>9306</v>
      </c>
      <c r="DS237">
        <f t="shared" si="563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08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64"/>
        <v>200</v>
      </c>
      <c r="DZ237">
        <f t="shared" si="565"/>
        <v>61910</v>
      </c>
      <c r="EA237">
        <f>_xlfn.XLOOKUP(B237,'[1]march-2025'!$A:$A,'[1]march-2025'!$J:$J,0,0)</f>
        <v>0</v>
      </c>
      <c r="EB237">
        <f>_xlfn.XLOOKUP(B237,'[2]april-2025'!$A:$A,'[2]april-2025'!$J:$J,0,0)</f>
        <v>0</v>
      </c>
      <c r="EC237">
        <f>_xlfn.XLOOKUP(B237,'[3]may-2025'!$A:$A,'[3]may-2025'!$J:$J,0,0)</f>
        <v>0</v>
      </c>
      <c r="ED237">
        <f>_xlfn.XLOOKUP(B237,'[4]june-2025'!$A:$A,'[4]june-2025'!$J:$J,0,0)</f>
        <v>0</v>
      </c>
      <c r="EE237">
        <f>_xlfn.XLOOKUP(B237,'[5]july-2025'!$A:$A,'[5]july-2025'!$J:$J,0,0)</f>
        <v>0</v>
      </c>
      <c r="EF237">
        <f>_xlfn.XLOOKUP(B237,'[6]august-2025'!$A:$A,'[6]august-2025'!$J:$J,0,0)</f>
        <v>0</v>
      </c>
      <c r="EG237">
        <f>_xlfn.XLOOKUP(B237,'[7]september-2025'!$A:$A,'[7]september-2025'!$J:$J,0,0)</f>
        <v>0</v>
      </c>
      <c r="EH237">
        <f>_xlfn.XLOOKUP(B237,'[8]october-2025'!$A:$A,'[8]october-2025'!$J:$J,0,0)</f>
        <v>0</v>
      </c>
      <c r="EI237">
        <f>_xlfn.XLOOKUP(C237,'[9]november-2025'!$A:$A,'[9]november-2025'!$J:$J,0,0)</f>
        <v>0</v>
      </c>
      <c r="EJ237">
        <f>_xlfn.XLOOKUP(B237,'[10]december-2025'!$A:$A,'[10]december-2025'!$J:$J,0,0)</f>
        <v>0</v>
      </c>
      <c r="EK237">
        <f>_xlfn.XLOOKUP(B237,'[11]january-2026'!$A:$A,'[11]january-2026'!$J:$J,0,0)</f>
        <v>0</v>
      </c>
      <c r="EL237">
        <f>_xlfn.XLOOKUP(B237,'[12]february-2026'!$A:$A,'[12]february-2026'!$J:$J,0,0)</f>
        <v>0</v>
      </c>
      <c r="EM237">
        <f t="shared" si="519"/>
        <v>0</v>
      </c>
      <c r="EN237">
        <f t="shared" si="509"/>
        <v>796697</v>
      </c>
      <c r="EO237">
        <f t="shared" si="510"/>
        <v>2400</v>
      </c>
      <c r="EP237">
        <f t="shared" si="566"/>
        <v>50000</v>
      </c>
      <c r="EQ237">
        <v>0</v>
      </c>
      <c r="ER237">
        <f t="shared" si="520"/>
        <v>744297</v>
      </c>
      <c r="ES237">
        <f t="shared" si="511"/>
        <v>72000</v>
      </c>
      <c r="ET237">
        <f t="shared" si="512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567"/>
        <v>72000</v>
      </c>
      <c r="FF237">
        <f t="shared" si="568"/>
        <v>72000</v>
      </c>
      <c r="FG237">
        <f t="shared" si="569"/>
        <v>672297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513"/>
        <v>0</v>
      </c>
      <c r="FP237">
        <f t="shared" si="570"/>
        <v>672297</v>
      </c>
      <c r="FQ237">
        <f t="shared" si="571"/>
        <v>12500</v>
      </c>
      <c r="FR237">
        <f t="shared" si="572"/>
        <v>34459</v>
      </c>
      <c r="FS237">
        <f t="shared" si="573"/>
        <v>46959</v>
      </c>
      <c r="FT237">
        <f t="shared" si="574"/>
        <v>46959</v>
      </c>
      <c r="FU237">
        <f t="shared" si="575"/>
        <v>1878.3600000000001</v>
      </c>
      <c r="FV237">
        <f t="shared" si="576"/>
        <v>48837</v>
      </c>
      <c r="FW237">
        <v>0</v>
      </c>
      <c r="FX237">
        <f t="shared" si="577"/>
        <v>48837</v>
      </c>
      <c r="FY237" t="b">
        <f t="shared" si="578"/>
        <v>1</v>
      </c>
      <c r="FZ237">
        <f t="shared" ca="1" si="579"/>
        <v>973</v>
      </c>
      <c r="GA237">
        <f t="shared" ca="1" si="580"/>
        <v>797670</v>
      </c>
      <c r="GB237">
        <f t="shared" si="581"/>
        <v>75000</v>
      </c>
      <c r="GC237">
        <f t="shared" ca="1" si="582"/>
        <v>722670</v>
      </c>
      <c r="GD237">
        <f t="shared" ca="1" si="583"/>
        <v>0</v>
      </c>
      <c r="GE237">
        <f t="shared" ca="1" si="584"/>
        <v>0</v>
      </c>
      <c r="GF237">
        <f t="shared" ca="1" si="585"/>
        <v>0</v>
      </c>
      <c r="GG237">
        <f t="shared" ca="1" si="586"/>
        <v>0</v>
      </c>
      <c r="GH237">
        <f t="shared" ca="1" si="587"/>
        <v>0</v>
      </c>
      <c r="GI237">
        <f t="shared" ca="1" si="588"/>
        <v>0</v>
      </c>
      <c r="GJ237">
        <f t="shared" ca="1" si="514"/>
        <v>0</v>
      </c>
      <c r="GK237">
        <f t="shared" ca="1" si="589"/>
        <v>0</v>
      </c>
      <c r="GL237">
        <f t="shared" ca="1" si="590"/>
        <v>0</v>
      </c>
      <c r="GM237">
        <f t="shared" ca="1" si="591"/>
        <v>0</v>
      </c>
      <c r="GN237">
        <f t="shared" ca="1" si="592"/>
        <v>322670</v>
      </c>
      <c r="GO237">
        <f t="shared" ca="1" si="593"/>
        <v>16133.5</v>
      </c>
      <c r="GP237">
        <f t="shared" ca="1" si="594"/>
        <v>16134</v>
      </c>
      <c r="GQ237">
        <f t="shared" ca="1" si="595"/>
        <v>0</v>
      </c>
      <c r="GR237">
        <f t="shared" ca="1" si="596"/>
        <v>0</v>
      </c>
      <c r="GS237">
        <f t="shared" ca="1" si="597"/>
        <v>16134</v>
      </c>
      <c r="GT237">
        <f t="shared" ca="1" si="598"/>
        <v>0</v>
      </c>
      <c r="GU237" t="b">
        <f t="shared" ca="1" si="599"/>
        <v>0</v>
      </c>
      <c r="GV237">
        <f t="shared" ca="1" si="600"/>
        <v>0</v>
      </c>
      <c r="GW237">
        <f t="shared" ca="1" si="601"/>
        <v>16134</v>
      </c>
      <c r="GX237">
        <f t="shared" ca="1" si="602"/>
        <v>0</v>
      </c>
      <c r="GY237">
        <f t="shared" ca="1" si="603"/>
        <v>0</v>
      </c>
      <c r="GZ237">
        <f t="shared" ca="1" si="604"/>
        <v>0</v>
      </c>
    </row>
    <row r="238" spans="1:208" x14ac:dyDescent="0.3">
      <c r="A238">
        <f>_xlfn.AGGREGATE(3,5,$B$2:B238)</f>
        <v>237</v>
      </c>
      <c r="B238" t="s">
        <v>579</v>
      </c>
      <c r="C238" t="s">
        <v>580</v>
      </c>
      <c r="D238" t="s">
        <v>810</v>
      </c>
      <c r="E238" t="s">
        <v>830</v>
      </c>
      <c r="F238" t="s">
        <v>956</v>
      </c>
      <c r="G238" t="s">
        <v>949</v>
      </c>
      <c r="H238">
        <f t="shared" si="607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521"/>
        <v>6622.0000000000009</v>
      </c>
      <c r="L238">
        <f t="shared" si="522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 t="shared" si="499"/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605"/>
        <v>200</v>
      </c>
      <c r="S238">
        <f t="shared" si="515"/>
        <v>53398</v>
      </c>
      <c r="T238">
        <f>_xlfn.XLOOKUP(B238,'[2]april-2025'!$A:$A,'[2]april-2025'!$C:$C,0,0)</f>
        <v>47300</v>
      </c>
      <c r="U238">
        <f t="shared" si="523"/>
        <v>8514</v>
      </c>
      <c r="V238">
        <f t="shared" si="524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516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525"/>
        <v>200</v>
      </c>
      <c r="AC238">
        <f t="shared" si="526"/>
        <v>55290</v>
      </c>
      <c r="AD238">
        <f>_xlfn.XLOOKUP(B238,'[3]may-2025'!$A:$A,'[3]may-2025'!$C:$C,0,0)</f>
        <v>47300</v>
      </c>
      <c r="AE238">
        <f t="shared" si="527"/>
        <v>8514</v>
      </c>
      <c r="AF238">
        <f t="shared" si="528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517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529"/>
        <v>200</v>
      </c>
      <c r="AM238">
        <f t="shared" si="530"/>
        <v>55290</v>
      </c>
      <c r="AN238">
        <f>_xlfn.XLOOKUP(B238,'[4]june-2025'!$A:$A,'[4]june-2025'!$C:$C,0,0)</f>
        <v>47300</v>
      </c>
      <c r="AO238">
        <f t="shared" si="531"/>
        <v>8514</v>
      </c>
      <c r="AP238">
        <f t="shared" si="532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518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533"/>
        <v>200</v>
      </c>
      <c r="AW238">
        <f t="shared" si="534"/>
        <v>55290</v>
      </c>
      <c r="AX238">
        <f>_xlfn.XLOOKUP(B238,'[5]july-2025'!$A:$A,'[5]july-2025'!$C:$C,0,0)</f>
        <v>48700</v>
      </c>
      <c r="AY238">
        <f t="shared" si="535"/>
        <v>8766</v>
      </c>
      <c r="AZ238">
        <v>0</v>
      </c>
      <c r="BA238">
        <f t="shared" si="536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 t="shared" si="500"/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537"/>
        <v>200</v>
      </c>
      <c r="BH238">
        <f t="shared" si="538"/>
        <v>57110</v>
      </c>
      <c r="BI238">
        <f>_xlfn.XLOOKUP(B238,'[6]august-2025'!$A:$A,'[6]august-2025'!$C:$C,0,0)</f>
        <v>48700</v>
      </c>
      <c r="BJ238">
        <f t="shared" si="539"/>
        <v>8766</v>
      </c>
      <c r="BK238">
        <f t="shared" si="540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541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 t="shared" si="501"/>
        <v>200</v>
      </c>
      <c r="BR238">
        <f t="shared" si="502"/>
        <v>57110</v>
      </c>
      <c r="BS238">
        <f>_xlfn.XLOOKUP(B238,'[7]september-2025'!$A:$A,'[7]september-2025'!$C:$C,0,0)</f>
        <v>48700</v>
      </c>
      <c r="BT238">
        <f t="shared" si="542"/>
        <v>8766</v>
      </c>
      <c r="BU238">
        <f t="shared" si="543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 t="shared" si="503"/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544"/>
        <v>200</v>
      </c>
      <c r="CB238">
        <f t="shared" si="545"/>
        <v>57110</v>
      </c>
      <c r="CC238">
        <f>_xlfn.XLOOKUP(B238,'[8]october-2025'!$A:$A,'[8]october-2025'!$C:$C,0,0)</f>
        <v>48700</v>
      </c>
      <c r="CD238">
        <f t="shared" si="546"/>
        <v>8766</v>
      </c>
      <c r="CE238">
        <f t="shared" si="547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 t="shared" si="504"/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548"/>
        <v>200</v>
      </c>
      <c r="CL238">
        <f t="shared" si="549"/>
        <v>57110</v>
      </c>
      <c r="CM238">
        <f>_xlfn.XLOOKUP(B238,'[9]november-2025'!$A:$A,'[9]november-2025'!$C:$C,0,0)</f>
        <v>48700</v>
      </c>
      <c r="CN238">
        <f t="shared" si="550"/>
        <v>8766</v>
      </c>
      <c r="CO238">
        <f t="shared" si="551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 t="shared" si="505"/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552"/>
        <v>200</v>
      </c>
      <c r="CV238">
        <f t="shared" si="553"/>
        <v>57110</v>
      </c>
      <c r="CW238">
        <f>_xlfn.XLOOKUP(B238,'[10]december-2025'!$A:$A,'[10]december-2025'!$C:$C,0,0)</f>
        <v>48700</v>
      </c>
      <c r="CX238">
        <f t="shared" si="554"/>
        <v>8766</v>
      </c>
      <c r="CY238">
        <f t="shared" si="555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 t="shared" si="506"/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556"/>
        <v>200</v>
      </c>
      <c r="DF238">
        <f t="shared" si="557"/>
        <v>57110</v>
      </c>
      <c r="DG238">
        <f>_xlfn.XLOOKUP(B238,'[11]january-2026'!$A:$A,'[11]january-2026'!$C:$C,0,0)</f>
        <v>48700</v>
      </c>
      <c r="DH238">
        <f t="shared" si="558"/>
        <v>8766</v>
      </c>
      <c r="DI238">
        <f t="shared" si="559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07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60"/>
        <v>200</v>
      </c>
      <c r="DP238">
        <f t="shared" si="561"/>
        <v>57110</v>
      </c>
      <c r="DQ238">
        <f>_xlfn.XLOOKUP(B238,'[12]february-2026'!$A:$A,'[12]february-2026'!$C:$C,0,0)</f>
        <v>48700</v>
      </c>
      <c r="DR238">
        <f t="shared" si="562"/>
        <v>8766</v>
      </c>
      <c r="DS238">
        <f t="shared" si="563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08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64"/>
        <v>200</v>
      </c>
      <c r="DZ238">
        <f t="shared" si="565"/>
        <v>57110</v>
      </c>
      <c r="EA238">
        <f>_xlfn.XLOOKUP(B238,'[1]march-2025'!$A:$A,'[1]march-2025'!$J:$J,0,0)</f>
        <v>0</v>
      </c>
      <c r="EB238">
        <f>_xlfn.XLOOKUP(B238,'[2]april-2025'!$A:$A,'[2]april-2025'!$J:$J,0,0)</f>
        <v>0</v>
      </c>
      <c r="EC238">
        <f>_xlfn.XLOOKUP(B238,'[3]may-2025'!$A:$A,'[3]may-2025'!$J:$J,0,0)</f>
        <v>0</v>
      </c>
      <c r="ED238">
        <f>_xlfn.XLOOKUP(B238,'[4]june-2025'!$A:$A,'[4]june-2025'!$J:$J,0,0)</f>
        <v>0</v>
      </c>
      <c r="EE238">
        <f>_xlfn.XLOOKUP(B238,'[5]july-2025'!$A:$A,'[5]july-2025'!$J:$J,0,0)</f>
        <v>0</v>
      </c>
      <c r="EF238">
        <f>_xlfn.XLOOKUP(B238,'[6]august-2025'!$A:$A,'[6]august-2025'!$J:$J,0,0)</f>
        <v>0</v>
      </c>
      <c r="EG238">
        <f>_xlfn.XLOOKUP(B238,'[7]september-2025'!$A:$A,'[7]september-2025'!$J:$J,0,0)</f>
        <v>0</v>
      </c>
      <c r="EH238">
        <f>_xlfn.XLOOKUP(B238,'[8]october-2025'!$A:$A,'[8]october-2025'!$J:$J,0,0)</f>
        <v>0</v>
      </c>
      <c r="EI238">
        <f>_xlfn.XLOOKUP(C238,'[9]november-2025'!$A:$A,'[9]november-2025'!$J:$J,0,0)</f>
        <v>0</v>
      </c>
      <c r="EJ238">
        <f>_xlfn.XLOOKUP(B238,'[10]december-2025'!$A:$A,'[10]december-2025'!$J:$J,0,0)</f>
        <v>0</v>
      </c>
      <c r="EK238">
        <f>_xlfn.XLOOKUP(B238,'[11]january-2026'!$A:$A,'[11]january-2026'!$J:$J,0,0)</f>
        <v>0</v>
      </c>
      <c r="EL238">
        <f>_xlfn.XLOOKUP(B238,'[12]february-2026'!$A:$A,'[12]february-2026'!$J:$J,0,0)</f>
        <v>0</v>
      </c>
      <c r="EM238">
        <f t="shared" si="519"/>
        <v>0</v>
      </c>
      <c r="EN238">
        <f t="shared" si="509"/>
        <v>757348</v>
      </c>
      <c r="EO238">
        <f t="shared" si="510"/>
        <v>2400</v>
      </c>
      <c r="EP238">
        <f t="shared" si="566"/>
        <v>50000</v>
      </c>
      <c r="EQ238">
        <v>0</v>
      </c>
      <c r="ER238">
        <f t="shared" si="520"/>
        <v>704948</v>
      </c>
      <c r="ES238">
        <f t="shared" si="511"/>
        <v>72000</v>
      </c>
      <c r="ET238">
        <f t="shared" si="512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567"/>
        <v>72000</v>
      </c>
      <c r="FF238">
        <f t="shared" si="568"/>
        <v>72000</v>
      </c>
      <c r="FG238">
        <f t="shared" si="569"/>
        <v>632948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513"/>
        <v>0</v>
      </c>
      <c r="FP238">
        <f t="shared" si="570"/>
        <v>632948</v>
      </c>
      <c r="FQ238">
        <f t="shared" si="571"/>
        <v>12500</v>
      </c>
      <c r="FR238">
        <f t="shared" si="572"/>
        <v>26590</v>
      </c>
      <c r="FS238">
        <f t="shared" si="573"/>
        <v>39090</v>
      </c>
      <c r="FT238">
        <f t="shared" si="574"/>
        <v>39090</v>
      </c>
      <c r="FU238">
        <f t="shared" si="575"/>
        <v>1563.6000000000001</v>
      </c>
      <c r="FV238">
        <f t="shared" si="576"/>
        <v>40654</v>
      </c>
      <c r="FW238">
        <v>0</v>
      </c>
      <c r="FX238">
        <f t="shared" si="577"/>
        <v>40654</v>
      </c>
      <c r="FY238" t="b">
        <f t="shared" si="578"/>
        <v>1</v>
      </c>
      <c r="FZ238">
        <f t="shared" ca="1" si="579"/>
        <v>587</v>
      </c>
      <c r="GA238">
        <f t="shared" ca="1" si="580"/>
        <v>757935</v>
      </c>
      <c r="GB238">
        <f t="shared" si="581"/>
        <v>75000</v>
      </c>
      <c r="GC238">
        <f t="shared" ca="1" si="582"/>
        <v>682935</v>
      </c>
      <c r="GD238">
        <f t="shared" ca="1" si="583"/>
        <v>0</v>
      </c>
      <c r="GE238">
        <f t="shared" ca="1" si="584"/>
        <v>0</v>
      </c>
      <c r="GF238">
        <f t="shared" ca="1" si="585"/>
        <v>0</v>
      </c>
      <c r="GG238">
        <f t="shared" ca="1" si="586"/>
        <v>0</v>
      </c>
      <c r="GH238">
        <f t="shared" ca="1" si="587"/>
        <v>0</v>
      </c>
      <c r="GI238">
        <f t="shared" ca="1" si="588"/>
        <v>0</v>
      </c>
      <c r="GJ238">
        <f t="shared" ca="1" si="514"/>
        <v>0</v>
      </c>
      <c r="GK238">
        <f t="shared" ca="1" si="589"/>
        <v>0</v>
      </c>
      <c r="GL238">
        <f t="shared" ca="1" si="590"/>
        <v>0</v>
      </c>
      <c r="GM238">
        <f t="shared" ca="1" si="591"/>
        <v>0</v>
      </c>
      <c r="GN238">
        <f t="shared" ca="1" si="592"/>
        <v>282935</v>
      </c>
      <c r="GO238">
        <f t="shared" ca="1" si="593"/>
        <v>14146.75</v>
      </c>
      <c r="GP238">
        <f t="shared" ca="1" si="594"/>
        <v>14147</v>
      </c>
      <c r="GQ238">
        <f t="shared" ca="1" si="595"/>
        <v>0</v>
      </c>
      <c r="GR238">
        <f t="shared" ca="1" si="596"/>
        <v>0</v>
      </c>
      <c r="GS238">
        <f t="shared" ca="1" si="597"/>
        <v>14147</v>
      </c>
      <c r="GT238">
        <f t="shared" ca="1" si="598"/>
        <v>0</v>
      </c>
      <c r="GU238" t="b">
        <f t="shared" ca="1" si="599"/>
        <v>0</v>
      </c>
      <c r="GV238">
        <f t="shared" ca="1" si="600"/>
        <v>0</v>
      </c>
      <c r="GW238">
        <f t="shared" ca="1" si="601"/>
        <v>14147</v>
      </c>
      <c r="GX238">
        <f t="shared" ca="1" si="602"/>
        <v>0</v>
      </c>
      <c r="GY238">
        <f t="shared" ca="1" si="603"/>
        <v>0</v>
      </c>
      <c r="GZ238">
        <f t="shared" ca="1" si="604"/>
        <v>0</v>
      </c>
    </row>
    <row r="239" spans="1:208" x14ac:dyDescent="0.3">
      <c r="A239">
        <f>_xlfn.AGGREGATE(3,5,$B$2:B239)</f>
        <v>238</v>
      </c>
      <c r="B239" t="s">
        <v>581</v>
      </c>
      <c r="C239" t="s">
        <v>582</v>
      </c>
      <c r="D239" t="s">
        <v>810</v>
      </c>
      <c r="E239" t="s">
        <v>830</v>
      </c>
      <c r="F239" t="s">
        <v>956</v>
      </c>
      <c r="G239" t="s">
        <v>923</v>
      </c>
      <c r="H239">
        <f t="shared" si="607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521"/>
        <v>4690</v>
      </c>
      <c r="L239">
        <f t="shared" si="522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499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605"/>
        <v>200</v>
      </c>
      <c r="S239">
        <f t="shared" si="515"/>
        <v>40010</v>
      </c>
      <c r="T239">
        <f>_xlfn.XLOOKUP(B239,'[2]april-2025'!$A:$A,'[2]april-2025'!$C:$C,0,0)</f>
        <v>33500</v>
      </c>
      <c r="U239">
        <f t="shared" si="523"/>
        <v>6030</v>
      </c>
      <c r="V239">
        <f t="shared" si="524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516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525"/>
        <v>200</v>
      </c>
      <c r="AC239">
        <f t="shared" si="526"/>
        <v>41350</v>
      </c>
      <c r="AD239">
        <f>_xlfn.XLOOKUP(B239,'[3]may-2025'!$A:$A,'[3]may-2025'!$C:$C,0,0)</f>
        <v>33500</v>
      </c>
      <c r="AE239">
        <f t="shared" si="527"/>
        <v>6030</v>
      </c>
      <c r="AF239">
        <f t="shared" si="528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517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529"/>
        <v>200</v>
      </c>
      <c r="AM239">
        <f t="shared" si="530"/>
        <v>41350</v>
      </c>
      <c r="AN239">
        <f>_xlfn.XLOOKUP(B239,'[4]june-2025'!$A:$A,'[4]june-2025'!$C:$C,0,0)</f>
        <v>33500</v>
      </c>
      <c r="AO239">
        <f t="shared" si="531"/>
        <v>6030</v>
      </c>
      <c r="AP239">
        <f t="shared" si="532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518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533"/>
        <v>200</v>
      </c>
      <c r="AW239">
        <f t="shared" si="534"/>
        <v>41350</v>
      </c>
      <c r="AX239">
        <f>_xlfn.XLOOKUP(B239,'[5]july-2025'!$A:$A,'[5]july-2025'!$C:$C,0,0)</f>
        <v>34500</v>
      </c>
      <c r="AY239">
        <f t="shared" si="535"/>
        <v>6210</v>
      </c>
      <c r="AZ239">
        <v>0</v>
      </c>
      <c r="BA239">
        <f t="shared" si="536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500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537"/>
        <v>200</v>
      </c>
      <c r="BH239">
        <f t="shared" si="538"/>
        <v>42650</v>
      </c>
      <c r="BI239">
        <f>_xlfn.XLOOKUP(B239,'[6]august-2025'!$A:$A,'[6]august-2025'!$C:$C,0,0)</f>
        <v>34500</v>
      </c>
      <c r="BJ239">
        <f t="shared" si="539"/>
        <v>6210</v>
      </c>
      <c r="BK239">
        <f t="shared" si="540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541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501"/>
        <v>200</v>
      </c>
      <c r="BR239">
        <f t="shared" si="502"/>
        <v>42650</v>
      </c>
      <c r="BS239">
        <f>_xlfn.XLOOKUP(B239,'[7]september-2025'!$A:$A,'[7]september-2025'!$C:$C,0,0)</f>
        <v>34500</v>
      </c>
      <c r="BT239">
        <f t="shared" si="542"/>
        <v>6210</v>
      </c>
      <c r="BU239">
        <f t="shared" si="543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503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544"/>
        <v>200</v>
      </c>
      <c r="CB239">
        <f t="shared" si="545"/>
        <v>42650</v>
      </c>
      <c r="CC239">
        <f>_xlfn.XLOOKUP(B239,'[8]october-2025'!$A:$A,'[8]october-2025'!$C:$C,0,0)</f>
        <v>34500</v>
      </c>
      <c r="CD239">
        <f t="shared" si="546"/>
        <v>6210</v>
      </c>
      <c r="CE239">
        <f t="shared" si="547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504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548"/>
        <v>200</v>
      </c>
      <c r="CL239">
        <f t="shared" si="549"/>
        <v>42650</v>
      </c>
      <c r="CM239">
        <f>_xlfn.XLOOKUP(B239,'[9]november-2025'!$A:$A,'[9]november-2025'!$C:$C,0,0)</f>
        <v>34500</v>
      </c>
      <c r="CN239">
        <f t="shared" si="550"/>
        <v>6210</v>
      </c>
      <c r="CO239">
        <f t="shared" si="551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505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552"/>
        <v>200</v>
      </c>
      <c r="CV239">
        <f t="shared" si="553"/>
        <v>42650</v>
      </c>
      <c r="CW239">
        <f>_xlfn.XLOOKUP(B239,'[10]december-2025'!$A:$A,'[10]december-2025'!$C:$C,0,0)</f>
        <v>34500</v>
      </c>
      <c r="CX239">
        <f t="shared" si="554"/>
        <v>6210</v>
      </c>
      <c r="CY239">
        <f t="shared" si="555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506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556"/>
        <v>200</v>
      </c>
      <c r="DF239">
        <f t="shared" si="557"/>
        <v>42650</v>
      </c>
      <c r="DG239">
        <f>_xlfn.XLOOKUP(B239,'[11]january-2026'!$A:$A,'[11]january-2026'!$C:$C,0,0)</f>
        <v>34500</v>
      </c>
      <c r="DH239">
        <f t="shared" si="558"/>
        <v>6210</v>
      </c>
      <c r="DI239">
        <f t="shared" si="559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07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60"/>
        <v>200</v>
      </c>
      <c r="DP239">
        <f t="shared" si="561"/>
        <v>42650</v>
      </c>
      <c r="DQ239">
        <f>_xlfn.XLOOKUP(B239,'[12]february-2026'!$A:$A,'[12]february-2026'!$C:$C,0,0)</f>
        <v>34500</v>
      </c>
      <c r="DR239">
        <f t="shared" si="562"/>
        <v>6210</v>
      </c>
      <c r="DS239">
        <f t="shared" si="563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08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64"/>
        <v>200</v>
      </c>
      <c r="DZ239">
        <f t="shared" si="565"/>
        <v>42650</v>
      </c>
      <c r="EA239">
        <f>_xlfn.XLOOKUP(B239,'[1]march-2025'!$A:$A,'[1]march-2025'!$J:$J,0,0)</f>
        <v>0</v>
      </c>
      <c r="EB239">
        <f>_xlfn.XLOOKUP(B239,'[2]april-2025'!$A:$A,'[2]april-2025'!$J:$J,0,0)</f>
        <v>0</v>
      </c>
      <c r="EC239">
        <f>_xlfn.XLOOKUP(B239,'[3]may-2025'!$A:$A,'[3]may-2025'!$J:$J,0,0)</f>
        <v>0</v>
      </c>
      <c r="ED239">
        <f>_xlfn.XLOOKUP(B239,'[4]june-2025'!$A:$A,'[4]june-2025'!$J:$J,0,0)</f>
        <v>0</v>
      </c>
      <c r="EE239">
        <f>_xlfn.XLOOKUP(B239,'[5]july-2025'!$A:$A,'[5]july-2025'!$J:$J,0,0)</f>
        <v>0</v>
      </c>
      <c r="EF239">
        <f>_xlfn.XLOOKUP(B239,'[6]august-2025'!$A:$A,'[6]august-2025'!$J:$J,0,0)</f>
        <v>0</v>
      </c>
      <c r="EG239">
        <f>_xlfn.XLOOKUP(B239,'[7]september-2025'!$A:$A,'[7]september-2025'!$J:$J,0,0)</f>
        <v>0</v>
      </c>
      <c r="EH239">
        <f>_xlfn.XLOOKUP(B239,'[8]october-2025'!$A:$A,'[8]october-2025'!$J:$J,0,0)</f>
        <v>0</v>
      </c>
      <c r="EI239">
        <f>_xlfn.XLOOKUP(C239,'[9]november-2025'!$A:$A,'[9]november-2025'!$J:$J,0,0)</f>
        <v>0</v>
      </c>
      <c r="EJ239">
        <f>_xlfn.XLOOKUP(B239,'[10]december-2025'!$A:$A,'[10]december-2025'!$J:$J,0,0)</f>
        <v>0</v>
      </c>
      <c r="EK239">
        <f>_xlfn.XLOOKUP(B239,'[11]january-2026'!$A:$A,'[11]january-2026'!$J:$J,0,0)</f>
        <v>0</v>
      </c>
      <c r="EL239">
        <f>_xlfn.XLOOKUP(B239,'[12]february-2026'!$A:$A,'[12]february-2026'!$J:$J,0,0)</f>
        <v>0</v>
      </c>
      <c r="EM239">
        <f t="shared" si="519"/>
        <v>0</v>
      </c>
      <c r="EN239">
        <f t="shared" si="509"/>
        <v>544460</v>
      </c>
      <c r="EO239">
        <f t="shared" si="510"/>
        <v>2400</v>
      </c>
      <c r="EP239">
        <f t="shared" si="566"/>
        <v>50000</v>
      </c>
      <c r="EQ239">
        <v>0</v>
      </c>
      <c r="ER239">
        <f t="shared" si="520"/>
        <v>492060</v>
      </c>
      <c r="ES239">
        <f t="shared" si="511"/>
        <v>30000</v>
      </c>
      <c r="ET239">
        <f t="shared" si="512"/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567"/>
        <v>30000</v>
      </c>
      <c r="FF239">
        <f t="shared" si="568"/>
        <v>30000</v>
      </c>
      <c r="FG239">
        <f t="shared" si="569"/>
        <v>462060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513"/>
        <v>0</v>
      </c>
      <c r="FP239">
        <f t="shared" si="570"/>
        <v>462060</v>
      </c>
      <c r="FQ239">
        <f t="shared" si="571"/>
        <v>10603</v>
      </c>
      <c r="FR239">
        <f t="shared" si="572"/>
        <v>0</v>
      </c>
      <c r="FS239">
        <f t="shared" si="573"/>
        <v>10603</v>
      </c>
      <c r="FT239">
        <f t="shared" si="574"/>
        <v>0</v>
      </c>
      <c r="FU239">
        <f t="shared" si="575"/>
        <v>0</v>
      </c>
      <c r="FV239">
        <f t="shared" si="576"/>
        <v>0</v>
      </c>
      <c r="FW239">
        <v>0</v>
      </c>
      <c r="FX239">
        <f t="shared" si="577"/>
        <v>0</v>
      </c>
      <c r="FY239" t="b">
        <f t="shared" si="578"/>
        <v>1</v>
      </c>
      <c r="FZ239">
        <f t="shared" ca="1" si="579"/>
        <v>851</v>
      </c>
      <c r="GA239">
        <f t="shared" ca="1" si="580"/>
        <v>545311</v>
      </c>
      <c r="GB239">
        <f t="shared" si="581"/>
        <v>75000</v>
      </c>
      <c r="GC239">
        <f t="shared" ca="1" si="582"/>
        <v>470311</v>
      </c>
      <c r="GD239">
        <f t="shared" ca="1" si="583"/>
        <v>0</v>
      </c>
      <c r="GE239">
        <f t="shared" ca="1" si="584"/>
        <v>0</v>
      </c>
      <c r="GF239">
        <f t="shared" ca="1" si="585"/>
        <v>0</v>
      </c>
      <c r="GG239">
        <f t="shared" ca="1" si="586"/>
        <v>0</v>
      </c>
      <c r="GH239">
        <f t="shared" ca="1" si="587"/>
        <v>0</v>
      </c>
      <c r="GI239">
        <f t="shared" ca="1" si="588"/>
        <v>0</v>
      </c>
      <c r="GJ239">
        <f t="shared" ca="1" si="514"/>
        <v>0</v>
      </c>
      <c r="GK239">
        <f t="shared" ca="1" si="589"/>
        <v>0</v>
      </c>
      <c r="GL239">
        <f t="shared" ca="1" si="590"/>
        <v>0</v>
      </c>
      <c r="GM239">
        <f t="shared" ca="1" si="591"/>
        <v>0</v>
      </c>
      <c r="GN239">
        <f t="shared" ca="1" si="592"/>
        <v>70311</v>
      </c>
      <c r="GO239">
        <f t="shared" ca="1" si="593"/>
        <v>3515.55</v>
      </c>
      <c r="GP239">
        <f t="shared" ca="1" si="594"/>
        <v>3516</v>
      </c>
      <c r="GQ239">
        <f t="shared" ca="1" si="595"/>
        <v>0</v>
      </c>
      <c r="GR239">
        <f t="shared" ca="1" si="596"/>
        <v>0</v>
      </c>
      <c r="GS239">
        <f t="shared" ca="1" si="597"/>
        <v>3516</v>
      </c>
      <c r="GT239">
        <f t="shared" ca="1" si="598"/>
        <v>0</v>
      </c>
      <c r="GU239" t="b">
        <f t="shared" ca="1" si="599"/>
        <v>0</v>
      </c>
      <c r="GV239">
        <f t="shared" ca="1" si="600"/>
        <v>0</v>
      </c>
      <c r="GW239">
        <f t="shared" ca="1" si="601"/>
        <v>3516</v>
      </c>
      <c r="GX239">
        <f t="shared" ca="1" si="602"/>
        <v>0</v>
      </c>
      <c r="GY239">
        <f t="shared" ca="1" si="603"/>
        <v>0</v>
      </c>
      <c r="GZ239">
        <f t="shared" ca="1" si="604"/>
        <v>0</v>
      </c>
    </row>
    <row r="240" spans="1:208" x14ac:dyDescent="0.3">
      <c r="A240">
        <f>_xlfn.AGGREGATE(3,5,$B$2:B240)</f>
        <v>239</v>
      </c>
      <c r="B240" t="s">
        <v>583</v>
      </c>
      <c r="C240" t="s">
        <v>584</v>
      </c>
      <c r="D240" t="s">
        <v>810</v>
      </c>
      <c r="E240" t="s">
        <v>830</v>
      </c>
      <c r="F240" t="s">
        <v>956</v>
      </c>
      <c r="G240" t="s">
        <v>923</v>
      </c>
      <c r="H240">
        <f t="shared" si="607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521"/>
        <v>4690</v>
      </c>
      <c r="L240">
        <f t="shared" si="522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499"/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605"/>
        <v>200</v>
      </c>
      <c r="S240">
        <f t="shared" si="515"/>
        <v>40010</v>
      </c>
      <c r="T240">
        <f>_xlfn.XLOOKUP(B240,'[2]april-2025'!$A:$A,'[2]april-2025'!$C:$C,0,0)</f>
        <v>33500</v>
      </c>
      <c r="U240">
        <f t="shared" si="523"/>
        <v>6030</v>
      </c>
      <c r="V240">
        <f t="shared" si="524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516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525"/>
        <v>200</v>
      </c>
      <c r="AC240">
        <f t="shared" si="526"/>
        <v>41350</v>
      </c>
      <c r="AD240">
        <f>_xlfn.XLOOKUP(B240,'[3]may-2025'!$A:$A,'[3]may-2025'!$C:$C,0,0)</f>
        <v>33500</v>
      </c>
      <c r="AE240">
        <f t="shared" si="527"/>
        <v>6030</v>
      </c>
      <c r="AF240">
        <f t="shared" si="528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517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529"/>
        <v>200</v>
      </c>
      <c r="AM240">
        <f t="shared" si="530"/>
        <v>41350</v>
      </c>
      <c r="AN240">
        <f>_xlfn.XLOOKUP(B240,'[4]june-2025'!$A:$A,'[4]june-2025'!$C:$C,0,0)</f>
        <v>33500</v>
      </c>
      <c r="AO240">
        <f t="shared" si="531"/>
        <v>6030</v>
      </c>
      <c r="AP240">
        <f t="shared" si="532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518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533"/>
        <v>200</v>
      </c>
      <c r="AW240">
        <f t="shared" si="534"/>
        <v>41350</v>
      </c>
      <c r="AX240">
        <f>_xlfn.XLOOKUP(B240,'[5]july-2025'!$A:$A,'[5]july-2025'!$C:$C,0,0)</f>
        <v>34500</v>
      </c>
      <c r="AY240">
        <f t="shared" si="535"/>
        <v>6210</v>
      </c>
      <c r="AZ240">
        <v>0</v>
      </c>
      <c r="BA240">
        <f t="shared" si="536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500"/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537"/>
        <v>200</v>
      </c>
      <c r="BH240">
        <f t="shared" si="538"/>
        <v>42650</v>
      </c>
      <c r="BI240">
        <f>_xlfn.XLOOKUP(B240,'[6]august-2025'!$A:$A,'[6]august-2025'!$C:$C,0,0)</f>
        <v>34500</v>
      </c>
      <c r="BJ240">
        <f t="shared" si="539"/>
        <v>6210</v>
      </c>
      <c r="BK240">
        <f t="shared" si="540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541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 t="shared" si="501"/>
        <v>200</v>
      </c>
      <c r="BR240">
        <f t="shared" si="502"/>
        <v>42650</v>
      </c>
      <c r="BS240">
        <f>_xlfn.XLOOKUP(B240,'[7]september-2025'!$A:$A,'[7]september-2025'!$C:$C,0,0)</f>
        <v>34500</v>
      </c>
      <c r="BT240">
        <f t="shared" si="542"/>
        <v>6210</v>
      </c>
      <c r="BU240">
        <f t="shared" si="543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503"/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544"/>
        <v>200</v>
      </c>
      <c r="CB240">
        <f t="shared" si="545"/>
        <v>42650</v>
      </c>
      <c r="CC240">
        <f>_xlfn.XLOOKUP(B240,'[8]october-2025'!$A:$A,'[8]october-2025'!$C:$C,0,0)</f>
        <v>34500</v>
      </c>
      <c r="CD240">
        <f t="shared" si="546"/>
        <v>6210</v>
      </c>
      <c r="CE240">
        <f t="shared" si="547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504"/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548"/>
        <v>200</v>
      </c>
      <c r="CL240">
        <f t="shared" si="549"/>
        <v>42650</v>
      </c>
      <c r="CM240">
        <f>_xlfn.XLOOKUP(B240,'[9]november-2025'!$A:$A,'[9]november-2025'!$C:$C,0,0)</f>
        <v>34500</v>
      </c>
      <c r="CN240">
        <f t="shared" si="550"/>
        <v>6210</v>
      </c>
      <c r="CO240">
        <f t="shared" si="551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505"/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552"/>
        <v>200</v>
      </c>
      <c r="CV240">
        <f t="shared" si="553"/>
        <v>42650</v>
      </c>
      <c r="CW240">
        <f>_xlfn.XLOOKUP(B240,'[10]december-2025'!$A:$A,'[10]december-2025'!$C:$C,0,0)</f>
        <v>34500</v>
      </c>
      <c r="CX240">
        <f t="shared" si="554"/>
        <v>6210</v>
      </c>
      <c r="CY240">
        <f t="shared" si="555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506"/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556"/>
        <v>200</v>
      </c>
      <c r="DF240">
        <f t="shared" si="557"/>
        <v>42650</v>
      </c>
      <c r="DG240">
        <f>_xlfn.XLOOKUP(B240,'[11]january-2026'!$A:$A,'[11]january-2026'!$C:$C,0,0)</f>
        <v>34500</v>
      </c>
      <c r="DH240">
        <f t="shared" si="558"/>
        <v>6210</v>
      </c>
      <c r="DI240">
        <f t="shared" si="559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07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60"/>
        <v>200</v>
      </c>
      <c r="DP240">
        <f t="shared" si="561"/>
        <v>42650</v>
      </c>
      <c r="DQ240">
        <f>_xlfn.XLOOKUP(B240,'[12]february-2026'!$A:$A,'[12]february-2026'!$C:$C,0,0)</f>
        <v>34500</v>
      </c>
      <c r="DR240">
        <f t="shared" si="562"/>
        <v>6210</v>
      </c>
      <c r="DS240">
        <f t="shared" si="563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08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64"/>
        <v>200</v>
      </c>
      <c r="DZ240">
        <f t="shared" si="565"/>
        <v>42650</v>
      </c>
      <c r="EA240">
        <f>_xlfn.XLOOKUP(B240,'[1]march-2025'!$A:$A,'[1]march-2025'!$J:$J,0,0)</f>
        <v>0</v>
      </c>
      <c r="EB240">
        <f>_xlfn.XLOOKUP(B240,'[2]april-2025'!$A:$A,'[2]april-2025'!$J:$J,0,0)</f>
        <v>0</v>
      </c>
      <c r="EC240">
        <f>_xlfn.XLOOKUP(B240,'[3]may-2025'!$A:$A,'[3]may-2025'!$J:$J,0,0)</f>
        <v>0</v>
      </c>
      <c r="ED240">
        <f>_xlfn.XLOOKUP(B240,'[4]june-2025'!$A:$A,'[4]june-2025'!$J:$J,0,0)</f>
        <v>0</v>
      </c>
      <c r="EE240">
        <f>_xlfn.XLOOKUP(B240,'[5]july-2025'!$A:$A,'[5]july-2025'!$J:$J,0,0)</f>
        <v>0</v>
      </c>
      <c r="EF240">
        <f>_xlfn.XLOOKUP(B240,'[6]august-2025'!$A:$A,'[6]august-2025'!$J:$J,0,0)</f>
        <v>0</v>
      </c>
      <c r="EG240">
        <f>_xlfn.XLOOKUP(B240,'[7]september-2025'!$A:$A,'[7]september-2025'!$J:$J,0,0)</f>
        <v>0</v>
      </c>
      <c r="EH240">
        <f>_xlfn.XLOOKUP(B240,'[8]october-2025'!$A:$A,'[8]october-2025'!$J:$J,0,0)</f>
        <v>0</v>
      </c>
      <c r="EI240">
        <f>_xlfn.XLOOKUP(C240,'[9]november-2025'!$A:$A,'[9]november-2025'!$J:$J,0,0)</f>
        <v>0</v>
      </c>
      <c r="EJ240">
        <f>_xlfn.XLOOKUP(B240,'[10]december-2025'!$A:$A,'[10]december-2025'!$J:$J,0,0)</f>
        <v>0</v>
      </c>
      <c r="EK240">
        <f>_xlfn.XLOOKUP(B240,'[11]january-2026'!$A:$A,'[11]january-2026'!$J:$J,0,0)</f>
        <v>0</v>
      </c>
      <c r="EL240">
        <f>_xlfn.XLOOKUP(B240,'[12]february-2026'!$A:$A,'[12]february-2026'!$J:$J,0,0)</f>
        <v>0</v>
      </c>
      <c r="EM240">
        <f t="shared" si="519"/>
        <v>0</v>
      </c>
      <c r="EN240">
        <f t="shared" si="509"/>
        <v>544460</v>
      </c>
      <c r="EO240">
        <f t="shared" si="510"/>
        <v>2400</v>
      </c>
      <c r="EP240">
        <f t="shared" si="566"/>
        <v>50000</v>
      </c>
      <c r="EQ240">
        <v>0</v>
      </c>
      <c r="ER240">
        <f t="shared" si="520"/>
        <v>492060</v>
      </c>
      <c r="ES240">
        <f t="shared" si="511"/>
        <v>30000</v>
      </c>
      <c r="ET240">
        <f t="shared" si="512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567"/>
        <v>30000</v>
      </c>
      <c r="FF240">
        <f t="shared" si="568"/>
        <v>30000</v>
      </c>
      <c r="FG240">
        <f t="shared" si="569"/>
        <v>462060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513"/>
        <v>0</v>
      </c>
      <c r="FP240">
        <f t="shared" si="570"/>
        <v>462060</v>
      </c>
      <c r="FQ240">
        <f t="shared" si="571"/>
        <v>10603</v>
      </c>
      <c r="FR240">
        <f t="shared" si="572"/>
        <v>0</v>
      </c>
      <c r="FS240">
        <f t="shared" si="573"/>
        <v>10603</v>
      </c>
      <c r="FT240">
        <f t="shared" si="574"/>
        <v>0</v>
      </c>
      <c r="FU240">
        <f t="shared" si="575"/>
        <v>0</v>
      </c>
      <c r="FV240">
        <f t="shared" si="576"/>
        <v>0</v>
      </c>
      <c r="FW240">
        <v>0</v>
      </c>
      <c r="FX240">
        <f t="shared" si="577"/>
        <v>0</v>
      </c>
      <c r="FY240" t="b">
        <f t="shared" si="578"/>
        <v>1</v>
      </c>
      <c r="FZ240">
        <f t="shared" ca="1" si="579"/>
        <v>800</v>
      </c>
      <c r="GA240">
        <f t="shared" ca="1" si="580"/>
        <v>545260</v>
      </c>
      <c r="GB240">
        <f t="shared" si="581"/>
        <v>75000</v>
      </c>
      <c r="GC240">
        <f t="shared" ca="1" si="582"/>
        <v>470260</v>
      </c>
      <c r="GD240">
        <f t="shared" ca="1" si="583"/>
        <v>0</v>
      </c>
      <c r="GE240">
        <f t="shared" ca="1" si="584"/>
        <v>0</v>
      </c>
      <c r="GF240">
        <f t="shared" ca="1" si="585"/>
        <v>0</v>
      </c>
      <c r="GG240">
        <f t="shared" ca="1" si="586"/>
        <v>0</v>
      </c>
      <c r="GH240">
        <f t="shared" ca="1" si="587"/>
        <v>0</v>
      </c>
      <c r="GI240">
        <f t="shared" ca="1" si="588"/>
        <v>0</v>
      </c>
      <c r="GJ240">
        <f t="shared" ca="1" si="514"/>
        <v>0</v>
      </c>
      <c r="GK240">
        <f t="shared" ca="1" si="589"/>
        <v>0</v>
      </c>
      <c r="GL240">
        <f t="shared" ca="1" si="590"/>
        <v>0</v>
      </c>
      <c r="GM240">
        <f t="shared" ca="1" si="591"/>
        <v>0</v>
      </c>
      <c r="GN240">
        <f t="shared" ca="1" si="592"/>
        <v>70260</v>
      </c>
      <c r="GO240">
        <f t="shared" ca="1" si="593"/>
        <v>3513</v>
      </c>
      <c r="GP240">
        <f t="shared" ca="1" si="594"/>
        <v>3513</v>
      </c>
      <c r="GQ240">
        <f t="shared" ca="1" si="595"/>
        <v>0</v>
      </c>
      <c r="GR240">
        <f t="shared" ca="1" si="596"/>
        <v>0</v>
      </c>
      <c r="GS240">
        <f t="shared" ca="1" si="597"/>
        <v>3513</v>
      </c>
      <c r="GT240">
        <f t="shared" ca="1" si="598"/>
        <v>0</v>
      </c>
      <c r="GU240" t="b">
        <f t="shared" ca="1" si="599"/>
        <v>0</v>
      </c>
      <c r="GV240">
        <f t="shared" ca="1" si="600"/>
        <v>0</v>
      </c>
      <c r="GW240">
        <f t="shared" ca="1" si="601"/>
        <v>3513</v>
      </c>
      <c r="GX240">
        <f t="shared" ca="1" si="602"/>
        <v>0</v>
      </c>
      <c r="GY240">
        <f t="shared" ca="1" si="603"/>
        <v>0</v>
      </c>
      <c r="GZ240">
        <f t="shared" ca="1" si="604"/>
        <v>0</v>
      </c>
    </row>
    <row r="241" spans="1:208" x14ac:dyDescent="0.3">
      <c r="A241">
        <f>_xlfn.AGGREGATE(3,5,$B$2:B241)</f>
        <v>240</v>
      </c>
      <c r="B241" t="s">
        <v>585</v>
      </c>
      <c r="C241" t="s">
        <v>586</v>
      </c>
      <c r="D241" t="s">
        <v>810</v>
      </c>
      <c r="E241" t="s">
        <v>830</v>
      </c>
      <c r="F241" t="s">
        <v>956</v>
      </c>
      <c r="G241" t="s">
        <v>887</v>
      </c>
      <c r="H241">
        <f t="shared" si="607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521"/>
        <v>5278.0000000000009</v>
      </c>
      <c r="L241">
        <f t="shared" si="522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499"/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605"/>
        <v>200</v>
      </c>
      <c r="S241">
        <f t="shared" si="515"/>
        <v>44802</v>
      </c>
      <c r="T241">
        <f>_xlfn.XLOOKUP(B241,'[2]april-2025'!$A:$A,'[2]april-2025'!$C:$C,0,0)</f>
        <v>37700</v>
      </c>
      <c r="U241">
        <f t="shared" si="523"/>
        <v>6786</v>
      </c>
      <c r="V241">
        <f t="shared" si="524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516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525"/>
        <v>200</v>
      </c>
      <c r="AC241">
        <f t="shared" si="526"/>
        <v>46310</v>
      </c>
      <c r="AD241">
        <f>_xlfn.XLOOKUP(B241,'[3]may-2025'!$A:$A,'[3]may-2025'!$C:$C,0,0)</f>
        <v>37700</v>
      </c>
      <c r="AE241">
        <f t="shared" si="527"/>
        <v>6786</v>
      </c>
      <c r="AF241">
        <f t="shared" si="528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517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529"/>
        <v>200</v>
      </c>
      <c r="AM241">
        <f t="shared" si="530"/>
        <v>46310</v>
      </c>
      <c r="AN241">
        <f>_xlfn.XLOOKUP(B241,'[4]june-2025'!$A:$A,'[4]june-2025'!$C:$C,0,0)</f>
        <v>37700</v>
      </c>
      <c r="AO241">
        <f t="shared" si="531"/>
        <v>6786</v>
      </c>
      <c r="AP241">
        <f t="shared" si="532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518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533"/>
        <v>200</v>
      </c>
      <c r="AW241">
        <f t="shared" si="534"/>
        <v>46310</v>
      </c>
      <c r="AX241">
        <f>_xlfn.XLOOKUP(B241,'[5]july-2025'!$A:$A,'[5]july-2025'!$C:$C,0,0)</f>
        <v>38800</v>
      </c>
      <c r="AY241">
        <f t="shared" si="535"/>
        <v>6984</v>
      </c>
      <c r="AZ241">
        <v>0</v>
      </c>
      <c r="BA241">
        <f t="shared" si="536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500"/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537"/>
        <v>200</v>
      </c>
      <c r="BH241">
        <f t="shared" si="538"/>
        <v>47740</v>
      </c>
      <c r="BI241">
        <f>_xlfn.XLOOKUP(B241,'[6]august-2025'!$A:$A,'[6]august-2025'!$C:$C,0,0)</f>
        <v>38800</v>
      </c>
      <c r="BJ241">
        <f t="shared" si="539"/>
        <v>6984</v>
      </c>
      <c r="BK241">
        <f t="shared" si="540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541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 t="shared" si="501"/>
        <v>200</v>
      </c>
      <c r="BR241">
        <f t="shared" si="502"/>
        <v>47740</v>
      </c>
      <c r="BS241">
        <f>_xlfn.XLOOKUP(B241,'[7]september-2025'!$A:$A,'[7]september-2025'!$C:$C,0,0)</f>
        <v>38800</v>
      </c>
      <c r="BT241">
        <f t="shared" si="542"/>
        <v>6984</v>
      </c>
      <c r="BU241">
        <f t="shared" si="543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503"/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544"/>
        <v>200</v>
      </c>
      <c r="CB241">
        <f t="shared" si="545"/>
        <v>47740</v>
      </c>
      <c r="CC241">
        <f>_xlfn.XLOOKUP(B241,'[8]october-2025'!$A:$A,'[8]october-2025'!$C:$C,0,0)</f>
        <v>38800</v>
      </c>
      <c r="CD241">
        <f t="shared" si="546"/>
        <v>6984</v>
      </c>
      <c r="CE241">
        <f t="shared" si="547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504"/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548"/>
        <v>200</v>
      </c>
      <c r="CL241">
        <f t="shared" si="549"/>
        <v>47740</v>
      </c>
      <c r="CM241">
        <f>_xlfn.XLOOKUP(B241,'[9]november-2025'!$A:$A,'[9]november-2025'!$C:$C,0,0)</f>
        <v>38800</v>
      </c>
      <c r="CN241">
        <f t="shared" si="550"/>
        <v>6984</v>
      </c>
      <c r="CO241">
        <f t="shared" si="551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505"/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552"/>
        <v>200</v>
      </c>
      <c r="CV241">
        <f t="shared" si="553"/>
        <v>47740</v>
      </c>
      <c r="CW241">
        <f>_xlfn.XLOOKUP(B241,'[10]december-2025'!$A:$A,'[10]december-2025'!$C:$C,0,0)</f>
        <v>38800</v>
      </c>
      <c r="CX241">
        <f t="shared" si="554"/>
        <v>6984</v>
      </c>
      <c r="CY241">
        <f t="shared" si="555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506"/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556"/>
        <v>200</v>
      </c>
      <c r="DF241">
        <f t="shared" si="557"/>
        <v>47740</v>
      </c>
      <c r="DG241">
        <f>_xlfn.XLOOKUP(B241,'[11]january-2026'!$A:$A,'[11]january-2026'!$C:$C,0,0)</f>
        <v>38800</v>
      </c>
      <c r="DH241">
        <f t="shared" si="558"/>
        <v>6984</v>
      </c>
      <c r="DI241">
        <f t="shared" si="559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07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60"/>
        <v>200</v>
      </c>
      <c r="DP241">
        <f t="shared" si="561"/>
        <v>47740</v>
      </c>
      <c r="DQ241">
        <f>_xlfn.XLOOKUP(B241,'[12]february-2026'!$A:$A,'[12]february-2026'!$C:$C,0,0)</f>
        <v>38800</v>
      </c>
      <c r="DR241">
        <f t="shared" si="562"/>
        <v>6984</v>
      </c>
      <c r="DS241">
        <f t="shared" si="563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08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64"/>
        <v>200</v>
      </c>
      <c r="DZ241">
        <f t="shared" si="565"/>
        <v>47740</v>
      </c>
      <c r="EA241">
        <f>_xlfn.XLOOKUP(B241,'[1]march-2025'!$A:$A,'[1]march-2025'!$J:$J,0,0)</f>
        <v>0</v>
      </c>
      <c r="EB241">
        <f>_xlfn.XLOOKUP(B241,'[2]april-2025'!$A:$A,'[2]april-2025'!$J:$J,0,0)</f>
        <v>0</v>
      </c>
      <c r="EC241">
        <f>_xlfn.XLOOKUP(B241,'[3]may-2025'!$A:$A,'[3]may-2025'!$J:$J,0,0)</f>
        <v>0</v>
      </c>
      <c r="ED241">
        <f>_xlfn.XLOOKUP(B241,'[4]june-2025'!$A:$A,'[4]june-2025'!$J:$J,0,0)</f>
        <v>0</v>
      </c>
      <c r="EE241">
        <f>_xlfn.XLOOKUP(B241,'[5]july-2025'!$A:$A,'[5]july-2025'!$J:$J,0,0)</f>
        <v>0</v>
      </c>
      <c r="EF241">
        <f>_xlfn.XLOOKUP(B241,'[6]august-2025'!$A:$A,'[6]august-2025'!$J:$J,0,0)</f>
        <v>0</v>
      </c>
      <c r="EG241">
        <f>_xlfn.XLOOKUP(B241,'[7]september-2025'!$A:$A,'[7]september-2025'!$J:$J,0,0)</f>
        <v>0</v>
      </c>
      <c r="EH241">
        <f>_xlfn.XLOOKUP(B241,'[8]october-2025'!$A:$A,'[8]october-2025'!$J:$J,0,0)</f>
        <v>0</v>
      </c>
      <c r="EI241">
        <f>_xlfn.XLOOKUP(C241,'[9]november-2025'!$A:$A,'[9]november-2025'!$J:$J,0,0)</f>
        <v>0</v>
      </c>
      <c r="EJ241">
        <f>_xlfn.XLOOKUP(B241,'[10]december-2025'!$A:$A,'[10]december-2025'!$J:$J,0,0)</f>
        <v>0</v>
      </c>
      <c r="EK241">
        <f>_xlfn.XLOOKUP(B241,'[11]january-2026'!$A:$A,'[11]january-2026'!$J:$J,0,0)</f>
        <v>0</v>
      </c>
      <c r="EL241">
        <f>_xlfn.XLOOKUP(B241,'[12]february-2026'!$A:$A,'[12]february-2026'!$J:$J,0,0)</f>
        <v>0</v>
      </c>
      <c r="EM241">
        <f t="shared" si="519"/>
        <v>0</v>
      </c>
      <c r="EN241">
        <f t="shared" si="509"/>
        <v>610852</v>
      </c>
      <c r="EO241">
        <f t="shared" si="510"/>
        <v>2400</v>
      </c>
      <c r="EP241">
        <f t="shared" si="566"/>
        <v>50000</v>
      </c>
      <c r="EQ241">
        <v>0</v>
      </c>
      <c r="ER241">
        <f t="shared" si="520"/>
        <v>558452</v>
      </c>
      <c r="ES241">
        <f t="shared" si="511"/>
        <v>36000</v>
      </c>
      <c r="ET241">
        <f t="shared" si="512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567"/>
        <v>36000</v>
      </c>
      <c r="FF241">
        <f t="shared" si="568"/>
        <v>36000</v>
      </c>
      <c r="FG241">
        <f t="shared" si="569"/>
        <v>522452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513"/>
        <v>0</v>
      </c>
      <c r="FP241">
        <f t="shared" si="570"/>
        <v>522452</v>
      </c>
      <c r="FQ241">
        <f t="shared" si="571"/>
        <v>12500</v>
      </c>
      <c r="FR241">
        <f t="shared" si="572"/>
        <v>4490</v>
      </c>
      <c r="FS241">
        <f t="shared" si="573"/>
        <v>16990</v>
      </c>
      <c r="FT241">
        <f t="shared" si="574"/>
        <v>16990</v>
      </c>
      <c r="FU241">
        <f t="shared" si="575"/>
        <v>679.6</v>
      </c>
      <c r="FV241">
        <f t="shared" si="576"/>
        <v>17670</v>
      </c>
      <c r="FW241">
        <v>0</v>
      </c>
      <c r="FX241">
        <f t="shared" si="577"/>
        <v>17670</v>
      </c>
      <c r="FY241" t="b">
        <f t="shared" si="578"/>
        <v>1</v>
      </c>
      <c r="FZ241">
        <f t="shared" ca="1" si="579"/>
        <v>844</v>
      </c>
      <c r="GA241">
        <f t="shared" ca="1" si="580"/>
        <v>611696</v>
      </c>
      <c r="GB241">
        <f t="shared" si="581"/>
        <v>75000</v>
      </c>
      <c r="GC241">
        <f t="shared" ca="1" si="582"/>
        <v>536696</v>
      </c>
      <c r="GD241">
        <f t="shared" ca="1" si="583"/>
        <v>0</v>
      </c>
      <c r="GE241">
        <f t="shared" ca="1" si="584"/>
        <v>0</v>
      </c>
      <c r="GF241">
        <f t="shared" ca="1" si="585"/>
        <v>0</v>
      </c>
      <c r="GG241">
        <f t="shared" ca="1" si="586"/>
        <v>0</v>
      </c>
      <c r="GH241">
        <f t="shared" ca="1" si="587"/>
        <v>0</v>
      </c>
      <c r="GI241">
        <f t="shared" ca="1" si="588"/>
        <v>0</v>
      </c>
      <c r="GJ241">
        <f t="shared" ca="1" si="514"/>
        <v>0</v>
      </c>
      <c r="GK241">
        <f t="shared" ca="1" si="589"/>
        <v>0</v>
      </c>
      <c r="GL241">
        <f t="shared" ca="1" si="590"/>
        <v>0</v>
      </c>
      <c r="GM241">
        <f t="shared" ca="1" si="591"/>
        <v>0</v>
      </c>
      <c r="GN241">
        <f t="shared" ca="1" si="592"/>
        <v>136696</v>
      </c>
      <c r="GO241">
        <f t="shared" ca="1" si="593"/>
        <v>6834.8</v>
      </c>
      <c r="GP241">
        <f t="shared" ca="1" si="594"/>
        <v>6835</v>
      </c>
      <c r="GQ241">
        <f t="shared" ca="1" si="595"/>
        <v>0</v>
      </c>
      <c r="GR241">
        <f t="shared" ca="1" si="596"/>
        <v>0</v>
      </c>
      <c r="GS241">
        <f t="shared" ca="1" si="597"/>
        <v>6835</v>
      </c>
      <c r="GT241">
        <f t="shared" ca="1" si="598"/>
        <v>0</v>
      </c>
      <c r="GU241" t="b">
        <f t="shared" ca="1" si="599"/>
        <v>0</v>
      </c>
      <c r="GV241">
        <f t="shared" ca="1" si="600"/>
        <v>0</v>
      </c>
      <c r="GW241">
        <f t="shared" ca="1" si="601"/>
        <v>6835</v>
      </c>
      <c r="GX241">
        <f t="shared" ca="1" si="602"/>
        <v>0</v>
      </c>
      <c r="GY241">
        <f t="shared" ca="1" si="603"/>
        <v>0</v>
      </c>
      <c r="GZ241">
        <f t="shared" ca="1" si="604"/>
        <v>0</v>
      </c>
    </row>
    <row r="242" spans="1:208" x14ac:dyDescent="0.3">
      <c r="A242">
        <f>_xlfn.AGGREGATE(3,5,$B$2:B242)</f>
        <v>241</v>
      </c>
      <c r="B242" t="s">
        <v>587</v>
      </c>
      <c r="C242" t="s">
        <v>588</v>
      </c>
      <c r="D242" t="s">
        <v>811</v>
      </c>
      <c r="E242" t="s">
        <v>830</v>
      </c>
      <c r="F242" t="s">
        <v>956</v>
      </c>
      <c r="G242" t="s">
        <v>950</v>
      </c>
      <c r="H242">
        <f t="shared" si="607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521"/>
        <v>7756.0000000000009</v>
      </c>
      <c r="L242">
        <f t="shared" si="522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 t="shared" si="499"/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605"/>
        <v>200</v>
      </c>
      <c r="S242">
        <f t="shared" si="515"/>
        <v>66504</v>
      </c>
      <c r="T242">
        <f>_xlfn.XLOOKUP(B242,'[2]april-2025'!$A:$A,'[2]april-2025'!$C:$C,0,0)</f>
        <v>55400</v>
      </c>
      <c r="U242">
        <f t="shared" si="523"/>
        <v>9972</v>
      </c>
      <c r="V242">
        <f t="shared" si="524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516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525"/>
        <v>200</v>
      </c>
      <c r="AC242">
        <f t="shared" si="526"/>
        <v>68720</v>
      </c>
      <c r="AD242">
        <f>_xlfn.XLOOKUP(B242,'[3]may-2025'!$A:$A,'[3]may-2025'!$C:$C,0,0)</f>
        <v>55400</v>
      </c>
      <c r="AE242">
        <f t="shared" si="527"/>
        <v>9972</v>
      </c>
      <c r="AF242">
        <f t="shared" si="528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517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529"/>
        <v>200</v>
      </c>
      <c r="AM242">
        <f t="shared" si="530"/>
        <v>68720</v>
      </c>
      <c r="AN242">
        <f>_xlfn.XLOOKUP(B242,'[4]june-2025'!$A:$A,'[4]june-2025'!$C:$C,0,0)</f>
        <v>55400</v>
      </c>
      <c r="AO242">
        <f t="shared" si="531"/>
        <v>9972</v>
      </c>
      <c r="AP242">
        <f t="shared" si="532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518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533"/>
        <v>200</v>
      </c>
      <c r="AW242">
        <f t="shared" si="534"/>
        <v>68720</v>
      </c>
      <c r="AX242">
        <f>_xlfn.XLOOKUP(B242,'[5]july-2025'!$A:$A,'[5]july-2025'!$C:$C,0,0)</f>
        <v>57100</v>
      </c>
      <c r="AY242">
        <f t="shared" si="535"/>
        <v>10278</v>
      </c>
      <c r="AZ242">
        <v>0</v>
      </c>
      <c r="BA242">
        <f t="shared" si="536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 t="shared" si="500"/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537"/>
        <v>200</v>
      </c>
      <c r="BH242">
        <f t="shared" si="538"/>
        <v>70930</v>
      </c>
      <c r="BI242">
        <f>_xlfn.XLOOKUP(B242,'[6]august-2025'!$A:$A,'[6]august-2025'!$C:$C,0,0)</f>
        <v>57100</v>
      </c>
      <c r="BJ242">
        <f t="shared" si="539"/>
        <v>10278</v>
      </c>
      <c r="BK242">
        <f t="shared" si="540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541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 t="shared" si="501"/>
        <v>200</v>
      </c>
      <c r="BR242">
        <f t="shared" si="502"/>
        <v>70930</v>
      </c>
      <c r="BS242">
        <f>_xlfn.XLOOKUP(B242,'[7]september-2025'!$A:$A,'[7]september-2025'!$C:$C,0,0)</f>
        <v>57100</v>
      </c>
      <c r="BT242">
        <f t="shared" si="542"/>
        <v>10278</v>
      </c>
      <c r="BU242">
        <f t="shared" si="543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 t="shared" si="503"/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544"/>
        <v>200</v>
      </c>
      <c r="CB242">
        <f t="shared" si="545"/>
        <v>70930</v>
      </c>
      <c r="CC242">
        <f>_xlfn.XLOOKUP(B242,'[8]october-2025'!$A:$A,'[8]october-2025'!$C:$C,0,0)</f>
        <v>57100</v>
      </c>
      <c r="CD242">
        <f t="shared" si="546"/>
        <v>10278</v>
      </c>
      <c r="CE242">
        <f t="shared" si="547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 t="shared" si="504"/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548"/>
        <v>200</v>
      </c>
      <c r="CL242">
        <f t="shared" si="549"/>
        <v>74430</v>
      </c>
      <c r="CM242">
        <f>_xlfn.XLOOKUP(B242,'[9]november-2025'!$A:$A,'[9]november-2025'!$C:$C,0,0)</f>
        <v>57100</v>
      </c>
      <c r="CN242">
        <f t="shared" si="550"/>
        <v>10278</v>
      </c>
      <c r="CO242">
        <f t="shared" si="551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 t="shared" si="505"/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552"/>
        <v>200</v>
      </c>
      <c r="CV242">
        <f t="shared" si="553"/>
        <v>74430</v>
      </c>
      <c r="CW242">
        <f>_xlfn.XLOOKUP(B242,'[10]december-2025'!$A:$A,'[10]december-2025'!$C:$C,0,0)</f>
        <v>57100</v>
      </c>
      <c r="CX242">
        <f t="shared" si="554"/>
        <v>10278</v>
      </c>
      <c r="CY242">
        <f t="shared" si="555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 t="shared" si="506"/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556"/>
        <v>200</v>
      </c>
      <c r="DF242">
        <f t="shared" si="557"/>
        <v>74430</v>
      </c>
      <c r="DG242">
        <f>_xlfn.XLOOKUP(B242,'[11]january-2026'!$A:$A,'[11]january-2026'!$C:$C,0,0)</f>
        <v>57100</v>
      </c>
      <c r="DH242">
        <f t="shared" si="558"/>
        <v>10278</v>
      </c>
      <c r="DI242">
        <f t="shared" si="559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07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60"/>
        <v>200</v>
      </c>
      <c r="DP242">
        <f t="shared" si="561"/>
        <v>74430</v>
      </c>
      <c r="DQ242">
        <f>_xlfn.XLOOKUP(B242,'[12]february-2026'!$A:$A,'[12]february-2026'!$C:$C,0,0)</f>
        <v>57100</v>
      </c>
      <c r="DR242">
        <f t="shared" si="562"/>
        <v>10278</v>
      </c>
      <c r="DS242">
        <f t="shared" si="563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08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64"/>
        <v>200</v>
      </c>
      <c r="DZ242">
        <f t="shared" si="565"/>
        <v>74430</v>
      </c>
      <c r="EA242">
        <f>_xlfn.XLOOKUP(B242,'[1]march-2025'!$A:$A,'[1]march-2025'!$J:$J,0,0)</f>
        <v>0</v>
      </c>
      <c r="EB242">
        <f>_xlfn.XLOOKUP(B242,'[2]april-2025'!$A:$A,'[2]april-2025'!$J:$J,0,0)</f>
        <v>0</v>
      </c>
      <c r="EC242">
        <f>_xlfn.XLOOKUP(B242,'[3]may-2025'!$A:$A,'[3]may-2025'!$J:$J,0,0)</f>
        <v>0</v>
      </c>
      <c r="ED242">
        <f>_xlfn.XLOOKUP(B242,'[4]june-2025'!$A:$A,'[4]june-2025'!$J:$J,0,0)</f>
        <v>0</v>
      </c>
      <c r="EE242">
        <f>_xlfn.XLOOKUP(B242,'[5]july-2025'!$A:$A,'[5]july-2025'!$J:$J,0,0)</f>
        <v>0</v>
      </c>
      <c r="EF242">
        <f>_xlfn.XLOOKUP(B242,'[6]august-2025'!$A:$A,'[6]august-2025'!$J:$J,0,0)</f>
        <v>0</v>
      </c>
      <c r="EG242">
        <f>_xlfn.XLOOKUP(B242,'[7]september-2025'!$A:$A,'[7]september-2025'!$J:$J,0,0)</f>
        <v>0</v>
      </c>
      <c r="EH242">
        <f>_xlfn.XLOOKUP(B242,'[8]october-2025'!$A:$A,'[8]october-2025'!$J:$J,0,0)</f>
        <v>0</v>
      </c>
      <c r="EI242">
        <f>_xlfn.XLOOKUP(C242,'[9]november-2025'!$A:$A,'[9]november-2025'!$J:$J,0,0)</f>
        <v>0</v>
      </c>
      <c r="EJ242">
        <f>_xlfn.XLOOKUP(B242,'[10]december-2025'!$A:$A,'[10]december-2025'!$J:$J,0,0)</f>
        <v>0</v>
      </c>
      <c r="EK242">
        <f>_xlfn.XLOOKUP(B242,'[11]january-2026'!$A:$A,'[11]january-2026'!$J:$J,0,0)</f>
        <v>0</v>
      </c>
      <c r="EL242">
        <f>_xlfn.XLOOKUP(B242,'[12]february-2026'!$A:$A,'[12]february-2026'!$J:$J,0,0)</f>
        <v>0</v>
      </c>
      <c r="EM242">
        <f t="shared" si="519"/>
        <v>0</v>
      </c>
      <c r="EN242">
        <f t="shared" si="509"/>
        <v>891304</v>
      </c>
      <c r="EO242">
        <f t="shared" si="510"/>
        <v>2400</v>
      </c>
      <c r="EP242">
        <f t="shared" si="566"/>
        <v>50000</v>
      </c>
      <c r="EQ242">
        <v>0</v>
      </c>
      <c r="ER242">
        <f t="shared" si="520"/>
        <v>838904</v>
      </c>
      <c r="ES242">
        <f t="shared" si="511"/>
        <v>24500</v>
      </c>
      <c r="ET242">
        <f t="shared" si="512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567"/>
        <v>24500</v>
      </c>
      <c r="FF242">
        <f t="shared" si="568"/>
        <v>24500</v>
      </c>
      <c r="FG242">
        <f t="shared" si="569"/>
        <v>814404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513"/>
        <v>0</v>
      </c>
      <c r="FP242">
        <f t="shared" si="570"/>
        <v>814404</v>
      </c>
      <c r="FQ242">
        <f t="shared" si="571"/>
        <v>12500</v>
      </c>
      <c r="FR242">
        <f t="shared" si="572"/>
        <v>62881</v>
      </c>
      <c r="FS242">
        <f t="shared" si="573"/>
        <v>75381</v>
      </c>
      <c r="FT242">
        <f t="shared" si="574"/>
        <v>75381</v>
      </c>
      <c r="FU242">
        <f t="shared" si="575"/>
        <v>3015.2400000000002</v>
      </c>
      <c r="FV242">
        <f t="shared" si="576"/>
        <v>78396</v>
      </c>
      <c r="FW242">
        <v>0</v>
      </c>
      <c r="FX242">
        <f t="shared" si="577"/>
        <v>78396</v>
      </c>
      <c r="FY242" t="b">
        <f t="shared" si="578"/>
        <v>1</v>
      </c>
      <c r="FZ242">
        <f t="shared" ca="1" si="579"/>
        <v>920</v>
      </c>
      <c r="GA242">
        <f t="shared" ca="1" si="580"/>
        <v>892224</v>
      </c>
      <c r="GB242">
        <f t="shared" si="581"/>
        <v>75000</v>
      </c>
      <c r="GC242">
        <f t="shared" ca="1" si="582"/>
        <v>817224</v>
      </c>
      <c r="GD242">
        <f t="shared" ca="1" si="583"/>
        <v>0</v>
      </c>
      <c r="GE242">
        <f t="shared" ca="1" si="584"/>
        <v>0</v>
      </c>
      <c r="GF242">
        <f t="shared" ca="1" si="585"/>
        <v>0</v>
      </c>
      <c r="GG242">
        <f t="shared" ca="1" si="586"/>
        <v>0</v>
      </c>
      <c r="GH242">
        <f t="shared" ca="1" si="587"/>
        <v>0</v>
      </c>
      <c r="GI242">
        <f t="shared" ca="1" si="588"/>
        <v>0</v>
      </c>
      <c r="GJ242">
        <f t="shared" ca="1" si="514"/>
        <v>0</v>
      </c>
      <c r="GK242">
        <f t="shared" ca="1" si="589"/>
        <v>0</v>
      </c>
      <c r="GL242">
        <f t="shared" ca="1" si="590"/>
        <v>17224</v>
      </c>
      <c r="GM242">
        <f t="shared" ca="1" si="591"/>
        <v>1722.4</v>
      </c>
      <c r="GN242">
        <f t="shared" ca="1" si="592"/>
        <v>400000</v>
      </c>
      <c r="GO242">
        <f t="shared" ca="1" si="593"/>
        <v>20000</v>
      </c>
      <c r="GP242">
        <f t="shared" ca="1" si="594"/>
        <v>21722</v>
      </c>
      <c r="GQ242">
        <f t="shared" ca="1" si="595"/>
        <v>0</v>
      </c>
      <c r="GR242">
        <f t="shared" ca="1" si="596"/>
        <v>0</v>
      </c>
      <c r="GS242">
        <f t="shared" ca="1" si="597"/>
        <v>21722</v>
      </c>
      <c r="GT242">
        <f t="shared" ca="1" si="598"/>
        <v>0</v>
      </c>
      <c r="GU242" t="b">
        <f t="shared" ca="1" si="599"/>
        <v>0</v>
      </c>
      <c r="GV242">
        <f t="shared" ca="1" si="600"/>
        <v>0</v>
      </c>
      <c r="GW242">
        <f t="shared" ca="1" si="601"/>
        <v>21722</v>
      </c>
      <c r="GX242">
        <f t="shared" ca="1" si="602"/>
        <v>0</v>
      </c>
      <c r="GY242">
        <f t="shared" ca="1" si="603"/>
        <v>0</v>
      </c>
      <c r="GZ242">
        <f t="shared" ca="1" si="604"/>
        <v>0</v>
      </c>
    </row>
    <row r="243" spans="1:208" x14ac:dyDescent="0.3">
      <c r="A243">
        <f>_xlfn.AGGREGATE(3,5,$B$2:B243)</f>
        <v>242</v>
      </c>
      <c r="B243" t="s">
        <v>589</v>
      </c>
      <c r="C243" t="s">
        <v>590</v>
      </c>
      <c r="D243" t="s">
        <v>811</v>
      </c>
      <c r="E243" t="s">
        <v>830</v>
      </c>
      <c r="F243" t="s">
        <v>956</v>
      </c>
      <c r="G243" t="s">
        <v>933</v>
      </c>
      <c r="H243">
        <f t="shared" si="607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521"/>
        <v>4172</v>
      </c>
      <c r="L243">
        <f t="shared" si="522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499"/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605"/>
        <v>150</v>
      </c>
      <c r="S243">
        <f t="shared" si="515"/>
        <v>35898</v>
      </c>
      <c r="T243">
        <f>_xlfn.XLOOKUP(B243,'[2]april-2025'!$A:$A,'[2]april-2025'!$C:$C,0,0)</f>
        <v>29800</v>
      </c>
      <c r="U243">
        <f t="shared" si="523"/>
        <v>5364</v>
      </c>
      <c r="V243">
        <f t="shared" si="524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516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525"/>
        <v>150</v>
      </c>
      <c r="AC243">
        <f t="shared" si="526"/>
        <v>37090</v>
      </c>
      <c r="AD243">
        <f>_xlfn.XLOOKUP(B243,'[3]may-2025'!$A:$A,'[3]may-2025'!$C:$C,0,0)</f>
        <v>29800</v>
      </c>
      <c r="AE243">
        <f t="shared" si="527"/>
        <v>5364</v>
      </c>
      <c r="AF243">
        <f t="shared" si="528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517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529"/>
        <v>150</v>
      </c>
      <c r="AM243">
        <f t="shared" si="530"/>
        <v>37090</v>
      </c>
      <c r="AN243">
        <f>_xlfn.XLOOKUP(B243,'[4]june-2025'!$A:$A,'[4]june-2025'!$C:$C,0,0)</f>
        <v>29800</v>
      </c>
      <c r="AO243">
        <f t="shared" si="531"/>
        <v>5364</v>
      </c>
      <c r="AP243">
        <f t="shared" si="532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518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533"/>
        <v>150</v>
      </c>
      <c r="AW243">
        <f t="shared" si="534"/>
        <v>37090</v>
      </c>
      <c r="AX243">
        <f>_xlfn.XLOOKUP(B243,'[5]july-2025'!$A:$A,'[5]july-2025'!$C:$C,0,0)</f>
        <v>30700</v>
      </c>
      <c r="AY243">
        <f t="shared" si="535"/>
        <v>5526</v>
      </c>
      <c r="AZ243">
        <v>0</v>
      </c>
      <c r="BA243">
        <f t="shared" si="536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500"/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537"/>
        <v>200</v>
      </c>
      <c r="BH243">
        <f t="shared" si="538"/>
        <v>38210</v>
      </c>
      <c r="BI243">
        <f>_xlfn.XLOOKUP(B243,'[6]august-2025'!$A:$A,'[6]august-2025'!$C:$C,0,0)</f>
        <v>30700</v>
      </c>
      <c r="BJ243">
        <f t="shared" si="539"/>
        <v>5526</v>
      </c>
      <c r="BK243">
        <f t="shared" si="540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541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501"/>
        <v>200</v>
      </c>
      <c r="BR243">
        <f t="shared" si="502"/>
        <v>38210</v>
      </c>
      <c r="BS243">
        <f>_xlfn.XLOOKUP(B243,'[7]september-2025'!$A:$A,'[7]september-2025'!$C:$C,0,0)</f>
        <v>30700</v>
      </c>
      <c r="BT243">
        <f t="shared" si="542"/>
        <v>5526</v>
      </c>
      <c r="BU243">
        <f t="shared" si="543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503"/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544"/>
        <v>200</v>
      </c>
      <c r="CB243">
        <f t="shared" si="545"/>
        <v>38210</v>
      </c>
      <c r="CC243">
        <f>_xlfn.XLOOKUP(B243,'[8]october-2025'!$A:$A,'[8]october-2025'!$C:$C,0,0)</f>
        <v>30700</v>
      </c>
      <c r="CD243">
        <f t="shared" si="546"/>
        <v>5526</v>
      </c>
      <c r="CE243">
        <f t="shared" si="547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504"/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548"/>
        <v>200</v>
      </c>
      <c r="CL243">
        <f t="shared" si="549"/>
        <v>38210</v>
      </c>
      <c r="CM243">
        <f>_xlfn.XLOOKUP(B243,'[9]november-2025'!$A:$A,'[9]november-2025'!$C:$C,0,0)</f>
        <v>30700</v>
      </c>
      <c r="CN243">
        <f t="shared" si="550"/>
        <v>5526</v>
      </c>
      <c r="CO243">
        <f t="shared" si="551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505"/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552"/>
        <v>200</v>
      </c>
      <c r="CV243">
        <f t="shared" si="553"/>
        <v>38210</v>
      </c>
      <c r="CW243">
        <f>_xlfn.XLOOKUP(B243,'[10]december-2025'!$A:$A,'[10]december-2025'!$C:$C,0,0)</f>
        <v>30700</v>
      </c>
      <c r="CX243">
        <f t="shared" si="554"/>
        <v>5526</v>
      </c>
      <c r="CY243">
        <f t="shared" si="555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506"/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556"/>
        <v>200</v>
      </c>
      <c r="DF243">
        <f t="shared" si="557"/>
        <v>38210</v>
      </c>
      <c r="DG243">
        <f>_xlfn.XLOOKUP(B243,'[11]january-2026'!$A:$A,'[11]january-2026'!$C:$C,0,0)</f>
        <v>30700</v>
      </c>
      <c r="DH243">
        <f t="shared" si="558"/>
        <v>5526</v>
      </c>
      <c r="DI243">
        <f t="shared" si="559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07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60"/>
        <v>200</v>
      </c>
      <c r="DP243">
        <f t="shared" si="561"/>
        <v>38210</v>
      </c>
      <c r="DQ243">
        <f>_xlfn.XLOOKUP(B243,'[12]february-2026'!$A:$A,'[12]february-2026'!$C:$C,0,0)</f>
        <v>30700</v>
      </c>
      <c r="DR243">
        <f t="shared" si="562"/>
        <v>5526</v>
      </c>
      <c r="DS243">
        <f t="shared" si="563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08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64"/>
        <v>200</v>
      </c>
      <c r="DZ243">
        <f t="shared" si="565"/>
        <v>38210</v>
      </c>
      <c r="EA243">
        <f>_xlfn.XLOOKUP(B243,'[1]march-2025'!$A:$A,'[1]march-2025'!$J:$J,0,0)</f>
        <v>0</v>
      </c>
      <c r="EB243">
        <f>_xlfn.XLOOKUP(B243,'[2]april-2025'!$A:$A,'[2]april-2025'!$J:$J,0,0)</f>
        <v>0</v>
      </c>
      <c r="EC243">
        <f>_xlfn.XLOOKUP(B243,'[3]may-2025'!$A:$A,'[3]may-2025'!$J:$J,0,0)</f>
        <v>0</v>
      </c>
      <c r="ED243">
        <f>_xlfn.XLOOKUP(B243,'[4]june-2025'!$A:$A,'[4]june-2025'!$J:$J,0,0)</f>
        <v>0</v>
      </c>
      <c r="EE243">
        <f>_xlfn.XLOOKUP(B243,'[5]july-2025'!$A:$A,'[5]july-2025'!$J:$J,0,0)</f>
        <v>0</v>
      </c>
      <c r="EF243">
        <f>_xlfn.XLOOKUP(B243,'[6]august-2025'!$A:$A,'[6]august-2025'!$J:$J,0,0)</f>
        <v>0</v>
      </c>
      <c r="EG243">
        <f>_xlfn.XLOOKUP(B243,'[7]september-2025'!$A:$A,'[7]september-2025'!$J:$J,0,0)</f>
        <v>0</v>
      </c>
      <c r="EH243">
        <f>_xlfn.XLOOKUP(B243,'[8]october-2025'!$A:$A,'[8]october-2025'!$J:$J,0,0)</f>
        <v>0</v>
      </c>
      <c r="EI243">
        <f>_xlfn.XLOOKUP(C243,'[9]november-2025'!$A:$A,'[9]november-2025'!$J:$J,0,0)</f>
        <v>0</v>
      </c>
      <c r="EJ243">
        <f>_xlfn.XLOOKUP(B243,'[10]december-2025'!$A:$A,'[10]december-2025'!$J:$J,0,0)</f>
        <v>0</v>
      </c>
      <c r="EK243">
        <f>_xlfn.XLOOKUP(B243,'[11]january-2026'!$A:$A,'[11]january-2026'!$J:$J,0,0)</f>
        <v>0</v>
      </c>
      <c r="EL243">
        <f>_xlfn.XLOOKUP(B243,'[12]february-2026'!$A:$A,'[12]february-2026'!$J:$J,0,0)</f>
        <v>0</v>
      </c>
      <c r="EM243">
        <f t="shared" si="519"/>
        <v>0</v>
      </c>
      <c r="EN243">
        <f t="shared" si="509"/>
        <v>485848</v>
      </c>
      <c r="EO243">
        <f t="shared" si="510"/>
        <v>2200</v>
      </c>
      <c r="EP243">
        <f t="shared" si="566"/>
        <v>50000</v>
      </c>
      <c r="EQ243">
        <v>0</v>
      </c>
      <c r="ER243">
        <f t="shared" si="520"/>
        <v>433648</v>
      </c>
      <c r="ES243">
        <f t="shared" si="511"/>
        <v>24000</v>
      </c>
      <c r="ET243">
        <f t="shared" si="512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567"/>
        <v>24000</v>
      </c>
      <c r="FF243">
        <f t="shared" si="568"/>
        <v>24000</v>
      </c>
      <c r="FG243">
        <f t="shared" si="569"/>
        <v>409648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513"/>
        <v>0</v>
      </c>
      <c r="FP243">
        <f t="shared" si="570"/>
        <v>409648</v>
      </c>
      <c r="FQ243">
        <f t="shared" si="571"/>
        <v>7982</v>
      </c>
      <c r="FR243">
        <f t="shared" si="572"/>
        <v>0</v>
      </c>
      <c r="FS243">
        <f t="shared" si="573"/>
        <v>7982</v>
      </c>
      <c r="FT243">
        <f t="shared" si="574"/>
        <v>0</v>
      </c>
      <c r="FU243">
        <f t="shared" si="575"/>
        <v>0</v>
      </c>
      <c r="FV243">
        <f t="shared" si="576"/>
        <v>0</v>
      </c>
      <c r="FW243">
        <v>0</v>
      </c>
      <c r="FX243">
        <f t="shared" si="577"/>
        <v>0</v>
      </c>
      <c r="FY243" t="b">
        <f t="shared" si="578"/>
        <v>0</v>
      </c>
      <c r="FZ243">
        <f t="shared" ca="1" si="579"/>
        <v>2700</v>
      </c>
      <c r="GA243">
        <f t="shared" ca="1" si="580"/>
        <v>488548</v>
      </c>
      <c r="GB243">
        <f t="shared" si="581"/>
        <v>75000</v>
      </c>
      <c r="GC243">
        <f t="shared" ca="1" si="582"/>
        <v>413548</v>
      </c>
      <c r="GD243">
        <f t="shared" ca="1" si="583"/>
        <v>0</v>
      </c>
      <c r="GE243">
        <f t="shared" ca="1" si="584"/>
        <v>0</v>
      </c>
      <c r="GF243">
        <f t="shared" ca="1" si="585"/>
        <v>0</v>
      </c>
      <c r="GG243">
        <f t="shared" ca="1" si="586"/>
        <v>0</v>
      </c>
      <c r="GH243">
        <f t="shared" ca="1" si="587"/>
        <v>0</v>
      </c>
      <c r="GI243">
        <f t="shared" ca="1" si="588"/>
        <v>0</v>
      </c>
      <c r="GJ243">
        <f t="shared" ca="1" si="514"/>
        <v>0</v>
      </c>
      <c r="GK243">
        <f t="shared" ca="1" si="589"/>
        <v>0</v>
      </c>
      <c r="GL243">
        <f t="shared" ca="1" si="590"/>
        <v>0</v>
      </c>
      <c r="GM243">
        <f t="shared" ca="1" si="591"/>
        <v>0</v>
      </c>
      <c r="GN243">
        <f t="shared" ca="1" si="592"/>
        <v>13548</v>
      </c>
      <c r="GO243">
        <f t="shared" ca="1" si="593"/>
        <v>677.40000000000009</v>
      </c>
      <c r="GP243">
        <f t="shared" ca="1" si="594"/>
        <v>677</v>
      </c>
      <c r="GQ243">
        <f t="shared" ca="1" si="595"/>
        <v>0</v>
      </c>
      <c r="GR243">
        <f t="shared" ca="1" si="596"/>
        <v>0</v>
      </c>
      <c r="GS243">
        <f t="shared" ca="1" si="597"/>
        <v>677</v>
      </c>
      <c r="GT243">
        <f t="shared" ca="1" si="598"/>
        <v>0</v>
      </c>
      <c r="GU243" t="b">
        <f t="shared" ca="1" si="599"/>
        <v>0</v>
      </c>
      <c r="GV243">
        <f t="shared" ca="1" si="600"/>
        <v>0</v>
      </c>
      <c r="GW243">
        <f t="shared" ca="1" si="601"/>
        <v>677</v>
      </c>
      <c r="GX243">
        <f t="shared" ca="1" si="602"/>
        <v>0</v>
      </c>
      <c r="GY243">
        <f t="shared" ca="1" si="603"/>
        <v>0</v>
      </c>
      <c r="GZ243">
        <f t="shared" ca="1" si="604"/>
        <v>0</v>
      </c>
    </row>
    <row r="244" spans="1:208" x14ac:dyDescent="0.3">
      <c r="A244">
        <f>_xlfn.AGGREGATE(3,5,$B$2:B244)</f>
        <v>243</v>
      </c>
      <c r="B244" t="s">
        <v>591</v>
      </c>
      <c r="C244" t="s">
        <v>592</v>
      </c>
      <c r="D244" t="s">
        <v>811</v>
      </c>
      <c r="E244" t="s">
        <v>830</v>
      </c>
      <c r="F244" t="s">
        <v>956</v>
      </c>
      <c r="G244" t="s">
        <v>880</v>
      </c>
      <c r="H244">
        <f t="shared" si="607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521"/>
        <v>4046.0000000000005</v>
      </c>
      <c r="L244">
        <f t="shared" si="522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 t="shared" si="499"/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605"/>
        <v>150</v>
      </c>
      <c r="S244">
        <f t="shared" si="515"/>
        <v>34264</v>
      </c>
      <c r="T244">
        <f>_xlfn.XLOOKUP(B244,'[2]april-2025'!$A:$A,'[2]april-2025'!$C:$C,0,0)</f>
        <v>28900</v>
      </c>
      <c r="U244">
        <f t="shared" si="523"/>
        <v>5202</v>
      </c>
      <c r="V244">
        <f t="shared" si="524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516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525"/>
        <v>150</v>
      </c>
      <c r="AC244">
        <f t="shared" si="526"/>
        <v>35420</v>
      </c>
      <c r="AD244">
        <f>_xlfn.XLOOKUP(B244,'[3]may-2025'!$A:$A,'[3]may-2025'!$C:$C,0,0)</f>
        <v>28900</v>
      </c>
      <c r="AE244">
        <f t="shared" si="527"/>
        <v>5202</v>
      </c>
      <c r="AF244">
        <f t="shared" si="528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517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529"/>
        <v>150</v>
      </c>
      <c r="AM244">
        <f t="shared" si="530"/>
        <v>35420</v>
      </c>
      <c r="AN244">
        <f>_xlfn.XLOOKUP(B244,'[4]june-2025'!$A:$A,'[4]june-2025'!$C:$C,0,0)</f>
        <v>28900</v>
      </c>
      <c r="AO244">
        <f t="shared" si="531"/>
        <v>5202</v>
      </c>
      <c r="AP244">
        <f t="shared" si="532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518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533"/>
        <v>150</v>
      </c>
      <c r="AW244">
        <f t="shared" si="534"/>
        <v>35420</v>
      </c>
      <c r="AX244">
        <f>_xlfn.XLOOKUP(B244,'[5]july-2025'!$A:$A,'[5]july-2025'!$C:$C,0,0)</f>
        <v>29800</v>
      </c>
      <c r="AY244">
        <f t="shared" si="535"/>
        <v>5364</v>
      </c>
      <c r="AZ244">
        <v>0</v>
      </c>
      <c r="BA244">
        <f t="shared" si="536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 t="shared" si="500"/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537"/>
        <v>150</v>
      </c>
      <c r="BH244">
        <f t="shared" si="538"/>
        <v>36590</v>
      </c>
      <c r="BI244">
        <f>_xlfn.XLOOKUP(B244,'[6]august-2025'!$A:$A,'[6]august-2025'!$C:$C,0,0)</f>
        <v>29800</v>
      </c>
      <c r="BJ244">
        <f t="shared" si="539"/>
        <v>5364</v>
      </c>
      <c r="BK244">
        <f t="shared" si="540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541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501"/>
        <v>150</v>
      </c>
      <c r="BR244">
        <f t="shared" si="502"/>
        <v>36590</v>
      </c>
      <c r="BS244">
        <f>_xlfn.XLOOKUP(B244,'[7]september-2025'!$A:$A,'[7]september-2025'!$C:$C,0,0)</f>
        <v>29800</v>
      </c>
      <c r="BT244">
        <f t="shared" si="542"/>
        <v>5364</v>
      </c>
      <c r="BU244">
        <f t="shared" si="543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 t="shared" si="503"/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544"/>
        <v>150</v>
      </c>
      <c r="CB244">
        <f t="shared" si="545"/>
        <v>36590</v>
      </c>
      <c r="CC244">
        <f>_xlfn.XLOOKUP(B244,'[8]october-2025'!$A:$A,'[8]october-2025'!$C:$C,0,0)</f>
        <v>29800</v>
      </c>
      <c r="CD244">
        <f t="shared" si="546"/>
        <v>5364</v>
      </c>
      <c r="CE244">
        <f t="shared" si="547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 t="shared" si="504"/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548"/>
        <v>150</v>
      </c>
      <c r="CL244">
        <f t="shared" si="549"/>
        <v>36590</v>
      </c>
      <c r="CM244">
        <f>_xlfn.XLOOKUP(B244,'[9]november-2025'!$A:$A,'[9]november-2025'!$C:$C,0,0)</f>
        <v>29800</v>
      </c>
      <c r="CN244">
        <f t="shared" si="550"/>
        <v>5364</v>
      </c>
      <c r="CO244">
        <f t="shared" si="551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 t="shared" si="505"/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552"/>
        <v>150</v>
      </c>
      <c r="CV244">
        <f t="shared" si="553"/>
        <v>36590</v>
      </c>
      <c r="CW244">
        <f>_xlfn.XLOOKUP(B244,'[10]december-2025'!$A:$A,'[10]december-2025'!$C:$C,0,0)</f>
        <v>29800</v>
      </c>
      <c r="CX244">
        <f t="shared" si="554"/>
        <v>5364</v>
      </c>
      <c r="CY244">
        <f t="shared" si="555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 t="shared" si="506"/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556"/>
        <v>150</v>
      </c>
      <c r="DF244">
        <f t="shared" si="557"/>
        <v>36590</v>
      </c>
      <c r="DG244">
        <f>_xlfn.XLOOKUP(B244,'[11]january-2026'!$A:$A,'[11]january-2026'!$C:$C,0,0)</f>
        <v>29800</v>
      </c>
      <c r="DH244">
        <f t="shared" si="558"/>
        <v>5364</v>
      </c>
      <c r="DI244">
        <f t="shared" si="559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07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60"/>
        <v>150</v>
      </c>
      <c r="DP244">
        <f t="shared" si="561"/>
        <v>36590</v>
      </c>
      <c r="DQ244">
        <f>_xlfn.XLOOKUP(B244,'[12]february-2026'!$A:$A,'[12]february-2026'!$C:$C,0,0)</f>
        <v>29800</v>
      </c>
      <c r="DR244">
        <f t="shared" si="562"/>
        <v>5364</v>
      </c>
      <c r="DS244">
        <f t="shared" si="563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08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64"/>
        <v>150</v>
      </c>
      <c r="DZ244">
        <f t="shared" si="565"/>
        <v>36590</v>
      </c>
      <c r="EA244">
        <f>_xlfn.XLOOKUP(B244,'[1]march-2025'!$A:$A,'[1]march-2025'!$J:$J,0,0)</f>
        <v>0</v>
      </c>
      <c r="EB244">
        <f>_xlfn.XLOOKUP(B244,'[2]april-2025'!$A:$A,'[2]april-2025'!$J:$J,0,0)</f>
        <v>0</v>
      </c>
      <c r="EC244">
        <f>_xlfn.XLOOKUP(B244,'[3]may-2025'!$A:$A,'[3]may-2025'!$J:$J,0,0)</f>
        <v>60490</v>
      </c>
      <c r="ED244">
        <f>_xlfn.XLOOKUP(B244,'[4]june-2025'!$A:$A,'[4]june-2025'!$J:$J,0,0)</f>
        <v>0</v>
      </c>
      <c r="EE244">
        <f>_xlfn.XLOOKUP(B244,'[5]july-2025'!$A:$A,'[5]july-2025'!$J:$J,0,0)</f>
        <v>0</v>
      </c>
      <c r="EF244">
        <f>_xlfn.XLOOKUP(B244,'[6]august-2025'!$A:$A,'[6]august-2025'!$J:$J,0,0)</f>
        <v>0</v>
      </c>
      <c r="EG244">
        <f>_xlfn.XLOOKUP(B244,'[7]september-2025'!$A:$A,'[7]september-2025'!$J:$J,0,0)</f>
        <v>0</v>
      </c>
      <c r="EH244">
        <f>_xlfn.XLOOKUP(B244,'[8]october-2025'!$A:$A,'[8]october-2025'!$J:$J,0,0)</f>
        <v>0</v>
      </c>
      <c r="EI244">
        <f>_xlfn.XLOOKUP(C244,'[9]november-2025'!$A:$A,'[9]november-2025'!$J:$J,0,0)</f>
        <v>0</v>
      </c>
      <c r="EJ244">
        <f>_xlfn.XLOOKUP(B244,'[10]december-2025'!$A:$A,'[10]december-2025'!$J:$J,0,0)</f>
        <v>0</v>
      </c>
      <c r="EK244">
        <f>_xlfn.XLOOKUP(B244,'[11]january-2026'!$A:$A,'[11]january-2026'!$J:$J,0,0)</f>
        <v>0</v>
      </c>
      <c r="EL244">
        <f>_xlfn.XLOOKUP(B244,'[12]february-2026'!$A:$A,'[12]february-2026'!$J:$J,0,0)</f>
        <v>0</v>
      </c>
      <c r="EM244">
        <f t="shared" si="519"/>
        <v>60490</v>
      </c>
      <c r="EN244">
        <f t="shared" si="509"/>
        <v>465844</v>
      </c>
      <c r="EO244">
        <f t="shared" si="510"/>
        <v>1800</v>
      </c>
      <c r="EP244">
        <f t="shared" si="566"/>
        <v>50000</v>
      </c>
      <c r="EQ244">
        <v>0</v>
      </c>
      <c r="ER244">
        <f t="shared" si="520"/>
        <v>474534</v>
      </c>
      <c r="ES244">
        <f t="shared" si="511"/>
        <v>24000</v>
      </c>
      <c r="ET244">
        <f t="shared" si="512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567"/>
        <v>24000</v>
      </c>
      <c r="FF244">
        <f t="shared" si="568"/>
        <v>24000</v>
      </c>
      <c r="FG244">
        <f t="shared" si="569"/>
        <v>450534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513"/>
        <v>0</v>
      </c>
      <c r="FP244">
        <f t="shared" si="570"/>
        <v>450534</v>
      </c>
      <c r="FQ244">
        <f t="shared" si="571"/>
        <v>10027</v>
      </c>
      <c r="FR244">
        <f t="shared" si="572"/>
        <v>0</v>
      </c>
      <c r="FS244">
        <f t="shared" si="573"/>
        <v>10027</v>
      </c>
      <c r="FT244">
        <f t="shared" si="574"/>
        <v>0</v>
      </c>
      <c r="FU244">
        <f t="shared" si="575"/>
        <v>0</v>
      </c>
      <c r="FV244">
        <f t="shared" si="576"/>
        <v>0</v>
      </c>
      <c r="FW244">
        <v>0</v>
      </c>
      <c r="FX244">
        <f t="shared" si="577"/>
        <v>0</v>
      </c>
      <c r="FY244" t="b">
        <f t="shared" si="578"/>
        <v>0</v>
      </c>
      <c r="FZ244">
        <f t="shared" ca="1" si="579"/>
        <v>2512</v>
      </c>
      <c r="GA244">
        <f t="shared" ca="1" si="580"/>
        <v>468356</v>
      </c>
      <c r="GB244">
        <f t="shared" si="581"/>
        <v>75000</v>
      </c>
      <c r="GC244">
        <f t="shared" ca="1" si="582"/>
        <v>393356</v>
      </c>
      <c r="GD244">
        <f t="shared" ca="1" si="583"/>
        <v>0</v>
      </c>
      <c r="GE244">
        <f t="shared" ca="1" si="584"/>
        <v>0</v>
      </c>
      <c r="GF244">
        <f t="shared" ca="1" si="585"/>
        <v>0</v>
      </c>
      <c r="GG244">
        <f t="shared" ca="1" si="586"/>
        <v>0</v>
      </c>
      <c r="GH244">
        <f t="shared" ca="1" si="587"/>
        <v>0</v>
      </c>
      <c r="GI244">
        <f t="shared" ca="1" si="588"/>
        <v>0</v>
      </c>
      <c r="GJ244">
        <f t="shared" ca="1" si="514"/>
        <v>0</v>
      </c>
      <c r="GK244">
        <f t="shared" ca="1" si="589"/>
        <v>0</v>
      </c>
      <c r="GL244">
        <f t="shared" ca="1" si="590"/>
        <v>0</v>
      </c>
      <c r="GM244">
        <f t="shared" ca="1" si="591"/>
        <v>0</v>
      </c>
      <c r="GN244">
        <f t="shared" ca="1" si="592"/>
        <v>0</v>
      </c>
      <c r="GO244">
        <f t="shared" ca="1" si="593"/>
        <v>0</v>
      </c>
      <c r="GP244">
        <f t="shared" ca="1" si="594"/>
        <v>0</v>
      </c>
      <c r="GQ244">
        <f t="shared" ca="1" si="595"/>
        <v>0</v>
      </c>
      <c r="GR244">
        <f t="shared" ca="1" si="596"/>
        <v>0</v>
      </c>
      <c r="GS244">
        <f t="shared" ca="1" si="597"/>
        <v>0</v>
      </c>
      <c r="GT244">
        <f t="shared" ca="1" si="598"/>
        <v>0</v>
      </c>
      <c r="GU244" t="b">
        <f t="shared" ca="1" si="599"/>
        <v>0</v>
      </c>
      <c r="GV244">
        <f t="shared" ca="1" si="600"/>
        <v>0</v>
      </c>
      <c r="GW244">
        <f t="shared" ca="1" si="601"/>
        <v>0</v>
      </c>
      <c r="GX244">
        <f t="shared" ca="1" si="602"/>
        <v>0</v>
      </c>
      <c r="GY244">
        <f t="shared" ca="1" si="603"/>
        <v>0</v>
      </c>
      <c r="GZ244">
        <f t="shared" ca="1" si="604"/>
        <v>0</v>
      </c>
    </row>
    <row r="245" spans="1:208" x14ac:dyDescent="0.3">
      <c r="A245">
        <f>_xlfn.AGGREGATE(3,5,$B$2:B245)</f>
        <v>244</v>
      </c>
      <c r="B245" t="s">
        <v>593</v>
      </c>
      <c r="C245" t="s">
        <v>594</v>
      </c>
      <c r="D245" t="s">
        <v>811</v>
      </c>
      <c r="E245" t="s">
        <v>830</v>
      </c>
      <c r="F245" t="s">
        <v>956</v>
      </c>
      <c r="G245" t="s">
        <v>888</v>
      </c>
      <c r="H245">
        <f t="shared" si="607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521"/>
        <v>4046.0000000000005</v>
      </c>
      <c r="L245">
        <f t="shared" si="522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499"/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605"/>
        <v>150</v>
      </c>
      <c r="S245">
        <f t="shared" si="515"/>
        <v>34764</v>
      </c>
      <c r="T245">
        <f>_xlfn.XLOOKUP(B245,'[2]april-2025'!$A:$A,'[2]april-2025'!$C:$C,0,0)</f>
        <v>28900</v>
      </c>
      <c r="U245">
        <f t="shared" si="523"/>
        <v>5202</v>
      </c>
      <c r="V245">
        <f t="shared" si="524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516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525"/>
        <v>150</v>
      </c>
      <c r="AC245">
        <f t="shared" si="526"/>
        <v>35920</v>
      </c>
      <c r="AD245">
        <f>_xlfn.XLOOKUP(B245,'[3]may-2025'!$A:$A,'[3]may-2025'!$C:$C,0,0)</f>
        <v>28900</v>
      </c>
      <c r="AE245">
        <f t="shared" si="527"/>
        <v>5202</v>
      </c>
      <c r="AF245">
        <f t="shared" si="528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517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529"/>
        <v>150</v>
      </c>
      <c r="AM245">
        <f t="shared" si="530"/>
        <v>35920</v>
      </c>
      <c r="AN245">
        <f>_xlfn.XLOOKUP(B245,'[4]june-2025'!$A:$A,'[4]june-2025'!$C:$C,0,0)</f>
        <v>28900</v>
      </c>
      <c r="AO245">
        <f t="shared" si="531"/>
        <v>5202</v>
      </c>
      <c r="AP245">
        <f t="shared" si="532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518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533"/>
        <v>150</v>
      </c>
      <c r="AW245">
        <f t="shared" si="534"/>
        <v>35920</v>
      </c>
      <c r="AX245">
        <f>_xlfn.XLOOKUP(B245,'[5]july-2025'!$A:$A,'[5]july-2025'!$C:$C,0,0)</f>
        <v>29800</v>
      </c>
      <c r="AY245">
        <f t="shared" si="535"/>
        <v>5364</v>
      </c>
      <c r="AZ245">
        <v>0</v>
      </c>
      <c r="BA245">
        <f t="shared" si="536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500"/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537"/>
        <v>150</v>
      </c>
      <c r="BH245">
        <f t="shared" si="538"/>
        <v>37090</v>
      </c>
      <c r="BI245">
        <f>_xlfn.XLOOKUP(B245,'[6]august-2025'!$A:$A,'[6]august-2025'!$C:$C,0,0)</f>
        <v>29800</v>
      </c>
      <c r="BJ245">
        <f t="shared" si="539"/>
        <v>5364</v>
      </c>
      <c r="BK245">
        <f t="shared" si="540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541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 t="shared" si="501"/>
        <v>150</v>
      </c>
      <c r="BR245">
        <f t="shared" si="502"/>
        <v>37090</v>
      </c>
      <c r="BS245">
        <f>_xlfn.XLOOKUP(B245,'[7]september-2025'!$A:$A,'[7]september-2025'!$C:$C,0,0)</f>
        <v>29800</v>
      </c>
      <c r="BT245">
        <f t="shared" si="542"/>
        <v>5364</v>
      </c>
      <c r="BU245">
        <f t="shared" si="543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503"/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544"/>
        <v>150</v>
      </c>
      <c r="CB245">
        <f t="shared" si="545"/>
        <v>37090</v>
      </c>
      <c r="CC245">
        <f>_xlfn.XLOOKUP(B245,'[8]october-2025'!$A:$A,'[8]october-2025'!$C:$C,0,0)</f>
        <v>29800</v>
      </c>
      <c r="CD245">
        <f t="shared" si="546"/>
        <v>5364</v>
      </c>
      <c r="CE245">
        <f t="shared" si="547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504"/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548"/>
        <v>150</v>
      </c>
      <c r="CL245">
        <f t="shared" si="549"/>
        <v>37090</v>
      </c>
      <c r="CM245">
        <f>_xlfn.XLOOKUP(B245,'[9]november-2025'!$A:$A,'[9]november-2025'!$C:$C,0,0)</f>
        <v>29800</v>
      </c>
      <c r="CN245">
        <f t="shared" si="550"/>
        <v>5364</v>
      </c>
      <c r="CO245">
        <f t="shared" si="551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505"/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552"/>
        <v>150</v>
      </c>
      <c r="CV245">
        <f t="shared" si="553"/>
        <v>37090</v>
      </c>
      <c r="CW245">
        <f>_xlfn.XLOOKUP(B245,'[10]december-2025'!$A:$A,'[10]december-2025'!$C:$C,0,0)</f>
        <v>29800</v>
      </c>
      <c r="CX245">
        <f t="shared" si="554"/>
        <v>5364</v>
      </c>
      <c r="CY245">
        <f t="shared" si="555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506"/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556"/>
        <v>150</v>
      </c>
      <c r="DF245">
        <f t="shared" si="557"/>
        <v>37090</v>
      </c>
      <c r="DG245">
        <f>_xlfn.XLOOKUP(B245,'[11]january-2026'!$A:$A,'[11]january-2026'!$C:$C,0,0)</f>
        <v>29800</v>
      </c>
      <c r="DH245">
        <f t="shared" si="558"/>
        <v>5364</v>
      </c>
      <c r="DI245">
        <f t="shared" si="559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07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60"/>
        <v>150</v>
      </c>
      <c r="DP245">
        <f t="shared" si="561"/>
        <v>37090</v>
      </c>
      <c r="DQ245">
        <f>_xlfn.XLOOKUP(B245,'[12]february-2026'!$A:$A,'[12]february-2026'!$C:$C,0,0)</f>
        <v>29800</v>
      </c>
      <c r="DR245">
        <f t="shared" si="562"/>
        <v>5364</v>
      </c>
      <c r="DS245">
        <f t="shared" si="563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08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64"/>
        <v>150</v>
      </c>
      <c r="DZ245">
        <f t="shared" si="565"/>
        <v>37090</v>
      </c>
      <c r="EA245">
        <f>_xlfn.XLOOKUP(B245,'[1]march-2025'!$A:$A,'[1]march-2025'!$J:$J,0,0)</f>
        <v>0</v>
      </c>
      <c r="EB245">
        <f>_xlfn.XLOOKUP(B245,'[2]april-2025'!$A:$A,'[2]april-2025'!$J:$J,0,0)</f>
        <v>0</v>
      </c>
      <c r="EC245">
        <f>_xlfn.XLOOKUP(B245,'[3]may-2025'!$A:$A,'[3]may-2025'!$J:$J,0,0)</f>
        <v>60274</v>
      </c>
      <c r="ED245">
        <f>_xlfn.XLOOKUP(B245,'[4]june-2025'!$A:$A,'[4]june-2025'!$J:$J,0,0)</f>
        <v>60294</v>
      </c>
      <c r="EE245">
        <f>_xlfn.XLOOKUP(B245,'[5]july-2025'!$A:$A,'[5]july-2025'!$J:$J,0,0)</f>
        <v>0</v>
      </c>
      <c r="EF245">
        <f>_xlfn.XLOOKUP(B245,'[6]august-2025'!$A:$A,'[6]august-2025'!$J:$J,0,0)</f>
        <v>0</v>
      </c>
      <c r="EG245">
        <f>_xlfn.XLOOKUP(B245,'[7]september-2025'!$A:$A,'[7]september-2025'!$J:$J,0,0)</f>
        <v>0</v>
      </c>
      <c r="EH245">
        <f>_xlfn.XLOOKUP(B245,'[8]october-2025'!$A:$A,'[8]october-2025'!$J:$J,0,0)</f>
        <v>0</v>
      </c>
      <c r="EI245">
        <f>_xlfn.XLOOKUP(C245,'[9]november-2025'!$A:$A,'[9]november-2025'!$J:$J,0,0)</f>
        <v>0</v>
      </c>
      <c r="EJ245">
        <f>_xlfn.XLOOKUP(B245,'[10]december-2025'!$A:$A,'[10]december-2025'!$J:$J,0,0)</f>
        <v>0</v>
      </c>
      <c r="EK245">
        <f>_xlfn.XLOOKUP(B245,'[11]january-2026'!$A:$A,'[11]january-2026'!$J:$J,0,0)</f>
        <v>0</v>
      </c>
      <c r="EL245">
        <f>_xlfn.XLOOKUP(B245,'[12]february-2026'!$A:$A,'[12]february-2026'!$J:$J,0,0)</f>
        <v>0</v>
      </c>
      <c r="EM245">
        <f t="shared" si="519"/>
        <v>120568</v>
      </c>
      <c r="EN245">
        <f t="shared" si="509"/>
        <v>471844</v>
      </c>
      <c r="EO245">
        <f t="shared" si="510"/>
        <v>1800</v>
      </c>
      <c r="EP245">
        <f t="shared" si="566"/>
        <v>50000</v>
      </c>
      <c r="EQ245">
        <v>0</v>
      </c>
      <c r="ER245">
        <f t="shared" si="520"/>
        <v>540612</v>
      </c>
      <c r="ES245">
        <f t="shared" si="511"/>
        <v>24000</v>
      </c>
      <c r="ET245">
        <f t="shared" si="512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567"/>
        <v>24000</v>
      </c>
      <c r="FF245">
        <f t="shared" si="568"/>
        <v>24000</v>
      </c>
      <c r="FG245">
        <f t="shared" si="569"/>
        <v>516612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513"/>
        <v>0</v>
      </c>
      <c r="FP245">
        <f t="shared" si="570"/>
        <v>516612</v>
      </c>
      <c r="FQ245">
        <f t="shared" si="571"/>
        <v>12500</v>
      </c>
      <c r="FR245">
        <f t="shared" si="572"/>
        <v>3322</v>
      </c>
      <c r="FS245">
        <f t="shared" si="573"/>
        <v>15822</v>
      </c>
      <c r="FT245">
        <f t="shared" si="574"/>
        <v>15822</v>
      </c>
      <c r="FU245">
        <f t="shared" si="575"/>
        <v>632.88</v>
      </c>
      <c r="FV245">
        <f t="shared" si="576"/>
        <v>16455</v>
      </c>
      <c r="FW245">
        <v>0</v>
      </c>
      <c r="FX245">
        <f t="shared" si="577"/>
        <v>16455</v>
      </c>
      <c r="FY245" t="b">
        <f t="shared" si="578"/>
        <v>0</v>
      </c>
      <c r="FZ245">
        <f t="shared" ca="1" si="579"/>
        <v>2483</v>
      </c>
      <c r="GA245">
        <f t="shared" ca="1" si="580"/>
        <v>474327</v>
      </c>
      <c r="GB245">
        <f t="shared" si="581"/>
        <v>75000</v>
      </c>
      <c r="GC245">
        <f t="shared" ca="1" si="582"/>
        <v>399327</v>
      </c>
      <c r="GD245">
        <f t="shared" ca="1" si="583"/>
        <v>0</v>
      </c>
      <c r="GE245">
        <f t="shared" ca="1" si="584"/>
        <v>0</v>
      </c>
      <c r="GF245">
        <f t="shared" ca="1" si="585"/>
        <v>0</v>
      </c>
      <c r="GG245">
        <f t="shared" ca="1" si="586"/>
        <v>0</v>
      </c>
      <c r="GH245">
        <f t="shared" ca="1" si="587"/>
        <v>0</v>
      </c>
      <c r="GI245">
        <f t="shared" ca="1" si="588"/>
        <v>0</v>
      </c>
      <c r="GJ245">
        <f t="shared" ca="1" si="514"/>
        <v>0</v>
      </c>
      <c r="GK245">
        <f t="shared" ca="1" si="589"/>
        <v>0</v>
      </c>
      <c r="GL245">
        <f t="shared" ca="1" si="590"/>
        <v>0</v>
      </c>
      <c r="GM245">
        <f t="shared" ca="1" si="591"/>
        <v>0</v>
      </c>
      <c r="GN245">
        <f t="shared" ca="1" si="592"/>
        <v>0</v>
      </c>
      <c r="GO245">
        <f t="shared" ca="1" si="593"/>
        <v>0</v>
      </c>
      <c r="GP245">
        <f t="shared" ca="1" si="594"/>
        <v>0</v>
      </c>
      <c r="GQ245">
        <f t="shared" ca="1" si="595"/>
        <v>0</v>
      </c>
      <c r="GR245">
        <f t="shared" ca="1" si="596"/>
        <v>0</v>
      </c>
      <c r="GS245">
        <f t="shared" ca="1" si="597"/>
        <v>0</v>
      </c>
      <c r="GT245">
        <f t="shared" ca="1" si="598"/>
        <v>0</v>
      </c>
      <c r="GU245" t="b">
        <f t="shared" ca="1" si="599"/>
        <v>0</v>
      </c>
      <c r="GV245">
        <f t="shared" ca="1" si="600"/>
        <v>0</v>
      </c>
      <c r="GW245">
        <f t="shared" ca="1" si="601"/>
        <v>0</v>
      </c>
      <c r="GX245">
        <f t="shared" ca="1" si="602"/>
        <v>0</v>
      </c>
      <c r="GY245">
        <f t="shared" ca="1" si="603"/>
        <v>0</v>
      </c>
      <c r="GZ245">
        <f t="shared" ca="1" si="604"/>
        <v>0</v>
      </c>
    </row>
    <row r="246" spans="1:208" x14ac:dyDescent="0.3">
      <c r="A246">
        <f>_xlfn.AGGREGATE(3,5,$B$2:B246)</f>
        <v>245</v>
      </c>
      <c r="B246" t="s">
        <v>595</v>
      </c>
      <c r="C246" t="s">
        <v>596</v>
      </c>
      <c r="D246" t="s">
        <v>812</v>
      </c>
      <c r="E246" t="s">
        <v>830</v>
      </c>
      <c r="F246" t="s">
        <v>956</v>
      </c>
      <c r="G246" t="s">
        <v>887</v>
      </c>
      <c r="H246">
        <f t="shared" si="607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521"/>
        <v>5278.0000000000009</v>
      </c>
      <c r="L246">
        <f t="shared" si="522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 t="shared" si="499"/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605"/>
        <v>200</v>
      </c>
      <c r="S246">
        <f t="shared" si="515"/>
        <v>45202</v>
      </c>
      <c r="T246">
        <f>_xlfn.XLOOKUP(B246,'[2]april-2025'!$A:$A,'[2]april-2025'!$C:$C,0,0)</f>
        <v>37700</v>
      </c>
      <c r="U246">
        <f t="shared" si="523"/>
        <v>6786</v>
      </c>
      <c r="V246">
        <f t="shared" si="524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516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525"/>
        <v>200</v>
      </c>
      <c r="AC246">
        <f t="shared" si="526"/>
        <v>46710</v>
      </c>
      <c r="AD246">
        <f>_xlfn.XLOOKUP(B246,'[3]may-2025'!$A:$A,'[3]may-2025'!$C:$C,0,0)</f>
        <v>37700</v>
      </c>
      <c r="AE246">
        <f t="shared" si="527"/>
        <v>6786</v>
      </c>
      <c r="AF246">
        <f t="shared" si="528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517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529"/>
        <v>200</v>
      </c>
      <c r="AM246">
        <f t="shared" si="530"/>
        <v>46710</v>
      </c>
      <c r="AN246">
        <f>_xlfn.XLOOKUP(B246,'[4]june-2025'!$A:$A,'[4]june-2025'!$C:$C,0,0)</f>
        <v>37700</v>
      </c>
      <c r="AO246">
        <f t="shared" si="531"/>
        <v>6786</v>
      </c>
      <c r="AP246">
        <f t="shared" si="532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518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533"/>
        <v>200</v>
      </c>
      <c r="AW246">
        <f t="shared" si="534"/>
        <v>46710</v>
      </c>
      <c r="AX246">
        <f>_xlfn.XLOOKUP(B246,'[5]july-2025'!$A:$A,'[5]july-2025'!$C:$C,0,0)</f>
        <v>38800</v>
      </c>
      <c r="AY246">
        <f t="shared" si="535"/>
        <v>6984</v>
      </c>
      <c r="AZ246">
        <v>0</v>
      </c>
      <c r="BA246">
        <f t="shared" si="536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 t="shared" si="500"/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537"/>
        <v>200</v>
      </c>
      <c r="BH246">
        <f t="shared" si="538"/>
        <v>48140</v>
      </c>
      <c r="BI246">
        <f>_xlfn.XLOOKUP(B246,'[6]august-2025'!$A:$A,'[6]august-2025'!$C:$C,0,0)</f>
        <v>38800</v>
      </c>
      <c r="BJ246">
        <f t="shared" si="539"/>
        <v>6984</v>
      </c>
      <c r="BK246">
        <f t="shared" si="540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541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501"/>
        <v>200</v>
      </c>
      <c r="BR246">
        <f t="shared" si="502"/>
        <v>48140</v>
      </c>
      <c r="BS246">
        <f>_xlfn.XLOOKUP(B246,'[7]september-2025'!$A:$A,'[7]september-2025'!$C:$C,0,0)</f>
        <v>38800</v>
      </c>
      <c r="BT246">
        <f t="shared" si="542"/>
        <v>6984</v>
      </c>
      <c r="BU246">
        <f t="shared" si="543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 t="shared" si="503"/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544"/>
        <v>200</v>
      </c>
      <c r="CB246">
        <f t="shared" si="545"/>
        <v>48140</v>
      </c>
      <c r="CC246">
        <f>_xlfn.XLOOKUP(B246,'[8]october-2025'!$A:$A,'[8]october-2025'!$C:$C,0,0)</f>
        <v>38800</v>
      </c>
      <c r="CD246">
        <f t="shared" si="546"/>
        <v>6984</v>
      </c>
      <c r="CE246">
        <f t="shared" si="547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 t="shared" si="504"/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548"/>
        <v>200</v>
      </c>
      <c r="CL246">
        <f t="shared" si="549"/>
        <v>48140</v>
      </c>
      <c r="CM246">
        <f>_xlfn.XLOOKUP(B246,'[9]november-2025'!$A:$A,'[9]november-2025'!$C:$C,0,0)</f>
        <v>38800</v>
      </c>
      <c r="CN246">
        <f t="shared" si="550"/>
        <v>6984</v>
      </c>
      <c r="CO246">
        <f t="shared" si="551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 t="shared" si="505"/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552"/>
        <v>200</v>
      </c>
      <c r="CV246">
        <f t="shared" si="553"/>
        <v>48140</v>
      </c>
      <c r="CW246">
        <f>_xlfn.XLOOKUP(B246,'[10]december-2025'!$A:$A,'[10]december-2025'!$C:$C,0,0)</f>
        <v>38800</v>
      </c>
      <c r="CX246">
        <f t="shared" si="554"/>
        <v>6984</v>
      </c>
      <c r="CY246">
        <f t="shared" si="555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 t="shared" si="506"/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556"/>
        <v>200</v>
      </c>
      <c r="DF246">
        <f t="shared" si="557"/>
        <v>48140</v>
      </c>
      <c r="DG246">
        <f>_xlfn.XLOOKUP(B246,'[11]january-2026'!$A:$A,'[11]january-2026'!$C:$C,0,0)</f>
        <v>38800</v>
      </c>
      <c r="DH246">
        <f t="shared" si="558"/>
        <v>6984</v>
      </c>
      <c r="DI246">
        <f t="shared" si="559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07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60"/>
        <v>200</v>
      </c>
      <c r="DP246">
        <f t="shared" si="561"/>
        <v>48140</v>
      </c>
      <c r="DQ246">
        <f>_xlfn.XLOOKUP(B246,'[12]february-2026'!$A:$A,'[12]february-2026'!$C:$C,0,0)</f>
        <v>38800</v>
      </c>
      <c r="DR246">
        <f t="shared" si="562"/>
        <v>6984</v>
      </c>
      <c r="DS246">
        <f t="shared" si="563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08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64"/>
        <v>200</v>
      </c>
      <c r="DZ246">
        <f t="shared" si="565"/>
        <v>48140</v>
      </c>
      <c r="EA246">
        <f>_xlfn.XLOOKUP(B246,'[1]march-2025'!$A:$A,'[1]march-2025'!$J:$J,0,0)</f>
        <v>0</v>
      </c>
      <c r="EB246">
        <f>_xlfn.XLOOKUP(B246,'[2]april-2025'!$A:$A,'[2]april-2025'!$J:$J,0,0)</f>
        <v>0</v>
      </c>
      <c r="EC246">
        <f>_xlfn.XLOOKUP(B246,'[3]may-2025'!$A:$A,'[3]may-2025'!$J:$J,0,0)</f>
        <v>0</v>
      </c>
      <c r="ED246">
        <f>_xlfn.XLOOKUP(B246,'[4]june-2025'!$A:$A,'[4]june-2025'!$J:$J,0,0)</f>
        <v>0</v>
      </c>
      <c r="EE246">
        <f>_xlfn.XLOOKUP(B246,'[5]july-2025'!$A:$A,'[5]july-2025'!$J:$J,0,0)</f>
        <v>0</v>
      </c>
      <c r="EF246">
        <f>_xlfn.XLOOKUP(B246,'[6]august-2025'!$A:$A,'[6]august-2025'!$J:$J,0,0)</f>
        <v>0</v>
      </c>
      <c r="EG246">
        <f>_xlfn.XLOOKUP(B246,'[7]september-2025'!$A:$A,'[7]september-2025'!$J:$J,0,0)</f>
        <v>0</v>
      </c>
      <c r="EH246">
        <f>_xlfn.XLOOKUP(B246,'[8]october-2025'!$A:$A,'[8]october-2025'!$J:$J,0,0)</f>
        <v>0</v>
      </c>
      <c r="EI246">
        <f>_xlfn.XLOOKUP(C246,'[9]november-2025'!$A:$A,'[9]november-2025'!$J:$J,0,0)</f>
        <v>0</v>
      </c>
      <c r="EJ246">
        <f>_xlfn.XLOOKUP(B246,'[10]december-2025'!$A:$A,'[10]december-2025'!$J:$J,0,0)</f>
        <v>0</v>
      </c>
      <c r="EK246">
        <f>_xlfn.XLOOKUP(B246,'[11]january-2026'!$A:$A,'[11]january-2026'!$J:$J,0,0)</f>
        <v>0</v>
      </c>
      <c r="EL246">
        <f>_xlfn.XLOOKUP(B246,'[12]february-2026'!$A:$A,'[12]february-2026'!$J:$J,0,0)</f>
        <v>0</v>
      </c>
      <c r="EM246">
        <f t="shared" si="519"/>
        <v>0</v>
      </c>
      <c r="EN246">
        <f t="shared" si="509"/>
        <v>615652</v>
      </c>
      <c r="EO246">
        <f t="shared" si="510"/>
        <v>2400</v>
      </c>
      <c r="EP246">
        <f t="shared" si="566"/>
        <v>50000</v>
      </c>
      <c r="EQ246">
        <v>0</v>
      </c>
      <c r="ER246">
        <f t="shared" si="520"/>
        <v>563252</v>
      </c>
      <c r="ES246">
        <f t="shared" si="511"/>
        <v>36000</v>
      </c>
      <c r="ET246">
        <f t="shared" si="512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567"/>
        <v>36000</v>
      </c>
      <c r="FF246">
        <f t="shared" si="568"/>
        <v>36000</v>
      </c>
      <c r="FG246">
        <f t="shared" si="569"/>
        <v>527252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513"/>
        <v>0</v>
      </c>
      <c r="FP246">
        <f t="shared" si="570"/>
        <v>527252</v>
      </c>
      <c r="FQ246">
        <f t="shared" si="571"/>
        <v>12500</v>
      </c>
      <c r="FR246">
        <f t="shared" si="572"/>
        <v>5450</v>
      </c>
      <c r="FS246">
        <f t="shared" si="573"/>
        <v>17950</v>
      </c>
      <c r="FT246">
        <f t="shared" si="574"/>
        <v>17950</v>
      </c>
      <c r="FU246">
        <f t="shared" si="575"/>
        <v>718</v>
      </c>
      <c r="FV246">
        <f t="shared" si="576"/>
        <v>18668</v>
      </c>
      <c r="FW246">
        <v>0</v>
      </c>
      <c r="FX246">
        <f t="shared" si="577"/>
        <v>18668</v>
      </c>
      <c r="FY246" t="b">
        <f t="shared" si="578"/>
        <v>1</v>
      </c>
      <c r="FZ246">
        <f t="shared" ca="1" si="579"/>
        <v>815</v>
      </c>
      <c r="GA246">
        <f t="shared" ca="1" si="580"/>
        <v>616467</v>
      </c>
      <c r="GB246">
        <f t="shared" si="581"/>
        <v>75000</v>
      </c>
      <c r="GC246">
        <f t="shared" ca="1" si="582"/>
        <v>541467</v>
      </c>
      <c r="GD246">
        <f t="shared" ca="1" si="583"/>
        <v>0</v>
      </c>
      <c r="GE246">
        <f t="shared" ca="1" si="584"/>
        <v>0</v>
      </c>
      <c r="GF246">
        <f t="shared" ca="1" si="585"/>
        <v>0</v>
      </c>
      <c r="GG246">
        <f t="shared" ca="1" si="586"/>
        <v>0</v>
      </c>
      <c r="GH246">
        <f t="shared" ca="1" si="587"/>
        <v>0</v>
      </c>
      <c r="GI246">
        <f t="shared" ca="1" si="588"/>
        <v>0</v>
      </c>
      <c r="GJ246">
        <f t="shared" ca="1" si="514"/>
        <v>0</v>
      </c>
      <c r="GK246">
        <f t="shared" ca="1" si="589"/>
        <v>0</v>
      </c>
      <c r="GL246">
        <f t="shared" ca="1" si="590"/>
        <v>0</v>
      </c>
      <c r="GM246">
        <f t="shared" ca="1" si="591"/>
        <v>0</v>
      </c>
      <c r="GN246">
        <f t="shared" ca="1" si="592"/>
        <v>141467</v>
      </c>
      <c r="GO246">
        <f t="shared" ca="1" si="593"/>
        <v>7073.35</v>
      </c>
      <c r="GP246">
        <f t="shared" ca="1" si="594"/>
        <v>7073</v>
      </c>
      <c r="GQ246">
        <f t="shared" ca="1" si="595"/>
        <v>0</v>
      </c>
      <c r="GR246">
        <f t="shared" ca="1" si="596"/>
        <v>0</v>
      </c>
      <c r="GS246">
        <f t="shared" ca="1" si="597"/>
        <v>7073</v>
      </c>
      <c r="GT246">
        <f t="shared" ca="1" si="598"/>
        <v>0</v>
      </c>
      <c r="GU246" t="b">
        <f t="shared" ca="1" si="599"/>
        <v>0</v>
      </c>
      <c r="GV246">
        <f t="shared" ca="1" si="600"/>
        <v>0</v>
      </c>
      <c r="GW246">
        <f t="shared" ca="1" si="601"/>
        <v>7073</v>
      </c>
      <c r="GX246">
        <f t="shared" ca="1" si="602"/>
        <v>0</v>
      </c>
      <c r="GY246">
        <f t="shared" ca="1" si="603"/>
        <v>0</v>
      </c>
      <c r="GZ246">
        <f t="shared" ca="1" si="604"/>
        <v>0</v>
      </c>
    </row>
    <row r="247" spans="1:208" x14ac:dyDescent="0.3">
      <c r="A247">
        <f>_xlfn.AGGREGATE(3,5,$B$2:B247)</f>
        <v>246</v>
      </c>
      <c r="B247" t="s">
        <v>597</v>
      </c>
      <c r="C247" t="s">
        <v>598</v>
      </c>
      <c r="D247" t="s">
        <v>812</v>
      </c>
      <c r="E247" t="s">
        <v>830</v>
      </c>
      <c r="F247" t="s">
        <v>956</v>
      </c>
      <c r="G247" t="s">
        <v>884</v>
      </c>
      <c r="H247">
        <f t="shared" si="607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521"/>
        <v>6622.0000000000009</v>
      </c>
      <c r="L247">
        <f t="shared" si="522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499"/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605"/>
        <v>200</v>
      </c>
      <c r="S247">
        <f t="shared" si="515"/>
        <v>56898</v>
      </c>
      <c r="T247">
        <f>_xlfn.XLOOKUP(B247,'[2]april-2025'!$A:$A,'[2]april-2025'!$C:$C,0,0)</f>
        <v>47300</v>
      </c>
      <c r="U247">
        <f t="shared" si="523"/>
        <v>8514</v>
      </c>
      <c r="V247">
        <f t="shared" si="524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516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525"/>
        <v>200</v>
      </c>
      <c r="AC247">
        <f t="shared" si="526"/>
        <v>58790</v>
      </c>
      <c r="AD247">
        <f>_xlfn.XLOOKUP(B247,'[3]may-2025'!$A:$A,'[3]may-2025'!$C:$C,0,0)</f>
        <v>47300</v>
      </c>
      <c r="AE247">
        <f t="shared" si="527"/>
        <v>8514</v>
      </c>
      <c r="AF247">
        <f t="shared" si="528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517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529"/>
        <v>200</v>
      </c>
      <c r="AM247">
        <f t="shared" si="530"/>
        <v>58790</v>
      </c>
      <c r="AN247">
        <f>_xlfn.XLOOKUP(B247,'[4]june-2025'!$A:$A,'[4]june-2025'!$C:$C,0,0)</f>
        <v>47300</v>
      </c>
      <c r="AO247">
        <f t="shared" si="531"/>
        <v>8514</v>
      </c>
      <c r="AP247">
        <f t="shared" si="532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518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533"/>
        <v>200</v>
      </c>
      <c r="AW247">
        <f t="shared" si="534"/>
        <v>58790</v>
      </c>
      <c r="AX247">
        <f>_xlfn.XLOOKUP(B247,'[5]july-2025'!$A:$A,'[5]july-2025'!$C:$C,0,0)</f>
        <v>48700</v>
      </c>
      <c r="AY247">
        <f t="shared" si="535"/>
        <v>8766</v>
      </c>
      <c r="AZ247">
        <v>0</v>
      </c>
      <c r="BA247">
        <f t="shared" si="536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500"/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537"/>
        <v>200</v>
      </c>
      <c r="BH247">
        <f t="shared" si="538"/>
        <v>60610</v>
      </c>
      <c r="BI247">
        <f>_xlfn.XLOOKUP(B247,'[6]august-2025'!$A:$A,'[6]august-2025'!$C:$C,0,0)</f>
        <v>48700</v>
      </c>
      <c r="BJ247">
        <f t="shared" si="539"/>
        <v>8766</v>
      </c>
      <c r="BK247">
        <f t="shared" si="540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541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 t="shared" si="501"/>
        <v>200</v>
      </c>
      <c r="BR247">
        <f t="shared" si="502"/>
        <v>60610</v>
      </c>
      <c r="BS247">
        <f>_xlfn.XLOOKUP(B247,'[7]september-2025'!$A:$A,'[7]september-2025'!$C:$C,0,0)</f>
        <v>48700</v>
      </c>
      <c r="BT247">
        <f t="shared" si="542"/>
        <v>8766</v>
      </c>
      <c r="BU247">
        <f t="shared" si="543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503"/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544"/>
        <v>200</v>
      </c>
      <c r="CB247">
        <f t="shared" si="545"/>
        <v>60610</v>
      </c>
      <c r="CC247">
        <f>_xlfn.XLOOKUP(B247,'[8]october-2025'!$A:$A,'[8]october-2025'!$C:$C,0,0)</f>
        <v>48700</v>
      </c>
      <c r="CD247">
        <f t="shared" si="546"/>
        <v>8766</v>
      </c>
      <c r="CE247">
        <f t="shared" si="547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504"/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548"/>
        <v>200</v>
      </c>
      <c r="CL247">
        <f t="shared" si="549"/>
        <v>60610</v>
      </c>
      <c r="CM247">
        <f>_xlfn.XLOOKUP(B247,'[9]november-2025'!$A:$A,'[9]november-2025'!$C:$C,0,0)</f>
        <v>48700</v>
      </c>
      <c r="CN247">
        <f t="shared" si="550"/>
        <v>8766</v>
      </c>
      <c r="CO247">
        <f t="shared" si="551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505"/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552"/>
        <v>200</v>
      </c>
      <c r="CV247">
        <f t="shared" si="553"/>
        <v>60610</v>
      </c>
      <c r="CW247">
        <f>_xlfn.XLOOKUP(B247,'[10]december-2025'!$A:$A,'[10]december-2025'!$C:$C,0,0)</f>
        <v>48700</v>
      </c>
      <c r="CX247">
        <f t="shared" si="554"/>
        <v>8766</v>
      </c>
      <c r="CY247">
        <f t="shared" si="555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506"/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556"/>
        <v>200</v>
      </c>
      <c r="DF247">
        <f t="shared" si="557"/>
        <v>60610</v>
      </c>
      <c r="DG247">
        <f>_xlfn.XLOOKUP(B247,'[11]january-2026'!$A:$A,'[11]january-2026'!$C:$C,0,0)</f>
        <v>48700</v>
      </c>
      <c r="DH247">
        <f t="shared" si="558"/>
        <v>8766</v>
      </c>
      <c r="DI247">
        <f t="shared" si="559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07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60"/>
        <v>200</v>
      </c>
      <c r="DP247">
        <f t="shared" si="561"/>
        <v>60610</v>
      </c>
      <c r="DQ247">
        <f>_xlfn.XLOOKUP(B247,'[12]february-2026'!$A:$A,'[12]february-2026'!$C:$C,0,0)</f>
        <v>48700</v>
      </c>
      <c r="DR247">
        <f t="shared" si="562"/>
        <v>8766</v>
      </c>
      <c r="DS247">
        <f t="shared" si="563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08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64"/>
        <v>200</v>
      </c>
      <c r="DZ247">
        <f t="shared" si="565"/>
        <v>60610</v>
      </c>
      <c r="EA247">
        <f>_xlfn.XLOOKUP(B247,'[1]march-2025'!$A:$A,'[1]march-2025'!$J:$J,0,0)</f>
        <v>0</v>
      </c>
      <c r="EB247">
        <f>_xlfn.XLOOKUP(B247,'[2]april-2025'!$A:$A,'[2]april-2025'!$J:$J,0,0)</f>
        <v>0</v>
      </c>
      <c r="EC247">
        <f>_xlfn.XLOOKUP(B247,'[3]may-2025'!$A:$A,'[3]may-2025'!$J:$J,0,0)</f>
        <v>0</v>
      </c>
      <c r="ED247">
        <f>_xlfn.XLOOKUP(B247,'[4]june-2025'!$A:$A,'[4]june-2025'!$J:$J,0,0)</f>
        <v>0</v>
      </c>
      <c r="EE247">
        <f>_xlfn.XLOOKUP(B247,'[5]july-2025'!$A:$A,'[5]july-2025'!$J:$J,0,0)</f>
        <v>0</v>
      </c>
      <c r="EF247">
        <f>_xlfn.XLOOKUP(B247,'[6]august-2025'!$A:$A,'[6]august-2025'!$J:$J,0,0)</f>
        <v>0</v>
      </c>
      <c r="EG247">
        <f>_xlfn.XLOOKUP(B247,'[7]september-2025'!$A:$A,'[7]september-2025'!$J:$J,0,0)</f>
        <v>0</v>
      </c>
      <c r="EH247">
        <f>_xlfn.XLOOKUP(B247,'[8]october-2025'!$A:$A,'[8]october-2025'!$J:$J,0,0)</f>
        <v>0</v>
      </c>
      <c r="EI247">
        <f>_xlfn.XLOOKUP(C247,'[9]november-2025'!$A:$A,'[9]november-2025'!$J:$J,0,0)</f>
        <v>0</v>
      </c>
      <c r="EJ247">
        <f>_xlfn.XLOOKUP(B247,'[10]december-2025'!$A:$A,'[10]december-2025'!$J:$J,0,0)</f>
        <v>0</v>
      </c>
      <c r="EK247">
        <f>_xlfn.XLOOKUP(B247,'[11]january-2026'!$A:$A,'[11]january-2026'!$J:$J,0,0)</f>
        <v>0</v>
      </c>
      <c r="EL247">
        <f>_xlfn.XLOOKUP(B247,'[12]february-2026'!$A:$A,'[12]february-2026'!$J:$J,0,0)</f>
        <v>0</v>
      </c>
      <c r="EM247">
        <f t="shared" si="519"/>
        <v>0</v>
      </c>
      <c r="EN247">
        <f t="shared" si="509"/>
        <v>763348</v>
      </c>
      <c r="EO247">
        <f t="shared" si="510"/>
        <v>2400</v>
      </c>
      <c r="EP247">
        <f t="shared" si="566"/>
        <v>50000</v>
      </c>
      <c r="EQ247">
        <v>0</v>
      </c>
      <c r="ER247">
        <f t="shared" si="520"/>
        <v>710948</v>
      </c>
      <c r="ES247">
        <f t="shared" si="511"/>
        <v>36000</v>
      </c>
      <c r="ET247">
        <f t="shared" si="512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567"/>
        <v>36000</v>
      </c>
      <c r="FF247">
        <f t="shared" si="568"/>
        <v>36000</v>
      </c>
      <c r="FG247">
        <f t="shared" si="569"/>
        <v>674948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513"/>
        <v>0</v>
      </c>
      <c r="FP247">
        <f t="shared" si="570"/>
        <v>674948</v>
      </c>
      <c r="FQ247">
        <f t="shared" si="571"/>
        <v>12500</v>
      </c>
      <c r="FR247">
        <f t="shared" si="572"/>
        <v>34990</v>
      </c>
      <c r="FS247">
        <f t="shared" si="573"/>
        <v>47490</v>
      </c>
      <c r="FT247">
        <f t="shared" si="574"/>
        <v>47490</v>
      </c>
      <c r="FU247">
        <f t="shared" si="575"/>
        <v>1899.6000000000001</v>
      </c>
      <c r="FV247">
        <f t="shared" si="576"/>
        <v>49390</v>
      </c>
      <c r="FW247">
        <v>0</v>
      </c>
      <c r="FX247">
        <f t="shared" si="577"/>
        <v>49390</v>
      </c>
      <c r="FY247" t="b">
        <f t="shared" si="578"/>
        <v>1</v>
      </c>
      <c r="FZ247">
        <f t="shared" ca="1" si="579"/>
        <v>643</v>
      </c>
      <c r="GA247">
        <f t="shared" ca="1" si="580"/>
        <v>763991</v>
      </c>
      <c r="GB247">
        <f t="shared" si="581"/>
        <v>75000</v>
      </c>
      <c r="GC247">
        <f t="shared" ca="1" si="582"/>
        <v>688991</v>
      </c>
      <c r="GD247">
        <f t="shared" ca="1" si="583"/>
        <v>0</v>
      </c>
      <c r="GE247">
        <f t="shared" ca="1" si="584"/>
        <v>0</v>
      </c>
      <c r="GF247">
        <f t="shared" ca="1" si="585"/>
        <v>0</v>
      </c>
      <c r="GG247">
        <f t="shared" ca="1" si="586"/>
        <v>0</v>
      </c>
      <c r="GH247">
        <f t="shared" ca="1" si="587"/>
        <v>0</v>
      </c>
      <c r="GI247">
        <f t="shared" ca="1" si="588"/>
        <v>0</v>
      </c>
      <c r="GJ247">
        <f t="shared" ca="1" si="514"/>
        <v>0</v>
      </c>
      <c r="GK247">
        <f t="shared" ca="1" si="589"/>
        <v>0</v>
      </c>
      <c r="GL247">
        <f t="shared" ca="1" si="590"/>
        <v>0</v>
      </c>
      <c r="GM247">
        <f t="shared" ca="1" si="591"/>
        <v>0</v>
      </c>
      <c r="GN247">
        <f t="shared" ca="1" si="592"/>
        <v>288991</v>
      </c>
      <c r="GO247">
        <f t="shared" ca="1" si="593"/>
        <v>14449.550000000001</v>
      </c>
      <c r="GP247">
        <f t="shared" ca="1" si="594"/>
        <v>14450</v>
      </c>
      <c r="GQ247">
        <f t="shared" ca="1" si="595"/>
        <v>0</v>
      </c>
      <c r="GR247">
        <f t="shared" ca="1" si="596"/>
        <v>0</v>
      </c>
      <c r="GS247">
        <f t="shared" ca="1" si="597"/>
        <v>14450</v>
      </c>
      <c r="GT247">
        <f t="shared" ca="1" si="598"/>
        <v>0</v>
      </c>
      <c r="GU247" t="b">
        <f t="shared" ca="1" si="599"/>
        <v>0</v>
      </c>
      <c r="GV247">
        <f t="shared" ca="1" si="600"/>
        <v>0</v>
      </c>
      <c r="GW247">
        <f t="shared" ca="1" si="601"/>
        <v>14450</v>
      </c>
      <c r="GX247">
        <f t="shared" ca="1" si="602"/>
        <v>0</v>
      </c>
      <c r="GY247">
        <f t="shared" ca="1" si="603"/>
        <v>0</v>
      </c>
      <c r="GZ247">
        <f t="shared" ca="1" si="604"/>
        <v>0</v>
      </c>
    </row>
    <row r="248" spans="1:208" x14ac:dyDescent="0.3">
      <c r="A248">
        <f>_xlfn.AGGREGATE(3,5,$B$2:B248)</f>
        <v>247</v>
      </c>
      <c r="B248" t="s">
        <v>599</v>
      </c>
      <c r="C248" t="s">
        <v>600</v>
      </c>
      <c r="D248" t="s">
        <v>812</v>
      </c>
      <c r="E248" t="s">
        <v>830</v>
      </c>
      <c r="F248" t="s">
        <v>956</v>
      </c>
      <c r="G248" t="s">
        <v>896</v>
      </c>
      <c r="H248">
        <f t="shared" si="607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521"/>
        <v>4690</v>
      </c>
      <c r="L248">
        <f t="shared" si="522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499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605"/>
        <v>200</v>
      </c>
      <c r="S248">
        <f t="shared" si="515"/>
        <v>40010</v>
      </c>
      <c r="T248">
        <f>_xlfn.XLOOKUP(B248,'[2]april-2025'!$A:$A,'[2]april-2025'!$C:$C,0,0)</f>
        <v>33500</v>
      </c>
      <c r="U248">
        <f t="shared" si="523"/>
        <v>6030</v>
      </c>
      <c r="V248">
        <f t="shared" si="524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516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525"/>
        <v>200</v>
      </c>
      <c r="AC248">
        <f t="shared" si="526"/>
        <v>41350</v>
      </c>
      <c r="AD248">
        <f>_xlfn.XLOOKUP(B248,'[3]may-2025'!$A:$A,'[3]may-2025'!$C:$C,0,0)</f>
        <v>33500</v>
      </c>
      <c r="AE248">
        <f t="shared" si="527"/>
        <v>6030</v>
      </c>
      <c r="AF248">
        <f t="shared" si="528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517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529"/>
        <v>200</v>
      </c>
      <c r="AM248">
        <f t="shared" si="530"/>
        <v>41350</v>
      </c>
      <c r="AN248">
        <f>_xlfn.XLOOKUP(B248,'[4]june-2025'!$A:$A,'[4]june-2025'!$C:$C,0,0)</f>
        <v>33500</v>
      </c>
      <c r="AO248">
        <f t="shared" si="531"/>
        <v>6030</v>
      </c>
      <c r="AP248">
        <f t="shared" si="532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518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533"/>
        <v>200</v>
      </c>
      <c r="AW248">
        <f t="shared" si="534"/>
        <v>41350</v>
      </c>
      <c r="AX248">
        <f>_xlfn.XLOOKUP(B248,'[5]july-2025'!$A:$A,'[5]july-2025'!$C:$C,0,0)</f>
        <v>34500</v>
      </c>
      <c r="AY248">
        <f t="shared" si="535"/>
        <v>6210</v>
      </c>
      <c r="AZ248">
        <v>0</v>
      </c>
      <c r="BA248">
        <f t="shared" si="536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500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537"/>
        <v>200</v>
      </c>
      <c r="BH248">
        <f t="shared" si="538"/>
        <v>42650</v>
      </c>
      <c r="BI248">
        <f>_xlfn.XLOOKUP(B248,'[6]august-2025'!$A:$A,'[6]august-2025'!$C:$C,0,0)</f>
        <v>34500</v>
      </c>
      <c r="BJ248">
        <f t="shared" si="539"/>
        <v>6210</v>
      </c>
      <c r="BK248">
        <f t="shared" si="540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541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501"/>
        <v>200</v>
      </c>
      <c r="BR248">
        <f t="shared" si="502"/>
        <v>42650</v>
      </c>
      <c r="BS248">
        <f>_xlfn.XLOOKUP(B248,'[7]september-2025'!$A:$A,'[7]september-2025'!$C:$C,0,0)</f>
        <v>34500</v>
      </c>
      <c r="BT248">
        <f t="shared" si="542"/>
        <v>6210</v>
      </c>
      <c r="BU248">
        <f t="shared" si="543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503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544"/>
        <v>200</v>
      </c>
      <c r="CB248">
        <f t="shared" si="545"/>
        <v>42650</v>
      </c>
      <c r="CC248">
        <f>_xlfn.XLOOKUP(B248,'[8]october-2025'!$A:$A,'[8]october-2025'!$C:$C,0,0)</f>
        <v>34500</v>
      </c>
      <c r="CD248">
        <f t="shared" si="546"/>
        <v>6210</v>
      </c>
      <c r="CE248">
        <f t="shared" si="547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504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548"/>
        <v>200</v>
      </c>
      <c r="CL248">
        <f t="shared" si="549"/>
        <v>42650</v>
      </c>
      <c r="CM248">
        <f>_xlfn.XLOOKUP(B248,'[9]november-2025'!$A:$A,'[9]november-2025'!$C:$C,0,0)</f>
        <v>34500</v>
      </c>
      <c r="CN248">
        <f t="shared" si="550"/>
        <v>6210</v>
      </c>
      <c r="CO248">
        <f t="shared" si="551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505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552"/>
        <v>200</v>
      </c>
      <c r="CV248">
        <f t="shared" si="553"/>
        <v>42650</v>
      </c>
      <c r="CW248">
        <f>_xlfn.XLOOKUP(B248,'[10]december-2025'!$A:$A,'[10]december-2025'!$C:$C,0,0)</f>
        <v>34500</v>
      </c>
      <c r="CX248">
        <f t="shared" si="554"/>
        <v>6210</v>
      </c>
      <c r="CY248">
        <f t="shared" si="555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506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556"/>
        <v>200</v>
      </c>
      <c r="DF248">
        <f t="shared" si="557"/>
        <v>42650</v>
      </c>
      <c r="DG248">
        <f>_xlfn.XLOOKUP(B248,'[11]january-2026'!$A:$A,'[11]january-2026'!$C:$C,0,0)</f>
        <v>34500</v>
      </c>
      <c r="DH248">
        <f t="shared" si="558"/>
        <v>6210</v>
      </c>
      <c r="DI248">
        <f t="shared" si="559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07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60"/>
        <v>200</v>
      </c>
      <c r="DP248">
        <f t="shared" si="561"/>
        <v>42650</v>
      </c>
      <c r="DQ248">
        <f>_xlfn.XLOOKUP(B248,'[12]february-2026'!$A:$A,'[12]february-2026'!$C:$C,0,0)</f>
        <v>34500</v>
      </c>
      <c r="DR248">
        <f t="shared" si="562"/>
        <v>6210</v>
      </c>
      <c r="DS248">
        <f t="shared" si="563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08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64"/>
        <v>200</v>
      </c>
      <c r="DZ248">
        <f t="shared" si="565"/>
        <v>42650</v>
      </c>
      <c r="EA248">
        <f>_xlfn.XLOOKUP(B248,'[1]march-2025'!$A:$A,'[1]march-2025'!$J:$J,0,0)</f>
        <v>0</v>
      </c>
      <c r="EB248">
        <f>_xlfn.XLOOKUP(B248,'[2]april-2025'!$A:$A,'[2]april-2025'!$J:$J,0,0)</f>
        <v>0</v>
      </c>
      <c r="EC248">
        <f>_xlfn.XLOOKUP(B248,'[3]may-2025'!$A:$A,'[3]may-2025'!$J:$J,0,0)</f>
        <v>0</v>
      </c>
      <c r="ED248">
        <f>_xlfn.XLOOKUP(B248,'[4]june-2025'!$A:$A,'[4]june-2025'!$J:$J,0,0)</f>
        <v>0</v>
      </c>
      <c r="EE248">
        <f>_xlfn.XLOOKUP(B248,'[5]july-2025'!$A:$A,'[5]july-2025'!$J:$J,0,0)</f>
        <v>0</v>
      </c>
      <c r="EF248">
        <f>_xlfn.XLOOKUP(B248,'[6]august-2025'!$A:$A,'[6]august-2025'!$J:$J,0,0)</f>
        <v>0</v>
      </c>
      <c r="EG248">
        <f>_xlfn.XLOOKUP(B248,'[7]september-2025'!$A:$A,'[7]september-2025'!$J:$J,0,0)</f>
        <v>0</v>
      </c>
      <c r="EH248">
        <f>_xlfn.XLOOKUP(B248,'[8]october-2025'!$A:$A,'[8]october-2025'!$J:$J,0,0)</f>
        <v>0</v>
      </c>
      <c r="EI248">
        <f>_xlfn.XLOOKUP(C248,'[9]november-2025'!$A:$A,'[9]november-2025'!$J:$J,0,0)</f>
        <v>0</v>
      </c>
      <c r="EJ248">
        <f>_xlfn.XLOOKUP(B248,'[10]december-2025'!$A:$A,'[10]december-2025'!$J:$J,0,0)</f>
        <v>0</v>
      </c>
      <c r="EK248">
        <f>_xlfn.XLOOKUP(B248,'[11]january-2026'!$A:$A,'[11]january-2026'!$J:$J,0,0)</f>
        <v>0</v>
      </c>
      <c r="EL248">
        <f>_xlfn.XLOOKUP(B248,'[12]february-2026'!$A:$A,'[12]february-2026'!$J:$J,0,0)</f>
        <v>0</v>
      </c>
      <c r="EM248">
        <f t="shared" si="519"/>
        <v>0</v>
      </c>
      <c r="EN248">
        <f t="shared" si="509"/>
        <v>544460</v>
      </c>
      <c r="EO248">
        <f t="shared" si="510"/>
        <v>2400</v>
      </c>
      <c r="EP248">
        <f t="shared" si="566"/>
        <v>50000</v>
      </c>
      <c r="EQ248">
        <v>0</v>
      </c>
      <c r="ER248">
        <f t="shared" si="520"/>
        <v>492060</v>
      </c>
      <c r="ES248">
        <f t="shared" si="511"/>
        <v>30000</v>
      </c>
      <c r="ET248">
        <f t="shared" si="512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567"/>
        <v>30000</v>
      </c>
      <c r="FF248">
        <f t="shared" si="568"/>
        <v>30000</v>
      </c>
      <c r="FG248">
        <f t="shared" si="569"/>
        <v>462060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513"/>
        <v>0</v>
      </c>
      <c r="FP248">
        <f t="shared" si="570"/>
        <v>462060</v>
      </c>
      <c r="FQ248">
        <f t="shared" si="571"/>
        <v>10603</v>
      </c>
      <c r="FR248">
        <f t="shared" si="572"/>
        <v>0</v>
      </c>
      <c r="FS248">
        <f t="shared" si="573"/>
        <v>10603</v>
      </c>
      <c r="FT248">
        <f t="shared" si="574"/>
        <v>0</v>
      </c>
      <c r="FU248">
        <f t="shared" si="575"/>
        <v>0</v>
      </c>
      <c r="FV248">
        <f t="shared" si="576"/>
        <v>0</v>
      </c>
      <c r="FW248">
        <v>0</v>
      </c>
      <c r="FX248">
        <f t="shared" si="577"/>
        <v>0</v>
      </c>
      <c r="FY248" t="b">
        <f t="shared" si="578"/>
        <v>1</v>
      </c>
      <c r="FZ248">
        <f t="shared" ca="1" si="579"/>
        <v>554</v>
      </c>
      <c r="GA248">
        <f t="shared" ca="1" si="580"/>
        <v>545014</v>
      </c>
      <c r="GB248">
        <f t="shared" si="581"/>
        <v>75000</v>
      </c>
      <c r="GC248">
        <f t="shared" ca="1" si="582"/>
        <v>470014</v>
      </c>
      <c r="GD248">
        <f t="shared" ca="1" si="583"/>
        <v>0</v>
      </c>
      <c r="GE248">
        <f t="shared" ca="1" si="584"/>
        <v>0</v>
      </c>
      <c r="GF248">
        <f t="shared" ca="1" si="585"/>
        <v>0</v>
      </c>
      <c r="GG248">
        <f t="shared" ca="1" si="586"/>
        <v>0</v>
      </c>
      <c r="GH248">
        <f t="shared" ca="1" si="587"/>
        <v>0</v>
      </c>
      <c r="GI248">
        <f t="shared" ca="1" si="588"/>
        <v>0</v>
      </c>
      <c r="GJ248">
        <f t="shared" ca="1" si="514"/>
        <v>0</v>
      </c>
      <c r="GK248">
        <f t="shared" ca="1" si="589"/>
        <v>0</v>
      </c>
      <c r="GL248">
        <f t="shared" ca="1" si="590"/>
        <v>0</v>
      </c>
      <c r="GM248">
        <f t="shared" ca="1" si="591"/>
        <v>0</v>
      </c>
      <c r="GN248">
        <f t="shared" ca="1" si="592"/>
        <v>70014</v>
      </c>
      <c r="GO248">
        <f t="shared" ca="1" si="593"/>
        <v>3500.7000000000003</v>
      </c>
      <c r="GP248">
        <f t="shared" ca="1" si="594"/>
        <v>3501</v>
      </c>
      <c r="GQ248">
        <f t="shared" ca="1" si="595"/>
        <v>0</v>
      </c>
      <c r="GR248">
        <f t="shared" ca="1" si="596"/>
        <v>0</v>
      </c>
      <c r="GS248">
        <f t="shared" ca="1" si="597"/>
        <v>3501</v>
      </c>
      <c r="GT248">
        <f t="shared" ca="1" si="598"/>
        <v>0</v>
      </c>
      <c r="GU248" t="b">
        <f t="shared" ca="1" si="599"/>
        <v>0</v>
      </c>
      <c r="GV248">
        <f t="shared" ca="1" si="600"/>
        <v>0</v>
      </c>
      <c r="GW248">
        <f t="shared" ca="1" si="601"/>
        <v>3501</v>
      </c>
      <c r="GX248">
        <f t="shared" ca="1" si="602"/>
        <v>0</v>
      </c>
      <c r="GY248">
        <f t="shared" ca="1" si="603"/>
        <v>0</v>
      </c>
      <c r="GZ248">
        <f t="shared" ca="1" si="604"/>
        <v>0</v>
      </c>
    </row>
    <row r="249" spans="1:208" x14ac:dyDescent="0.3">
      <c r="A249">
        <f>_xlfn.AGGREGATE(3,5,$B$2:B249)</f>
        <v>248</v>
      </c>
      <c r="B249" t="s">
        <v>601</v>
      </c>
      <c r="C249" t="s">
        <v>602</v>
      </c>
      <c r="D249" t="s">
        <v>812</v>
      </c>
      <c r="E249" t="s">
        <v>830</v>
      </c>
      <c r="F249" t="s">
        <v>956</v>
      </c>
      <c r="G249" t="s">
        <v>896</v>
      </c>
      <c r="H249">
        <f t="shared" si="607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521"/>
        <v>4690</v>
      </c>
      <c r="L249">
        <f t="shared" si="522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499"/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605"/>
        <v>200</v>
      </c>
      <c r="S249">
        <f t="shared" si="515"/>
        <v>40010</v>
      </c>
      <c r="T249">
        <f>_xlfn.XLOOKUP(B249,'[2]april-2025'!$A:$A,'[2]april-2025'!$C:$C,0,0)</f>
        <v>33500</v>
      </c>
      <c r="U249">
        <f t="shared" si="523"/>
        <v>6030</v>
      </c>
      <c r="V249">
        <f t="shared" si="524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516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525"/>
        <v>200</v>
      </c>
      <c r="AC249">
        <f t="shared" si="526"/>
        <v>41350</v>
      </c>
      <c r="AD249">
        <f>_xlfn.XLOOKUP(B249,'[3]may-2025'!$A:$A,'[3]may-2025'!$C:$C,0,0)</f>
        <v>33500</v>
      </c>
      <c r="AE249">
        <f t="shared" si="527"/>
        <v>6030</v>
      </c>
      <c r="AF249">
        <f t="shared" si="528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517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529"/>
        <v>200</v>
      </c>
      <c r="AM249">
        <f t="shared" si="530"/>
        <v>41350</v>
      </c>
      <c r="AN249">
        <f>_xlfn.XLOOKUP(B249,'[4]june-2025'!$A:$A,'[4]june-2025'!$C:$C,0,0)</f>
        <v>33500</v>
      </c>
      <c r="AO249">
        <f t="shared" si="531"/>
        <v>6030</v>
      </c>
      <c r="AP249">
        <f t="shared" si="532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518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533"/>
        <v>200</v>
      </c>
      <c r="AW249">
        <f t="shared" si="534"/>
        <v>41350</v>
      </c>
      <c r="AX249">
        <f>_xlfn.XLOOKUP(B249,'[5]july-2025'!$A:$A,'[5]july-2025'!$C:$C,0,0)</f>
        <v>34500</v>
      </c>
      <c r="AY249">
        <f t="shared" si="535"/>
        <v>6210</v>
      </c>
      <c r="AZ249">
        <v>0</v>
      </c>
      <c r="BA249">
        <f t="shared" si="536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500"/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537"/>
        <v>200</v>
      </c>
      <c r="BH249">
        <f t="shared" si="538"/>
        <v>42650</v>
      </c>
      <c r="BI249">
        <f>_xlfn.XLOOKUP(B249,'[6]august-2025'!$A:$A,'[6]august-2025'!$C:$C,0,0)</f>
        <v>34500</v>
      </c>
      <c r="BJ249">
        <f t="shared" si="539"/>
        <v>6210</v>
      </c>
      <c r="BK249">
        <f t="shared" si="540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541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 t="shared" si="501"/>
        <v>200</v>
      </c>
      <c r="BR249">
        <f t="shared" si="502"/>
        <v>42650</v>
      </c>
      <c r="BS249">
        <f>_xlfn.XLOOKUP(B249,'[7]september-2025'!$A:$A,'[7]september-2025'!$C:$C,0,0)</f>
        <v>34500</v>
      </c>
      <c r="BT249">
        <f t="shared" si="542"/>
        <v>6210</v>
      </c>
      <c r="BU249">
        <f t="shared" si="543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503"/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544"/>
        <v>200</v>
      </c>
      <c r="CB249">
        <f t="shared" si="545"/>
        <v>42650</v>
      </c>
      <c r="CC249">
        <f>_xlfn.XLOOKUP(B249,'[8]october-2025'!$A:$A,'[8]october-2025'!$C:$C,0,0)</f>
        <v>34500</v>
      </c>
      <c r="CD249">
        <f t="shared" si="546"/>
        <v>6210</v>
      </c>
      <c r="CE249">
        <f t="shared" si="547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504"/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548"/>
        <v>200</v>
      </c>
      <c r="CL249">
        <f t="shared" si="549"/>
        <v>42650</v>
      </c>
      <c r="CM249">
        <f>_xlfn.XLOOKUP(B249,'[9]november-2025'!$A:$A,'[9]november-2025'!$C:$C,0,0)</f>
        <v>34500</v>
      </c>
      <c r="CN249">
        <f t="shared" si="550"/>
        <v>6210</v>
      </c>
      <c r="CO249">
        <f t="shared" si="551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505"/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552"/>
        <v>200</v>
      </c>
      <c r="CV249">
        <f t="shared" si="553"/>
        <v>42650</v>
      </c>
      <c r="CW249">
        <f>_xlfn.XLOOKUP(B249,'[10]december-2025'!$A:$A,'[10]december-2025'!$C:$C,0,0)</f>
        <v>34500</v>
      </c>
      <c r="CX249">
        <f t="shared" si="554"/>
        <v>6210</v>
      </c>
      <c r="CY249">
        <f t="shared" si="555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506"/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556"/>
        <v>200</v>
      </c>
      <c r="DF249">
        <f t="shared" si="557"/>
        <v>42650</v>
      </c>
      <c r="DG249">
        <f>_xlfn.XLOOKUP(B249,'[11]january-2026'!$A:$A,'[11]january-2026'!$C:$C,0,0)</f>
        <v>34500</v>
      </c>
      <c r="DH249">
        <f t="shared" si="558"/>
        <v>6210</v>
      </c>
      <c r="DI249">
        <f t="shared" si="559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07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60"/>
        <v>200</v>
      </c>
      <c r="DP249">
        <f t="shared" si="561"/>
        <v>42650</v>
      </c>
      <c r="DQ249">
        <f>_xlfn.XLOOKUP(B249,'[12]february-2026'!$A:$A,'[12]february-2026'!$C:$C,0,0)</f>
        <v>34500</v>
      </c>
      <c r="DR249">
        <f t="shared" si="562"/>
        <v>6210</v>
      </c>
      <c r="DS249">
        <f t="shared" si="563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08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64"/>
        <v>200</v>
      </c>
      <c r="DZ249">
        <f t="shared" si="565"/>
        <v>42650</v>
      </c>
      <c r="EA249">
        <f>_xlfn.XLOOKUP(B249,'[1]march-2025'!$A:$A,'[1]march-2025'!$J:$J,0,0)</f>
        <v>0</v>
      </c>
      <c r="EB249">
        <f>_xlfn.XLOOKUP(B249,'[2]april-2025'!$A:$A,'[2]april-2025'!$J:$J,0,0)</f>
        <v>0</v>
      </c>
      <c r="EC249">
        <f>_xlfn.XLOOKUP(B249,'[3]may-2025'!$A:$A,'[3]may-2025'!$J:$J,0,0)</f>
        <v>0</v>
      </c>
      <c r="ED249">
        <f>_xlfn.XLOOKUP(B249,'[4]june-2025'!$A:$A,'[4]june-2025'!$J:$J,0,0)</f>
        <v>0</v>
      </c>
      <c r="EE249">
        <f>_xlfn.XLOOKUP(B249,'[5]july-2025'!$A:$A,'[5]july-2025'!$J:$J,0,0)</f>
        <v>0</v>
      </c>
      <c r="EF249">
        <f>_xlfn.XLOOKUP(B249,'[6]august-2025'!$A:$A,'[6]august-2025'!$J:$J,0,0)</f>
        <v>0</v>
      </c>
      <c r="EG249">
        <f>_xlfn.XLOOKUP(B249,'[7]september-2025'!$A:$A,'[7]september-2025'!$J:$J,0,0)</f>
        <v>0</v>
      </c>
      <c r="EH249">
        <f>_xlfn.XLOOKUP(B249,'[8]october-2025'!$A:$A,'[8]october-2025'!$J:$J,0,0)</f>
        <v>0</v>
      </c>
      <c r="EI249">
        <f>_xlfn.XLOOKUP(C249,'[9]november-2025'!$A:$A,'[9]november-2025'!$J:$J,0,0)</f>
        <v>0</v>
      </c>
      <c r="EJ249">
        <f>_xlfn.XLOOKUP(B249,'[10]december-2025'!$A:$A,'[10]december-2025'!$J:$J,0,0)</f>
        <v>0</v>
      </c>
      <c r="EK249">
        <f>_xlfn.XLOOKUP(B249,'[11]january-2026'!$A:$A,'[11]january-2026'!$J:$J,0,0)</f>
        <v>0</v>
      </c>
      <c r="EL249">
        <f>_xlfn.XLOOKUP(B249,'[12]february-2026'!$A:$A,'[12]february-2026'!$J:$J,0,0)</f>
        <v>0</v>
      </c>
      <c r="EM249">
        <f t="shared" si="519"/>
        <v>0</v>
      </c>
      <c r="EN249">
        <f t="shared" si="509"/>
        <v>544460</v>
      </c>
      <c r="EO249">
        <f t="shared" si="510"/>
        <v>2400</v>
      </c>
      <c r="EP249">
        <f t="shared" si="566"/>
        <v>50000</v>
      </c>
      <c r="EQ249">
        <v>0</v>
      </c>
      <c r="ER249">
        <f t="shared" si="520"/>
        <v>492060</v>
      </c>
      <c r="ES249">
        <f t="shared" si="511"/>
        <v>30000</v>
      </c>
      <c r="ET249">
        <f t="shared" si="512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567"/>
        <v>30000</v>
      </c>
      <c r="FF249">
        <f t="shared" si="568"/>
        <v>30000</v>
      </c>
      <c r="FG249">
        <f t="shared" si="569"/>
        <v>462060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513"/>
        <v>0</v>
      </c>
      <c r="FP249">
        <f t="shared" si="570"/>
        <v>462060</v>
      </c>
      <c r="FQ249">
        <f t="shared" si="571"/>
        <v>10603</v>
      </c>
      <c r="FR249">
        <f t="shared" si="572"/>
        <v>0</v>
      </c>
      <c r="FS249">
        <f t="shared" si="573"/>
        <v>10603</v>
      </c>
      <c r="FT249">
        <f t="shared" si="574"/>
        <v>0</v>
      </c>
      <c r="FU249">
        <f t="shared" si="575"/>
        <v>0</v>
      </c>
      <c r="FV249">
        <f t="shared" si="576"/>
        <v>0</v>
      </c>
      <c r="FW249">
        <v>0</v>
      </c>
      <c r="FX249">
        <f t="shared" si="577"/>
        <v>0</v>
      </c>
      <c r="FY249" t="b">
        <f t="shared" si="578"/>
        <v>1</v>
      </c>
      <c r="FZ249">
        <f t="shared" ca="1" si="579"/>
        <v>912</v>
      </c>
      <c r="GA249">
        <f t="shared" ca="1" si="580"/>
        <v>545372</v>
      </c>
      <c r="GB249">
        <f t="shared" si="581"/>
        <v>75000</v>
      </c>
      <c r="GC249">
        <f t="shared" ca="1" si="582"/>
        <v>470372</v>
      </c>
      <c r="GD249">
        <f t="shared" ca="1" si="583"/>
        <v>0</v>
      </c>
      <c r="GE249">
        <f t="shared" ca="1" si="584"/>
        <v>0</v>
      </c>
      <c r="GF249">
        <f t="shared" ca="1" si="585"/>
        <v>0</v>
      </c>
      <c r="GG249">
        <f t="shared" ca="1" si="586"/>
        <v>0</v>
      </c>
      <c r="GH249">
        <f t="shared" ca="1" si="587"/>
        <v>0</v>
      </c>
      <c r="GI249">
        <f t="shared" ca="1" si="588"/>
        <v>0</v>
      </c>
      <c r="GJ249">
        <f t="shared" ca="1" si="514"/>
        <v>0</v>
      </c>
      <c r="GK249">
        <f t="shared" ca="1" si="589"/>
        <v>0</v>
      </c>
      <c r="GL249">
        <f t="shared" ca="1" si="590"/>
        <v>0</v>
      </c>
      <c r="GM249">
        <f t="shared" ca="1" si="591"/>
        <v>0</v>
      </c>
      <c r="GN249">
        <f t="shared" ca="1" si="592"/>
        <v>70372</v>
      </c>
      <c r="GO249">
        <f t="shared" ca="1" si="593"/>
        <v>3518.6000000000004</v>
      </c>
      <c r="GP249">
        <f t="shared" ca="1" si="594"/>
        <v>3519</v>
      </c>
      <c r="GQ249">
        <f t="shared" ca="1" si="595"/>
        <v>0</v>
      </c>
      <c r="GR249">
        <f t="shared" ca="1" si="596"/>
        <v>0</v>
      </c>
      <c r="GS249">
        <f t="shared" ca="1" si="597"/>
        <v>3519</v>
      </c>
      <c r="GT249">
        <f t="shared" ca="1" si="598"/>
        <v>0</v>
      </c>
      <c r="GU249" t="b">
        <f t="shared" ca="1" si="599"/>
        <v>0</v>
      </c>
      <c r="GV249">
        <f t="shared" ca="1" si="600"/>
        <v>0</v>
      </c>
      <c r="GW249">
        <f t="shared" ca="1" si="601"/>
        <v>3519</v>
      </c>
      <c r="GX249">
        <f t="shared" ca="1" si="602"/>
        <v>0</v>
      </c>
      <c r="GY249">
        <f t="shared" ca="1" si="603"/>
        <v>0</v>
      </c>
      <c r="GZ249">
        <f t="shared" ca="1" si="604"/>
        <v>0</v>
      </c>
    </row>
    <row r="250" spans="1:208" x14ac:dyDescent="0.3">
      <c r="A250">
        <f>_xlfn.AGGREGATE(3,5,$B$2:B250)</f>
        <v>249</v>
      </c>
      <c r="B250" t="s">
        <v>603</v>
      </c>
      <c r="C250" t="s">
        <v>604</v>
      </c>
      <c r="D250" t="s">
        <v>812</v>
      </c>
      <c r="E250" t="s">
        <v>830</v>
      </c>
      <c r="F250" t="s">
        <v>956</v>
      </c>
      <c r="G250" t="s">
        <v>951</v>
      </c>
      <c r="H250">
        <f t="shared" si="607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521"/>
        <v>4046.0000000000005</v>
      </c>
      <c r="L250">
        <f t="shared" si="522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499"/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605"/>
        <v>150</v>
      </c>
      <c r="S250">
        <f t="shared" si="515"/>
        <v>34764</v>
      </c>
      <c r="T250">
        <f>_xlfn.XLOOKUP(B250,'[2]april-2025'!$A:$A,'[2]april-2025'!$C:$C,0,0)</f>
        <v>28900</v>
      </c>
      <c r="U250">
        <f t="shared" si="523"/>
        <v>5202</v>
      </c>
      <c r="V250">
        <f t="shared" si="524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516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525"/>
        <v>150</v>
      </c>
      <c r="AC250">
        <f t="shared" si="526"/>
        <v>35920</v>
      </c>
      <c r="AD250">
        <f>_xlfn.XLOOKUP(B250,'[3]may-2025'!$A:$A,'[3]may-2025'!$C:$C,0,0)</f>
        <v>28900</v>
      </c>
      <c r="AE250">
        <f t="shared" si="527"/>
        <v>5202</v>
      </c>
      <c r="AF250">
        <f t="shared" si="528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517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529"/>
        <v>150</v>
      </c>
      <c r="AM250">
        <f t="shared" si="530"/>
        <v>35920</v>
      </c>
      <c r="AN250">
        <f>_xlfn.XLOOKUP(B250,'[4]june-2025'!$A:$A,'[4]june-2025'!$C:$C,0,0)</f>
        <v>28900</v>
      </c>
      <c r="AO250">
        <f t="shared" si="531"/>
        <v>5202</v>
      </c>
      <c r="AP250">
        <f t="shared" si="532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518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533"/>
        <v>150</v>
      </c>
      <c r="AW250">
        <f t="shared" si="534"/>
        <v>35920</v>
      </c>
      <c r="AX250">
        <f>_xlfn.XLOOKUP(B250,'[5]july-2025'!$A:$A,'[5]july-2025'!$C:$C,0,0)</f>
        <v>29800</v>
      </c>
      <c r="AY250">
        <f t="shared" si="535"/>
        <v>5364</v>
      </c>
      <c r="AZ250">
        <v>0</v>
      </c>
      <c r="BA250">
        <f t="shared" si="536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500"/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537"/>
        <v>150</v>
      </c>
      <c r="BH250">
        <f t="shared" si="538"/>
        <v>37090</v>
      </c>
      <c r="BI250">
        <f>_xlfn.XLOOKUP(B250,'[6]august-2025'!$A:$A,'[6]august-2025'!$C:$C,0,0)</f>
        <v>29800</v>
      </c>
      <c r="BJ250">
        <f t="shared" si="539"/>
        <v>5364</v>
      </c>
      <c r="BK250">
        <f t="shared" si="540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541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 t="shared" si="501"/>
        <v>150</v>
      </c>
      <c r="BR250">
        <f t="shared" si="502"/>
        <v>37090</v>
      </c>
      <c r="BS250">
        <f>_xlfn.XLOOKUP(B250,'[7]september-2025'!$A:$A,'[7]september-2025'!$C:$C,0,0)</f>
        <v>29800</v>
      </c>
      <c r="BT250">
        <f t="shared" si="542"/>
        <v>5364</v>
      </c>
      <c r="BU250">
        <f t="shared" si="543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503"/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544"/>
        <v>150</v>
      </c>
      <c r="CB250">
        <f t="shared" si="545"/>
        <v>37090</v>
      </c>
      <c r="CC250">
        <f>_xlfn.XLOOKUP(B250,'[8]october-2025'!$A:$A,'[8]october-2025'!$C:$C,0,0)</f>
        <v>29800</v>
      </c>
      <c r="CD250">
        <f t="shared" si="546"/>
        <v>5364</v>
      </c>
      <c r="CE250">
        <f t="shared" si="547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504"/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548"/>
        <v>150</v>
      </c>
      <c r="CL250">
        <f t="shared" si="549"/>
        <v>37090</v>
      </c>
      <c r="CM250">
        <f>_xlfn.XLOOKUP(B250,'[9]november-2025'!$A:$A,'[9]november-2025'!$C:$C,0,0)</f>
        <v>29800</v>
      </c>
      <c r="CN250">
        <f t="shared" si="550"/>
        <v>5364</v>
      </c>
      <c r="CO250">
        <f t="shared" si="551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505"/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552"/>
        <v>150</v>
      </c>
      <c r="CV250">
        <f t="shared" si="553"/>
        <v>37090</v>
      </c>
      <c r="CW250">
        <f>_xlfn.XLOOKUP(B250,'[10]december-2025'!$A:$A,'[10]december-2025'!$C:$C,0,0)</f>
        <v>29800</v>
      </c>
      <c r="CX250">
        <f t="shared" si="554"/>
        <v>5364</v>
      </c>
      <c r="CY250">
        <f t="shared" si="555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506"/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556"/>
        <v>150</v>
      </c>
      <c r="DF250">
        <f t="shared" si="557"/>
        <v>37090</v>
      </c>
      <c r="DG250">
        <f>_xlfn.XLOOKUP(B250,'[11]january-2026'!$A:$A,'[11]january-2026'!$C:$C,0,0)</f>
        <v>29800</v>
      </c>
      <c r="DH250">
        <f t="shared" si="558"/>
        <v>5364</v>
      </c>
      <c r="DI250">
        <f t="shared" si="559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07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60"/>
        <v>150</v>
      </c>
      <c r="DP250">
        <f t="shared" si="561"/>
        <v>37090</v>
      </c>
      <c r="DQ250">
        <f>_xlfn.XLOOKUP(B250,'[12]february-2026'!$A:$A,'[12]february-2026'!$C:$C,0,0)</f>
        <v>29800</v>
      </c>
      <c r="DR250">
        <f t="shared" si="562"/>
        <v>5364</v>
      </c>
      <c r="DS250">
        <f t="shared" si="563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08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64"/>
        <v>150</v>
      </c>
      <c r="DZ250">
        <f t="shared" si="565"/>
        <v>37090</v>
      </c>
      <c r="EA250">
        <f>_xlfn.XLOOKUP(B250,'[1]march-2025'!$A:$A,'[1]march-2025'!$J:$J,0,0)</f>
        <v>0</v>
      </c>
      <c r="EB250">
        <f>_xlfn.XLOOKUP(B250,'[2]april-2025'!$A:$A,'[2]april-2025'!$J:$J,0,0)</f>
        <v>0</v>
      </c>
      <c r="EC250">
        <f>_xlfn.XLOOKUP(B250,'[3]may-2025'!$A:$A,'[3]may-2025'!$J:$J,0,0)</f>
        <v>45704</v>
      </c>
      <c r="ED250">
        <f>_xlfn.XLOOKUP(B250,'[4]june-2025'!$A:$A,'[4]june-2025'!$J:$J,0,0)</f>
        <v>0</v>
      </c>
      <c r="EE250">
        <f>_xlfn.XLOOKUP(B250,'[5]july-2025'!$A:$A,'[5]july-2025'!$J:$J,0,0)</f>
        <v>0</v>
      </c>
      <c r="EF250">
        <f>_xlfn.XLOOKUP(B250,'[6]august-2025'!$A:$A,'[6]august-2025'!$J:$J,0,0)</f>
        <v>0</v>
      </c>
      <c r="EG250">
        <f>_xlfn.XLOOKUP(B250,'[7]september-2025'!$A:$A,'[7]september-2025'!$J:$J,0,0)</f>
        <v>0</v>
      </c>
      <c r="EH250">
        <f>_xlfn.XLOOKUP(B250,'[8]october-2025'!$A:$A,'[8]october-2025'!$J:$J,0,0)</f>
        <v>0</v>
      </c>
      <c r="EI250">
        <f>_xlfn.XLOOKUP(C250,'[9]november-2025'!$A:$A,'[9]november-2025'!$J:$J,0,0)</f>
        <v>0</v>
      </c>
      <c r="EJ250">
        <f>_xlfn.XLOOKUP(B250,'[10]december-2025'!$A:$A,'[10]december-2025'!$J:$J,0,0)</f>
        <v>0</v>
      </c>
      <c r="EK250">
        <f>_xlfn.XLOOKUP(B250,'[11]january-2026'!$A:$A,'[11]january-2026'!$J:$J,0,0)</f>
        <v>0</v>
      </c>
      <c r="EL250">
        <f>_xlfn.XLOOKUP(B250,'[12]february-2026'!$A:$A,'[12]february-2026'!$J:$J,0,0)</f>
        <v>0</v>
      </c>
      <c r="EM250">
        <f t="shared" si="519"/>
        <v>45704</v>
      </c>
      <c r="EN250">
        <f t="shared" si="509"/>
        <v>471844</v>
      </c>
      <c r="EO250">
        <f t="shared" si="510"/>
        <v>1800</v>
      </c>
      <c r="EP250">
        <f t="shared" si="566"/>
        <v>50000</v>
      </c>
      <c r="EQ250">
        <v>0</v>
      </c>
      <c r="ER250">
        <f t="shared" si="520"/>
        <v>465748</v>
      </c>
      <c r="ES250">
        <f t="shared" si="511"/>
        <v>24000</v>
      </c>
      <c r="ET250">
        <f t="shared" si="512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567"/>
        <v>24000</v>
      </c>
      <c r="FF250">
        <f t="shared" si="568"/>
        <v>24000</v>
      </c>
      <c r="FG250">
        <f t="shared" si="569"/>
        <v>441748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513"/>
        <v>0</v>
      </c>
      <c r="FP250">
        <f t="shared" si="570"/>
        <v>441748</v>
      </c>
      <c r="FQ250">
        <f t="shared" si="571"/>
        <v>9587</v>
      </c>
      <c r="FR250">
        <f t="shared" si="572"/>
        <v>0</v>
      </c>
      <c r="FS250">
        <f t="shared" si="573"/>
        <v>9587</v>
      </c>
      <c r="FT250">
        <f t="shared" si="574"/>
        <v>0</v>
      </c>
      <c r="FU250">
        <f t="shared" si="575"/>
        <v>0</v>
      </c>
      <c r="FV250">
        <f t="shared" si="576"/>
        <v>0</v>
      </c>
      <c r="FW250">
        <v>0</v>
      </c>
      <c r="FX250">
        <f t="shared" si="577"/>
        <v>0</v>
      </c>
      <c r="FY250" t="b">
        <f t="shared" si="578"/>
        <v>0</v>
      </c>
      <c r="FZ250">
        <f t="shared" ca="1" si="579"/>
        <v>1391</v>
      </c>
      <c r="GA250">
        <f t="shared" ca="1" si="580"/>
        <v>473235</v>
      </c>
      <c r="GB250">
        <f t="shared" si="581"/>
        <v>75000</v>
      </c>
      <c r="GC250">
        <f t="shared" ca="1" si="582"/>
        <v>398235</v>
      </c>
      <c r="GD250">
        <f t="shared" ca="1" si="583"/>
        <v>0</v>
      </c>
      <c r="GE250">
        <f t="shared" ca="1" si="584"/>
        <v>0</v>
      </c>
      <c r="GF250">
        <f t="shared" ca="1" si="585"/>
        <v>0</v>
      </c>
      <c r="GG250">
        <f t="shared" ca="1" si="586"/>
        <v>0</v>
      </c>
      <c r="GH250">
        <f t="shared" ca="1" si="587"/>
        <v>0</v>
      </c>
      <c r="GI250">
        <f t="shared" ca="1" si="588"/>
        <v>0</v>
      </c>
      <c r="GJ250">
        <f t="shared" ca="1" si="514"/>
        <v>0</v>
      </c>
      <c r="GK250">
        <f t="shared" ca="1" si="589"/>
        <v>0</v>
      </c>
      <c r="GL250">
        <f t="shared" ca="1" si="590"/>
        <v>0</v>
      </c>
      <c r="GM250">
        <f t="shared" ca="1" si="591"/>
        <v>0</v>
      </c>
      <c r="GN250">
        <f t="shared" ca="1" si="592"/>
        <v>0</v>
      </c>
      <c r="GO250">
        <f t="shared" ca="1" si="593"/>
        <v>0</v>
      </c>
      <c r="GP250">
        <f t="shared" ca="1" si="594"/>
        <v>0</v>
      </c>
      <c r="GQ250">
        <f t="shared" ca="1" si="595"/>
        <v>0</v>
      </c>
      <c r="GR250">
        <f t="shared" ca="1" si="596"/>
        <v>0</v>
      </c>
      <c r="GS250">
        <f t="shared" ca="1" si="597"/>
        <v>0</v>
      </c>
      <c r="GT250">
        <f t="shared" ca="1" si="598"/>
        <v>0</v>
      </c>
      <c r="GU250" t="b">
        <f t="shared" ca="1" si="599"/>
        <v>0</v>
      </c>
      <c r="GV250">
        <f t="shared" ca="1" si="600"/>
        <v>0</v>
      </c>
      <c r="GW250">
        <f t="shared" ca="1" si="601"/>
        <v>0</v>
      </c>
      <c r="GX250">
        <f t="shared" ca="1" si="602"/>
        <v>0</v>
      </c>
      <c r="GY250">
        <f t="shared" ca="1" si="603"/>
        <v>0</v>
      </c>
      <c r="GZ250">
        <f t="shared" ca="1" si="604"/>
        <v>0</v>
      </c>
    </row>
    <row r="251" spans="1:208" x14ac:dyDescent="0.3">
      <c r="A251">
        <f>_xlfn.AGGREGATE(3,5,$B$2:B251)</f>
        <v>250</v>
      </c>
      <c r="B251" t="s">
        <v>605</v>
      </c>
      <c r="C251" t="s">
        <v>975</v>
      </c>
      <c r="D251" t="s">
        <v>813</v>
      </c>
      <c r="E251" t="s">
        <v>830</v>
      </c>
      <c r="F251" t="s">
        <v>956</v>
      </c>
      <c r="G251" t="s">
        <v>884</v>
      </c>
      <c r="H251">
        <f t="shared" si="607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521"/>
        <v>6818.0000000000009</v>
      </c>
      <c r="L251">
        <f t="shared" si="522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 t="shared" si="499"/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605"/>
        <v>200</v>
      </c>
      <c r="S251">
        <f t="shared" si="515"/>
        <v>57062</v>
      </c>
      <c r="T251">
        <f>_xlfn.XLOOKUP(B251,'[2]april-2025'!$A:$A,'[2]april-2025'!$C:$C,0,0)</f>
        <v>48700</v>
      </c>
      <c r="U251">
        <f t="shared" si="523"/>
        <v>8766</v>
      </c>
      <c r="V251">
        <f t="shared" si="524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516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525"/>
        <v>200</v>
      </c>
      <c r="AC251">
        <f t="shared" si="526"/>
        <v>59010</v>
      </c>
      <c r="AD251">
        <f>_xlfn.XLOOKUP(B251,'[3]may-2025'!$A:$A,'[3]may-2025'!$C:$C,0,0)</f>
        <v>48700</v>
      </c>
      <c r="AE251">
        <f t="shared" si="527"/>
        <v>8766</v>
      </c>
      <c r="AF251">
        <f t="shared" si="528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517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529"/>
        <v>200</v>
      </c>
      <c r="AM251">
        <f t="shared" si="530"/>
        <v>59010</v>
      </c>
      <c r="AN251">
        <f>_xlfn.XLOOKUP(B251,'[4]june-2025'!$A:$A,'[4]june-2025'!$C:$C,0,0)</f>
        <v>48700</v>
      </c>
      <c r="AO251">
        <f t="shared" si="531"/>
        <v>8766</v>
      </c>
      <c r="AP251">
        <f t="shared" si="532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518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533"/>
        <v>200</v>
      </c>
      <c r="AW251">
        <f t="shared" si="534"/>
        <v>59010</v>
      </c>
      <c r="AX251">
        <f>_xlfn.XLOOKUP(B251,'[5]july-2025'!$A:$A,'[5]july-2025'!$C:$C,0,0)</f>
        <v>50200</v>
      </c>
      <c r="AY251">
        <f t="shared" si="535"/>
        <v>9036</v>
      </c>
      <c r="AZ251">
        <v>0</v>
      </c>
      <c r="BA251">
        <f t="shared" si="536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 t="shared" si="500"/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537"/>
        <v>200</v>
      </c>
      <c r="BH251">
        <f t="shared" si="538"/>
        <v>60960</v>
      </c>
      <c r="BI251">
        <f>_xlfn.XLOOKUP(B251,'[6]august-2025'!$A:$A,'[6]august-2025'!$C:$C,0,0)</f>
        <v>50200</v>
      </c>
      <c r="BJ251">
        <f t="shared" si="539"/>
        <v>9036</v>
      </c>
      <c r="BK251">
        <f t="shared" si="540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541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 t="shared" si="501"/>
        <v>200</v>
      </c>
      <c r="BR251">
        <f t="shared" si="502"/>
        <v>60960</v>
      </c>
      <c r="BS251">
        <f>_xlfn.XLOOKUP(B251,'[7]september-2025'!$A:$A,'[7]september-2025'!$C:$C,0,0)</f>
        <v>50200</v>
      </c>
      <c r="BT251">
        <f t="shared" si="542"/>
        <v>9036</v>
      </c>
      <c r="BU251">
        <f t="shared" si="543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 t="shared" si="503"/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544"/>
        <v>200</v>
      </c>
      <c r="CB251">
        <f t="shared" si="545"/>
        <v>60960</v>
      </c>
      <c r="CC251">
        <f>_xlfn.XLOOKUP(B251,'[8]october-2025'!$A:$A,'[8]october-2025'!$C:$C,0,0)</f>
        <v>50200</v>
      </c>
      <c r="CD251">
        <f t="shared" si="546"/>
        <v>9036</v>
      </c>
      <c r="CE251">
        <f t="shared" si="547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 t="shared" si="504"/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548"/>
        <v>200</v>
      </c>
      <c r="CL251">
        <f t="shared" si="549"/>
        <v>60960</v>
      </c>
      <c r="CM251">
        <f>_xlfn.XLOOKUP(B251,'[9]november-2025'!$A:$A,'[9]november-2025'!$C:$C,0,0)</f>
        <v>50200</v>
      </c>
      <c r="CN251">
        <f t="shared" si="550"/>
        <v>9036</v>
      </c>
      <c r="CO251">
        <f t="shared" si="551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 t="shared" si="505"/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552"/>
        <v>200</v>
      </c>
      <c r="CV251">
        <f t="shared" si="553"/>
        <v>60960</v>
      </c>
      <c r="CW251">
        <f>_xlfn.XLOOKUP(B251,'[10]december-2025'!$A:$A,'[10]december-2025'!$C:$C,0,0)</f>
        <v>50200</v>
      </c>
      <c r="CX251">
        <f t="shared" si="554"/>
        <v>9036</v>
      </c>
      <c r="CY251">
        <f t="shared" si="555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 t="shared" si="506"/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556"/>
        <v>200</v>
      </c>
      <c r="DF251">
        <f t="shared" si="557"/>
        <v>60960</v>
      </c>
      <c r="DG251">
        <f>_xlfn.XLOOKUP(B251,'[11]january-2026'!$A:$A,'[11]january-2026'!$C:$C,0,0)</f>
        <v>50200</v>
      </c>
      <c r="DH251">
        <f t="shared" si="558"/>
        <v>9036</v>
      </c>
      <c r="DI251">
        <f t="shared" si="559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07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60"/>
        <v>200</v>
      </c>
      <c r="DP251">
        <f t="shared" si="561"/>
        <v>60960</v>
      </c>
      <c r="DQ251">
        <f>_xlfn.XLOOKUP(B251,'[12]february-2026'!$A:$A,'[12]february-2026'!$C:$C,0,0)</f>
        <v>50200</v>
      </c>
      <c r="DR251">
        <f t="shared" si="562"/>
        <v>9036</v>
      </c>
      <c r="DS251">
        <f t="shared" si="563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08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64"/>
        <v>200</v>
      </c>
      <c r="DZ251">
        <f t="shared" si="565"/>
        <v>60960</v>
      </c>
      <c r="EA251">
        <f>_xlfn.XLOOKUP(B251,'[1]march-2025'!$A:$A,'[1]march-2025'!$J:$J,0,0)</f>
        <v>0</v>
      </c>
      <c r="EB251">
        <f>_xlfn.XLOOKUP(B251,'[2]april-2025'!$A:$A,'[2]april-2025'!$J:$J,0,0)</f>
        <v>0</v>
      </c>
      <c r="EC251">
        <f>_xlfn.XLOOKUP(B251,'[3]may-2025'!$A:$A,'[3]may-2025'!$J:$J,0,0)</f>
        <v>0</v>
      </c>
      <c r="ED251">
        <f>_xlfn.XLOOKUP(B251,'[4]june-2025'!$A:$A,'[4]june-2025'!$J:$J,0,0)</f>
        <v>0</v>
      </c>
      <c r="EE251">
        <f>_xlfn.XLOOKUP(B251,'[5]july-2025'!$A:$A,'[5]july-2025'!$J:$J,0,0)</f>
        <v>0</v>
      </c>
      <c r="EF251">
        <f>_xlfn.XLOOKUP(B251,'[6]august-2025'!$A:$A,'[6]august-2025'!$J:$J,0,0)</f>
        <v>0</v>
      </c>
      <c r="EG251">
        <f>_xlfn.XLOOKUP(B251,'[7]september-2025'!$A:$A,'[7]september-2025'!$J:$J,0,0)</f>
        <v>0</v>
      </c>
      <c r="EH251">
        <f>_xlfn.XLOOKUP(B251,'[8]october-2025'!$A:$A,'[8]october-2025'!$J:$J,0,0)</f>
        <v>0</v>
      </c>
      <c r="EI251">
        <f>_xlfn.XLOOKUP(C251,'[9]november-2025'!$A:$A,'[9]november-2025'!$J:$J,0,0)</f>
        <v>0</v>
      </c>
      <c r="EJ251">
        <f>_xlfn.XLOOKUP(B251,'[10]december-2025'!$A:$A,'[10]december-2025'!$J:$J,0,0)</f>
        <v>0</v>
      </c>
      <c r="EK251">
        <f>_xlfn.XLOOKUP(B251,'[11]january-2026'!$A:$A,'[11]january-2026'!$J:$J,0,0)</f>
        <v>0</v>
      </c>
      <c r="EL251">
        <f>_xlfn.XLOOKUP(B251,'[12]february-2026'!$A:$A,'[12]february-2026'!$J:$J,0,0)</f>
        <v>0</v>
      </c>
      <c r="EM251">
        <f t="shared" si="519"/>
        <v>0</v>
      </c>
      <c r="EN251">
        <f t="shared" si="509"/>
        <v>790972</v>
      </c>
      <c r="EO251">
        <f t="shared" si="510"/>
        <v>2400</v>
      </c>
      <c r="EP251">
        <f t="shared" si="566"/>
        <v>50000</v>
      </c>
      <c r="EQ251">
        <v>0</v>
      </c>
      <c r="ER251">
        <f t="shared" si="520"/>
        <v>738572</v>
      </c>
      <c r="ES251">
        <f t="shared" si="511"/>
        <v>60000</v>
      </c>
      <c r="ET251">
        <f t="shared" si="512"/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si="567"/>
        <v>60000</v>
      </c>
      <c r="FF251">
        <f t="shared" si="568"/>
        <v>60000</v>
      </c>
      <c r="FG251">
        <f t="shared" si="569"/>
        <v>678572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si="513"/>
        <v>0</v>
      </c>
      <c r="FP251">
        <f t="shared" si="570"/>
        <v>678572</v>
      </c>
      <c r="FQ251">
        <f t="shared" si="571"/>
        <v>12500</v>
      </c>
      <c r="FR251">
        <f t="shared" si="572"/>
        <v>35714</v>
      </c>
      <c r="FS251">
        <f t="shared" si="573"/>
        <v>48214</v>
      </c>
      <c r="FT251">
        <f t="shared" si="574"/>
        <v>48214</v>
      </c>
      <c r="FU251">
        <f t="shared" si="575"/>
        <v>1928.56</v>
      </c>
      <c r="FV251">
        <f t="shared" si="576"/>
        <v>50143</v>
      </c>
      <c r="FW251">
        <v>0</v>
      </c>
      <c r="FX251">
        <f t="shared" si="577"/>
        <v>50143</v>
      </c>
      <c r="FY251" t="b">
        <f t="shared" si="578"/>
        <v>1</v>
      </c>
      <c r="FZ251">
        <f t="shared" ca="1" si="579"/>
        <v>661</v>
      </c>
      <c r="GA251">
        <f t="shared" ca="1" si="580"/>
        <v>791633</v>
      </c>
      <c r="GB251">
        <f t="shared" si="581"/>
        <v>75000</v>
      </c>
      <c r="GC251">
        <f t="shared" ca="1" si="582"/>
        <v>716633</v>
      </c>
      <c r="GD251">
        <f t="shared" ca="1" si="583"/>
        <v>0</v>
      </c>
      <c r="GE251">
        <f t="shared" ca="1" si="584"/>
        <v>0</v>
      </c>
      <c r="GF251">
        <f t="shared" ca="1" si="585"/>
        <v>0</v>
      </c>
      <c r="GG251">
        <f t="shared" ca="1" si="586"/>
        <v>0</v>
      </c>
      <c r="GH251">
        <f t="shared" ca="1" si="587"/>
        <v>0</v>
      </c>
      <c r="GI251">
        <f t="shared" ca="1" si="588"/>
        <v>0</v>
      </c>
      <c r="GJ251">
        <f t="shared" ca="1" si="514"/>
        <v>0</v>
      </c>
      <c r="GK251">
        <f t="shared" ca="1" si="589"/>
        <v>0</v>
      </c>
      <c r="GL251">
        <f t="shared" ca="1" si="590"/>
        <v>0</v>
      </c>
      <c r="GM251">
        <f t="shared" ca="1" si="591"/>
        <v>0</v>
      </c>
      <c r="GN251">
        <f t="shared" ca="1" si="592"/>
        <v>316633</v>
      </c>
      <c r="GO251">
        <f t="shared" ca="1" si="593"/>
        <v>15831.650000000001</v>
      </c>
      <c r="GP251">
        <f t="shared" ca="1" si="594"/>
        <v>15832</v>
      </c>
      <c r="GQ251">
        <f t="shared" ca="1" si="595"/>
        <v>0</v>
      </c>
      <c r="GR251">
        <f t="shared" ca="1" si="596"/>
        <v>0</v>
      </c>
      <c r="GS251">
        <f t="shared" ca="1" si="597"/>
        <v>15832</v>
      </c>
      <c r="GT251">
        <f t="shared" ca="1" si="598"/>
        <v>0</v>
      </c>
      <c r="GU251" t="b">
        <f t="shared" ca="1" si="599"/>
        <v>0</v>
      </c>
      <c r="GV251">
        <f t="shared" ca="1" si="600"/>
        <v>0</v>
      </c>
      <c r="GW251">
        <f t="shared" ca="1" si="601"/>
        <v>15832</v>
      </c>
      <c r="GX251">
        <f t="shared" ca="1" si="602"/>
        <v>0</v>
      </c>
      <c r="GY251">
        <f t="shared" ca="1" si="603"/>
        <v>0</v>
      </c>
      <c r="GZ251">
        <f t="shared" ca="1" si="604"/>
        <v>0</v>
      </c>
    </row>
    <row r="252" spans="1:208" x14ac:dyDescent="0.3">
      <c r="A252">
        <f>_xlfn.AGGREGATE(3,5,$B$2:B252)</f>
        <v>251</v>
      </c>
      <c r="B252" t="s">
        <v>606</v>
      </c>
      <c r="C252" t="s">
        <v>607</v>
      </c>
      <c r="D252" t="s">
        <v>813</v>
      </c>
      <c r="E252" t="s">
        <v>830</v>
      </c>
      <c r="F252" t="s">
        <v>956</v>
      </c>
      <c r="G252" t="s">
        <v>877</v>
      </c>
      <c r="H252">
        <f t="shared" si="607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521"/>
        <v>4830.0000000000009</v>
      </c>
      <c r="L252">
        <f t="shared" si="522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499"/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605"/>
        <v>200</v>
      </c>
      <c r="S252">
        <f t="shared" si="515"/>
        <v>37770</v>
      </c>
      <c r="T252">
        <f>_xlfn.XLOOKUP(B252,'[2]april-2025'!$A:$A,'[2]april-2025'!$C:$C,0,0)</f>
        <v>34500</v>
      </c>
      <c r="U252">
        <f t="shared" si="523"/>
        <v>6210</v>
      </c>
      <c r="V252">
        <f t="shared" si="524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516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525"/>
        <v>200</v>
      </c>
      <c r="AC252">
        <f t="shared" si="526"/>
        <v>39150</v>
      </c>
      <c r="AD252">
        <f>_xlfn.XLOOKUP(B252,'[3]may-2025'!$A:$A,'[3]may-2025'!$C:$C,0,0)</f>
        <v>34500</v>
      </c>
      <c r="AE252">
        <f t="shared" si="527"/>
        <v>6210</v>
      </c>
      <c r="AF252">
        <f t="shared" si="528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517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529"/>
        <v>200</v>
      </c>
      <c r="AM252">
        <f t="shared" si="530"/>
        <v>39150</v>
      </c>
      <c r="AN252">
        <f>_xlfn.XLOOKUP(B252,'[4]june-2025'!$A:$A,'[4]june-2025'!$C:$C,0,0)</f>
        <v>34500</v>
      </c>
      <c r="AO252">
        <f t="shared" si="531"/>
        <v>6210</v>
      </c>
      <c r="AP252">
        <f t="shared" si="532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518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533"/>
        <v>200</v>
      </c>
      <c r="AW252">
        <f t="shared" si="534"/>
        <v>39150</v>
      </c>
      <c r="AX252">
        <f>_xlfn.XLOOKUP(B252,'[5]july-2025'!$A:$A,'[5]july-2025'!$C:$C,0,0)</f>
        <v>35500</v>
      </c>
      <c r="AY252">
        <f t="shared" si="535"/>
        <v>6390</v>
      </c>
      <c r="AZ252">
        <v>0</v>
      </c>
      <c r="BA252">
        <f t="shared" si="536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500"/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537"/>
        <v>200</v>
      </c>
      <c r="BH252">
        <f t="shared" si="538"/>
        <v>40450</v>
      </c>
      <c r="BI252">
        <f>_xlfn.XLOOKUP(B252,'[6]august-2025'!$A:$A,'[6]august-2025'!$C:$C,0,0)</f>
        <v>35500</v>
      </c>
      <c r="BJ252">
        <f t="shared" si="539"/>
        <v>6390</v>
      </c>
      <c r="BK252">
        <f t="shared" si="540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541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 t="shared" si="501"/>
        <v>200</v>
      </c>
      <c r="BR252">
        <f t="shared" si="502"/>
        <v>40450</v>
      </c>
      <c r="BS252">
        <f>_xlfn.XLOOKUP(B252,'[7]september-2025'!$A:$A,'[7]september-2025'!$C:$C,0,0)</f>
        <v>35500</v>
      </c>
      <c r="BT252">
        <f t="shared" si="542"/>
        <v>6390</v>
      </c>
      <c r="BU252">
        <f t="shared" si="543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503"/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544"/>
        <v>200</v>
      </c>
      <c r="CB252">
        <f t="shared" si="545"/>
        <v>40450</v>
      </c>
      <c r="CC252">
        <f>_xlfn.XLOOKUP(B252,'[8]october-2025'!$A:$A,'[8]october-2025'!$C:$C,0,0)</f>
        <v>35500</v>
      </c>
      <c r="CD252">
        <f t="shared" si="546"/>
        <v>6390</v>
      </c>
      <c r="CE252">
        <f t="shared" si="547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504"/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548"/>
        <v>200</v>
      </c>
      <c r="CL252">
        <f t="shared" si="549"/>
        <v>40450</v>
      </c>
      <c r="CM252">
        <f>_xlfn.XLOOKUP(B252,'[9]november-2025'!$A:$A,'[9]november-2025'!$C:$C,0,0)</f>
        <v>35500</v>
      </c>
      <c r="CN252">
        <f t="shared" si="550"/>
        <v>6390</v>
      </c>
      <c r="CO252">
        <f t="shared" si="551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505"/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552"/>
        <v>200</v>
      </c>
      <c r="CV252">
        <f t="shared" si="553"/>
        <v>40450</v>
      </c>
      <c r="CW252">
        <f>_xlfn.XLOOKUP(B252,'[10]december-2025'!$A:$A,'[10]december-2025'!$C:$C,0,0)</f>
        <v>35500</v>
      </c>
      <c r="CX252">
        <f t="shared" si="554"/>
        <v>6390</v>
      </c>
      <c r="CY252">
        <f t="shared" si="555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506"/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556"/>
        <v>200</v>
      </c>
      <c r="DF252">
        <f t="shared" si="557"/>
        <v>40450</v>
      </c>
      <c r="DG252">
        <f>_xlfn.XLOOKUP(B252,'[11]january-2026'!$A:$A,'[11]january-2026'!$C:$C,0,0)</f>
        <v>35500</v>
      </c>
      <c r="DH252">
        <f t="shared" si="558"/>
        <v>6390</v>
      </c>
      <c r="DI252">
        <f t="shared" si="559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07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60"/>
        <v>200</v>
      </c>
      <c r="DP252">
        <f t="shared" si="561"/>
        <v>40450</v>
      </c>
      <c r="DQ252">
        <f>_xlfn.XLOOKUP(B252,'[12]february-2026'!$A:$A,'[12]february-2026'!$C:$C,0,0)</f>
        <v>35500</v>
      </c>
      <c r="DR252">
        <f t="shared" si="562"/>
        <v>6390</v>
      </c>
      <c r="DS252">
        <f t="shared" si="563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08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64"/>
        <v>200</v>
      </c>
      <c r="DZ252">
        <f t="shared" si="565"/>
        <v>40450</v>
      </c>
      <c r="EA252">
        <f>_xlfn.XLOOKUP(B252,'[1]march-2025'!$A:$A,'[1]march-2025'!$J:$J,0,0)</f>
        <v>0</v>
      </c>
      <c r="EB252">
        <f>_xlfn.XLOOKUP(B252,'[2]april-2025'!$A:$A,'[2]april-2025'!$J:$J,0,0)</f>
        <v>0</v>
      </c>
      <c r="EC252">
        <f>_xlfn.XLOOKUP(B252,'[3]may-2025'!$A:$A,'[3]may-2025'!$J:$J,0,0)</f>
        <v>0</v>
      </c>
      <c r="ED252">
        <f>_xlfn.XLOOKUP(B252,'[4]june-2025'!$A:$A,'[4]june-2025'!$J:$J,0,0)</f>
        <v>0</v>
      </c>
      <c r="EE252">
        <f>_xlfn.XLOOKUP(B252,'[5]july-2025'!$A:$A,'[5]july-2025'!$J:$J,0,0)</f>
        <v>0</v>
      </c>
      <c r="EF252">
        <f>_xlfn.XLOOKUP(B252,'[6]august-2025'!$A:$A,'[6]august-2025'!$J:$J,0,0)</f>
        <v>0</v>
      </c>
      <c r="EG252">
        <f>_xlfn.XLOOKUP(B252,'[7]september-2025'!$A:$A,'[7]september-2025'!$J:$J,0,0)</f>
        <v>0</v>
      </c>
      <c r="EH252">
        <f>_xlfn.XLOOKUP(B252,'[8]october-2025'!$A:$A,'[8]october-2025'!$J:$J,0,0)</f>
        <v>0</v>
      </c>
      <c r="EI252">
        <f>_xlfn.XLOOKUP(C252,'[9]november-2025'!$A:$A,'[9]november-2025'!$J:$J,0,0)</f>
        <v>0</v>
      </c>
      <c r="EJ252">
        <f>_xlfn.XLOOKUP(B252,'[10]december-2025'!$A:$A,'[10]december-2025'!$J:$J,0,0)</f>
        <v>0</v>
      </c>
      <c r="EK252">
        <f>_xlfn.XLOOKUP(B252,'[11]january-2026'!$A:$A,'[11]january-2026'!$J:$J,0,0)</f>
        <v>0</v>
      </c>
      <c r="EL252">
        <f>_xlfn.XLOOKUP(B252,'[12]february-2026'!$A:$A,'[12]february-2026'!$J:$J,0,0)</f>
        <v>0</v>
      </c>
      <c r="EM252">
        <f t="shared" si="519"/>
        <v>0</v>
      </c>
      <c r="EN252">
        <f t="shared" si="509"/>
        <v>560020</v>
      </c>
      <c r="EO252">
        <f t="shared" si="510"/>
        <v>2400</v>
      </c>
      <c r="EP252">
        <f t="shared" si="566"/>
        <v>50000</v>
      </c>
      <c r="EQ252">
        <v>0</v>
      </c>
      <c r="ER252">
        <f t="shared" si="520"/>
        <v>507620</v>
      </c>
      <c r="ES252">
        <f t="shared" si="511"/>
        <v>72000</v>
      </c>
      <c r="ET252">
        <f t="shared" si="512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567"/>
        <v>72000</v>
      </c>
      <c r="FF252">
        <f t="shared" si="568"/>
        <v>72000</v>
      </c>
      <c r="FG252">
        <f t="shared" si="569"/>
        <v>435620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513"/>
        <v>0</v>
      </c>
      <c r="FP252">
        <f t="shared" si="570"/>
        <v>435620</v>
      </c>
      <c r="FQ252">
        <f t="shared" si="571"/>
        <v>9281</v>
      </c>
      <c r="FR252">
        <f t="shared" si="572"/>
        <v>0</v>
      </c>
      <c r="FS252">
        <f t="shared" si="573"/>
        <v>9281</v>
      </c>
      <c r="FT252">
        <f t="shared" si="574"/>
        <v>0</v>
      </c>
      <c r="FU252">
        <f t="shared" si="575"/>
        <v>0</v>
      </c>
      <c r="FV252">
        <f t="shared" si="576"/>
        <v>0</v>
      </c>
      <c r="FW252">
        <v>0</v>
      </c>
      <c r="FX252">
        <f t="shared" si="577"/>
        <v>0</v>
      </c>
      <c r="FY252" t="b">
        <f t="shared" si="578"/>
        <v>1</v>
      </c>
      <c r="FZ252">
        <f t="shared" ca="1" si="579"/>
        <v>658</v>
      </c>
      <c r="GA252">
        <f t="shared" ca="1" si="580"/>
        <v>560678</v>
      </c>
      <c r="GB252">
        <f t="shared" si="581"/>
        <v>75000</v>
      </c>
      <c r="GC252">
        <f t="shared" ca="1" si="582"/>
        <v>485678</v>
      </c>
      <c r="GD252">
        <f t="shared" ca="1" si="583"/>
        <v>0</v>
      </c>
      <c r="GE252">
        <f t="shared" ca="1" si="584"/>
        <v>0</v>
      </c>
      <c r="GF252">
        <f t="shared" ca="1" si="585"/>
        <v>0</v>
      </c>
      <c r="GG252">
        <f t="shared" ca="1" si="586"/>
        <v>0</v>
      </c>
      <c r="GH252">
        <f t="shared" ca="1" si="587"/>
        <v>0</v>
      </c>
      <c r="GI252">
        <f t="shared" ca="1" si="588"/>
        <v>0</v>
      </c>
      <c r="GJ252">
        <f t="shared" ca="1" si="514"/>
        <v>0</v>
      </c>
      <c r="GK252">
        <f t="shared" ca="1" si="589"/>
        <v>0</v>
      </c>
      <c r="GL252">
        <f t="shared" ca="1" si="590"/>
        <v>0</v>
      </c>
      <c r="GM252">
        <f t="shared" ca="1" si="591"/>
        <v>0</v>
      </c>
      <c r="GN252">
        <f t="shared" ca="1" si="592"/>
        <v>85678</v>
      </c>
      <c r="GO252">
        <f t="shared" ca="1" si="593"/>
        <v>4283.9000000000005</v>
      </c>
      <c r="GP252">
        <f t="shared" ca="1" si="594"/>
        <v>4284</v>
      </c>
      <c r="GQ252">
        <f t="shared" ca="1" si="595"/>
        <v>0</v>
      </c>
      <c r="GR252">
        <f t="shared" ca="1" si="596"/>
        <v>0</v>
      </c>
      <c r="GS252">
        <f t="shared" ca="1" si="597"/>
        <v>4284</v>
      </c>
      <c r="GT252">
        <f t="shared" ca="1" si="598"/>
        <v>0</v>
      </c>
      <c r="GU252" t="b">
        <f t="shared" ca="1" si="599"/>
        <v>0</v>
      </c>
      <c r="GV252">
        <f t="shared" ca="1" si="600"/>
        <v>0</v>
      </c>
      <c r="GW252">
        <f t="shared" ca="1" si="601"/>
        <v>4284</v>
      </c>
      <c r="GX252">
        <f t="shared" ca="1" si="602"/>
        <v>0</v>
      </c>
      <c r="GY252">
        <f t="shared" ca="1" si="603"/>
        <v>0</v>
      </c>
      <c r="GZ252">
        <f t="shared" ca="1" si="604"/>
        <v>0</v>
      </c>
    </row>
    <row r="253" spans="1:208" x14ac:dyDescent="0.3">
      <c r="A253">
        <f>_xlfn.AGGREGATE(3,5,$B$2:B253)</f>
        <v>252</v>
      </c>
      <c r="B253" t="s">
        <v>608</v>
      </c>
      <c r="C253" t="s">
        <v>609</v>
      </c>
      <c r="D253" t="s">
        <v>813</v>
      </c>
      <c r="E253" t="s">
        <v>830</v>
      </c>
      <c r="F253" t="s">
        <v>956</v>
      </c>
      <c r="G253" t="s">
        <v>928</v>
      </c>
      <c r="H253">
        <f t="shared" si="607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521"/>
        <v>4830.0000000000009</v>
      </c>
      <c r="L253">
        <f t="shared" si="522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499"/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605"/>
        <v>200</v>
      </c>
      <c r="S253">
        <f t="shared" si="515"/>
        <v>40770</v>
      </c>
      <c r="T253">
        <f>_xlfn.XLOOKUP(B253,'[2]april-2025'!$A:$A,'[2]april-2025'!$C:$C,0,0)</f>
        <v>34500</v>
      </c>
      <c r="U253">
        <f t="shared" si="523"/>
        <v>6210</v>
      </c>
      <c r="V253">
        <f t="shared" si="524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516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525"/>
        <v>200</v>
      </c>
      <c r="AC253">
        <f t="shared" si="526"/>
        <v>42150</v>
      </c>
      <c r="AD253">
        <f>_xlfn.XLOOKUP(B253,'[3]may-2025'!$A:$A,'[3]may-2025'!$C:$C,0,0)</f>
        <v>34500</v>
      </c>
      <c r="AE253">
        <f t="shared" si="527"/>
        <v>6210</v>
      </c>
      <c r="AF253">
        <f t="shared" si="528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517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529"/>
        <v>200</v>
      </c>
      <c r="AM253">
        <f t="shared" si="530"/>
        <v>42150</v>
      </c>
      <c r="AN253">
        <f>_xlfn.XLOOKUP(B253,'[4]june-2025'!$A:$A,'[4]june-2025'!$C:$C,0,0)</f>
        <v>34500</v>
      </c>
      <c r="AO253">
        <f t="shared" si="531"/>
        <v>6210</v>
      </c>
      <c r="AP253">
        <f t="shared" si="532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518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533"/>
        <v>200</v>
      </c>
      <c r="AW253">
        <f t="shared" si="534"/>
        <v>42150</v>
      </c>
      <c r="AX253">
        <f>_xlfn.XLOOKUP(B253,'[5]july-2025'!$A:$A,'[5]july-2025'!$C:$C,0,0)</f>
        <v>35500</v>
      </c>
      <c r="AY253">
        <f t="shared" si="535"/>
        <v>6390</v>
      </c>
      <c r="AZ253">
        <v>0</v>
      </c>
      <c r="BA253">
        <f t="shared" si="536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500"/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537"/>
        <v>200</v>
      </c>
      <c r="BH253">
        <f t="shared" si="538"/>
        <v>43450</v>
      </c>
      <c r="BI253">
        <f>_xlfn.XLOOKUP(B253,'[6]august-2025'!$A:$A,'[6]august-2025'!$C:$C,0,0)</f>
        <v>35500</v>
      </c>
      <c r="BJ253">
        <f t="shared" si="539"/>
        <v>6390</v>
      </c>
      <c r="BK253">
        <f t="shared" si="540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541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 t="shared" si="501"/>
        <v>200</v>
      </c>
      <c r="BR253">
        <f t="shared" si="502"/>
        <v>43450</v>
      </c>
      <c r="BS253">
        <f>_xlfn.XLOOKUP(B253,'[7]september-2025'!$A:$A,'[7]september-2025'!$C:$C,0,0)</f>
        <v>35500</v>
      </c>
      <c r="BT253">
        <f t="shared" si="542"/>
        <v>6390</v>
      </c>
      <c r="BU253">
        <f t="shared" si="543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503"/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544"/>
        <v>200</v>
      </c>
      <c r="CB253">
        <f t="shared" si="545"/>
        <v>43450</v>
      </c>
      <c r="CC253">
        <f>_xlfn.XLOOKUP(B253,'[8]october-2025'!$A:$A,'[8]october-2025'!$C:$C,0,0)</f>
        <v>35500</v>
      </c>
      <c r="CD253">
        <f t="shared" si="546"/>
        <v>6390</v>
      </c>
      <c r="CE253">
        <f t="shared" si="547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504"/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548"/>
        <v>200</v>
      </c>
      <c r="CL253">
        <f t="shared" si="549"/>
        <v>43450</v>
      </c>
      <c r="CM253">
        <f>_xlfn.XLOOKUP(B253,'[9]november-2025'!$A:$A,'[9]november-2025'!$C:$C,0,0)</f>
        <v>35500</v>
      </c>
      <c r="CN253">
        <f t="shared" si="550"/>
        <v>6390</v>
      </c>
      <c r="CO253">
        <f t="shared" si="551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505"/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552"/>
        <v>200</v>
      </c>
      <c r="CV253">
        <f t="shared" si="553"/>
        <v>43450</v>
      </c>
      <c r="CW253">
        <f>_xlfn.XLOOKUP(B253,'[10]december-2025'!$A:$A,'[10]december-2025'!$C:$C,0,0)</f>
        <v>35500</v>
      </c>
      <c r="CX253">
        <f t="shared" si="554"/>
        <v>6390</v>
      </c>
      <c r="CY253">
        <f t="shared" si="555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506"/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556"/>
        <v>200</v>
      </c>
      <c r="DF253">
        <f t="shared" si="557"/>
        <v>43450</v>
      </c>
      <c r="DG253">
        <f>_xlfn.XLOOKUP(B253,'[11]january-2026'!$A:$A,'[11]january-2026'!$C:$C,0,0)</f>
        <v>35500</v>
      </c>
      <c r="DH253">
        <f t="shared" si="558"/>
        <v>6390</v>
      </c>
      <c r="DI253">
        <f t="shared" si="559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07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60"/>
        <v>200</v>
      </c>
      <c r="DP253">
        <f t="shared" si="561"/>
        <v>43450</v>
      </c>
      <c r="DQ253">
        <f>_xlfn.XLOOKUP(B253,'[12]february-2026'!$A:$A,'[12]february-2026'!$C:$C,0,0)</f>
        <v>35500</v>
      </c>
      <c r="DR253">
        <f t="shared" si="562"/>
        <v>6390</v>
      </c>
      <c r="DS253">
        <f t="shared" si="563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08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64"/>
        <v>200</v>
      </c>
      <c r="DZ253">
        <f t="shared" si="565"/>
        <v>43450</v>
      </c>
      <c r="EA253">
        <f>_xlfn.XLOOKUP(B253,'[1]march-2025'!$A:$A,'[1]march-2025'!$J:$J,0,0)</f>
        <v>0</v>
      </c>
      <c r="EB253">
        <f>_xlfn.XLOOKUP(B253,'[2]april-2025'!$A:$A,'[2]april-2025'!$J:$J,0,0)</f>
        <v>0</v>
      </c>
      <c r="EC253">
        <f>_xlfn.XLOOKUP(B253,'[3]may-2025'!$A:$A,'[3]may-2025'!$J:$J,0,0)</f>
        <v>0</v>
      </c>
      <c r="ED253">
        <f>_xlfn.XLOOKUP(B253,'[4]june-2025'!$A:$A,'[4]june-2025'!$J:$J,0,0)</f>
        <v>0</v>
      </c>
      <c r="EE253">
        <f>_xlfn.XLOOKUP(B253,'[5]july-2025'!$A:$A,'[5]july-2025'!$J:$J,0,0)</f>
        <v>0</v>
      </c>
      <c r="EF253">
        <f>_xlfn.XLOOKUP(B253,'[6]august-2025'!$A:$A,'[6]august-2025'!$J:$J,0,0)</f>
        <v>0</v>
      </c>
      <c r="EG253">
        <f>_xlfn.XLOOKUP(B253,'[7]september-2025'!$A:$A,'[7]september-2025'!$J:$J,0,0)</f>
        <v>0</v>
      </c>
      <c r="EH253">
        <f>_xlfn.XLOOKUP(B253,'[8]october-2025'!$A:$A,'[8]october-2025'!$J:$J,0,0)</f>
        <v>0</v>
      </c>
      <c r="EI253">
        <f>_xlfn.XLOOKUP(C253,'[9]november-2025'!$A:$A,'[9]november-2025'!$J:$J,0,0)</f>
        <v>0</v>
      </c>
      <c r="EJ253">
        <f>_xlfn.XLOOKUP(B253,'[10]december-2025'!$A:$A,'[10]december-2025'!$J:$J,0,0)</f>
        <v>0</v>
      </c>
      <c r="EK253">
        <f>_xlfn.XLOOKUP(B253,'[11]january-2026'!$A:$A,'[11]january-2026'!$J:$J,0,0)</f>
        <v>0</v>
      </c>
      <c r="EL253">
        <f>_xlfn.XLOOKUP(B253,'[12]february-2026'!$A:$A,'[12]february-2026'!$J:$J,0,0)</f>
        <v>0</v>
      </c>
      <c r="EM253">
        <f t="shared" si="519"/>
        <v>0</v>
      </c>
      <c r="EN253">
        <f t="shared" si="509"/>
        <v>560020</v>
      </c>
      <c r="EO253">
        <f t="shared" si="510"/>
        <v>2400</v>
      </c>
      <c r="EP253">
        <f t="shared" si="566"/>
        <v>50000</v>
      </c>
      <c r="EQ253">
        <v>0</v>
      </c>
      <c r="ER253">
        <f t="shared" si="520"/>
        <v>507620</v>
      </c>
      <c r="ES253">
        <f t="shared" si="511"/>
        <v>36000</v>
      </c>
      <c r="ET253">
        <f t="shared" si="512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567"/>
        <v>36000</v>
      </c>
      <c r="FF253">
        <f t="shared" si="568"/>
        <v>36000</v>
      </c>
      <c r="FG253">
        <f t="shared" si="569"/>
        <v>471620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513"/>
        <v>0</v>
      </c>
      <c r="FP253">
        <f t="shared" si="570"/>
        <v>471620</v>
      </c>
      <c r="FQ253">
        <f t="shared" si="571"/>
        <v>11081</v>
      </c>
      <c r="FR253">
        <f t="shared" si="572"/>
        <v>0</v>
      </c>
      <c r="FS253">
        <f t="shared" si="573"/>
        <v>11081</v>
      </c>
      <c r="FT253">
        <f t="shared" si="574"/>
        <v>0</v>
      </c>
      <c r="FU253">
        <f t="shared" si="575"/>
        <v>0</v>
      </c>
      <c r="FV253">
        <f t="shared" si="576"/>
        <v>0</v>
      </c>
      <c r="FW253">
        <v>0</v>
      </c>
      <c r="FX253">
        <f t="shared" si="577"/>
        <v>0</v>
      </c>
      <c r="FY253" t="b">
        <f t="shared" si="578"/>
        <v>1</v>
      </c>
      <c r="FZ253">
        <f t="shared" ca="1" si="579"/>
        <v>885</v>
      </c>
      <c r="GA253">
        <f t="shared" ca="1" si="580"/>
        <v>560905</v>
      </c>
      <c r="GB253">
        <f t="shared" si="581"/>
        <v>75000</v>
      </c>
      <c r="GC253">
        <f t="shared" ca="1" si="582"/>
        <v>485905</v>
      </c>
      <c r="GD253">
        <f t="shared" ca="1" si="583"/>
        <v>0</v>
      </c>
      <c r="GE253">
        <f t="shared" ca="1" si="584"/>
        <v>0</v>
      </c>
      <c r="GF253">
        <f t="shared" ca="1" si="585"/>
        <v>0</v>
      </c>
      <c r="GG253">
        <f t="shared" ca="1" si="586"/>
        <v>0</v>
      </c>
      <c r="GH253">
        <f t="shared" ca="1" si="587"/>
        <v>0</v>
      </c>
      <c r="GI253">
        <f t="shared" ca="1" si="588"/>
        <v>0</v>
      </c>
      <c r="GJ253">
        <f t="shared" ca="1" si="514"/>
        <v>0</v>
      </c>
      <c r="GK253">
        <f t="shared" ca="1" si="589"/>
        <v>0</v>
      </c>
      <c r="GL253">
        <f t="shared" ca="1" si="590"/>
        <v>0</v>
      </c>
      <c r="GM253">
        <f t="shared" ca="1" si="591"/>
        <v>0</v>
      </c>
      <c r="GN253">
        <f t="shared" ca="1" si="592"/>
        <v>85905</v>
      </c>
      <c r="GO253">
        <f t="shared" ca="1" si="593"/>
        <v>4295.25</v>
      </c>
      <c r="GP253">
        <f t="shared" ca="1" si="594"/>
        <v>4295</v>
      </c>
      <c r="GQ253">
        <f t="shared" ca="1" si="595"/>
        <v>0</v>
      </c>
      <c r="GR253">
        <f t="shared" ca="1" si="596"/>
        <v>0</v>
      </c>
      <c r="GS253">
        <f t="shared" ca="1" si="597"/>
        <v>4295</v>
      </c>
      <c r="GT253">
        <f t="shared" ca="1" si="598"/>
        <v>0</v>
      </c>
      <c r="GU253" t="b">
        <f t="shared" ca="1" si="599"/>
        <v>0</v>
      </c>
      <c r="GV253">
        <f t="shared" ca="1" si="600"/>
        <v>0</v>
      </c>
      <c r="GW253">
        <f t="shared" ca="1" si="601"/>
        <v>4295</v>
      </c>
      <c r="GX253">
        <f t="shared" ca="1" si="602"/>
        <v>0</v>
      </c>
      <c r="GY253">
        <f t="shared" ca="1" si="603"/>
        <v>0</v>
      </c>
      <c r="GZ253">
        <f t="shared" ca="1" si="604"/>
        <v>0</v>
      </c>
    </row>
    <row r="254" spans="1:208" x14ac:dyDescent="0.3">
      <c r="A254">
        <f>_xlfn.AGGREGATE(3,5,$B$2:B254)</f>
        <v>253</v>
      </c>
      <c r="B254" t="s">
        <v>610</v>
      </c>
      <c r="C254" t="s">
        <v>611</v>
      </c>
      <c r="D254" t="s">
        <v>813</v>
      </c>
      <c r="E254" t="s">
        <v>830</v>
      </c>
      <c r="F254" t="s">
        <v>956</v>
      </c>
      <c r="G254" t="s">
        <v>903</v>
      </c>
      <c r="H254">
        <f t="shared" si="607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521"/>
        <v>4046.0000000000005</v>
      </c>
      <c r="L254">
        <f t="shared" si="522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 t="shared" si="499"/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605"/>
        <v>150</v>
      </c>
      <c r="S254">
        <f t="shared" si="515"/>
        <v>34764</v>
      </c>
      <c r="T254">
        <f>_xlfn.XLOOKUP(B254,'[2]april-2025'!$A:$A,'[2]april-2025'!$C:$C,0,0)</f>
        <v>28900</v>
      </c>
      <c r="U254">
        <f t="shared" si="523"/>
        <v>5202</v>
      </c>
      <c r="V254">
        <f t="shared" si="524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516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525"/>
        <v>150</v>
      </c>
      <c r="AC254">
        <f t="shared" si="526"/>
        <v>35920</v>
      </c>
      <c r="AD254">
        <f>_xlfn.XLOOKUP(B254,'[3]may-2025'!$A:$A,'[3]may-2025'!$C:$C,0,0)</f>
        <v>28900</v>
      </c>
      <c r="AE254">
        <f t="shared" si="527"/>
        <v>5202</v>
      </c>
      <c r="AF254">
        <f t="shared" si="528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517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529"/>
        <v>150</v>
      </c>
      <c r="AM254">
        <f t="shared" si="530"/>
        <v>35920</v>
      </c>
      <c r="AN254">
        <f>_xlfn.XLOOKUP(B254,'[4]june-2025'!$A:$A,'[4]june-2025'!$C:$C,0,0)</f>
        <v>28900</v>
      </c>
      <c r="AO254">
        <f t="shared" si="531"/>
        <v>5202</v>
      </c>
      <c r="AP254">
        <f t="shared" si="532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518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533"/>
        <v>150</v>
      </c>
      <c r="AW254">
        <f t="shared" si="534"/>
        <v>35920</v>
      </c>
      <c r="AX254">
        <f>_xlfn.XLOOKUP(B254,'[5]july-2025'!$A:$A,'[5]july-2025'!$C:$C,0,0)</f>
        <v>29800</v>
      </c>
      <c r="AY254">
        <f t="shared" si="535"/>
        <v>5364</v>
      </c>
      <c r="AZ254">
        <v>0</v>
      </c>
      <c r="BA254">
        <f t="shared" si="536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 t="shared" si="500"/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537"/>
        <v>150</v>
      </c>
      <c r="BH254">
        <f t="shared" si="538"/>
        <v>37090</v>
      </c>
      <c r="BI254">
        <f>_xlfn.XLOOKUP(B254,'[6]august-2025'!$A:$A,'[6]august-2025'!$C:$C,0,0)</f>
        <v>29800</v>
      </c>
      <c r="BJ254">
        <f t="shared" si="539"/>
        <v>5364</v>
      </c>
      <c r="BK254">
        <f t="shared" si="540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541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 t="shared" si="501"/>
        <v>150</v>
      </c>
      <c r="BR254">
        <f t="shared" si="502"/>
        <v>37090</v>
      </c>
      <c r="BS254">
        <f>_xlfn.XLOOKUP(B254,'[7]september-2025'!$A:$A,'[7]september-2025'!$C:$C,0,0)</f>
        <v>29800</v>
      </c>
      <c r="BT254">
        <f t="shared" si="542"/>
        <v>5364</v>
      </c>
      <c r="BU254">
        <f t="shared" si="543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 t="shared" si="503"/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544"/>
        <v>150</v>
      </c>
      <c r="CB254">
        <f t="shared" si="545"/>
        <v>37090</v>
      </c>
      <c r="CC254">
        <f>_xlfn.XLOOKUP(B254,'[8]october-2025'!$A:$A,'[8]october-2025'!$C:$C,0,0)</f>
        <v>29800</v>
      </c>
      <c r="CD254">
        <f t="shared" si="546"/>
        <v>5364</v>
      </c>
      <c r="CE254">
        <f t="shared" si="547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 t="shared" si="504"/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548"/>
        <v>150</v>
      </c>
      <c r="CL254">
        <f t="shared" si="549"/>
        <v>37090</v>
      </c>
      <c r="CM254">
        <f>_xlfn.XLOOKUP(B254,'[9]november-2025'!$A:$A,'[9]november-2025'!$C:$C,0,0)</f>
        <v>29800</v>
      </c>
      <c r="CN254">
        <f t="shared" si="550"/>
        <v>5364</v>
      </c>
      <c r="CO254">
        <f t="shared" si="551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 t="shared" si="505"/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552"/>
        <v>150</v>
      </c>
      <c r="CV254">
        <f t="shared" si="553"/>
        <v>37090</v>
      </c>
      <c r="CW254">
        <f>_xlfn.XLOOKUP(B254,'[10]december-2025'!$A:$A,'[10]december-2025'!$C:$C,0,0)</f>
        <v>29800</v>
      </c>
      <c r="CX254">
        <f t="shared" si="554"/>
        <v>5364</v>
      </c>
      <c r="CY254">
        <f t="shared" si="555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 t="shared" si="506"/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556"/>
        <v>150</v>
      </c>
      <c r="DF254">
        <f t="shared" si="557"/>
        <v>37090</v>
      </c>
      <c r="DG254">
        <f>_xlfn.XLOOKUP(B254,'[11]january-2026'!$A:$A,'[11]january-2026'!$C:$C,0,0)</f>
        <v>29800</v>
      </c>
      <c r="DH254">
        <f t="shared" si="558"/>
        <v>5364</v>
      </c>
      <c r="DI254">
        <f t="shared" si="559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07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60"/>
        <v>150</v>
      </c>
      <c r="DP254">
        <f t="shared" si="561"/>
        <v>37090</v>
      </c>
      <c r="DQ254">
        <f>_xlfn.XLOOKUP(B254,'[12]february-2026'!$A:$A,'[12]february-2026'!$C:$C,0,0)</f>
        <v>29800</v>
      </c>
      <c r="DR254">
        <f t="shared" si="562"/>
        <v>5364</v>
      </c>
      <c r="DS254">
        <f t="shared" si="563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08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64"/>
        <v>150</v>
      </c>
      <c r="DZ254">
        <f t="shared" si="565"/>
        <v>37090</v>
      </c>
      <c r="EA254">
        <f>_xlfn.XLOOKUP(B254,'[1]march-2025'!$A:$A,'[1]march-2025'!$J:$J,0,0)</f>
        <v>0</v>
      </c>
      <c r="EB254">
        <f>_xlfn.XLOOKUP(B254,'[2]april-2025'!$A:$A,'[2]april-2025'!$J:$J,0,0)</f>
        <v>0</v>
      </c>
      <c r="EC254">
        <f>_xlfn.XLOOKUP(B254,'[3]may-2025'!$A:$A,'[3]may-2025'!$J:$J,0,0)</f>
        <v>34471</v>
      </c>
      <c r="ED254">
        <f>_xlfn.XLOOKUP(B254,'[4]june-2025'!$A:$A,'[4]june-2025'!$J:$J,0,0)</f>
        <v>0</v>
      </c>
      <c r="EE254">
        <f>_xlfn.XLOOKUP(B254,'[5]july-2025'!$A:$A,'[5]july-2025'!$J:$J,0,0)</f>
        <v>0</v>
      </c>
      <c r="EF254">
        <f>_xlfn.XLOOKUP(B254,'[6]august-2025'!$A:$A,'[6]august-2025'!$J:$J,0,0)</f>
        <v>0</v>
      </c>
      <c r="EG254">
        <f>_xlfn.XLOOKUP(B254,'[7]september-2025'!$A:$A,'[7]september-2025'!$J:$J,0,0)</f>
        <v>0</v>
      </c>
      <c r="EH254">
        <f>_xlfn.XLOOKUP(B254,'[8]october-2025'!$A:$A,'[8]october-2025'!$J:$J,0,0)</f>
        <v>0</v>
      </c>
      <c r="EI254">
        <f>_xlfn.XLOOKUP(C254,'[9]november-2025'!$A:$A,'[9]november-2025'!$J:$J,0,0)</f>
        <v>0</v>
      </c>
      <c r="EJ254">
        <f>_xlfn.XLOOKUP(B254,'[10]december-2025'!$A:$A,'[10]december-2025'!$J:$J,0,0)</f>
        <v>0</v>
      </c>
      <c r="EK254">
        <f>_xlfn.XLOOKUP(B254,'[11]january-2026'!$A:$A,'[11]january-2026'!$J:$J,0,0)</f>
        <v>0</v>
      </c>
      <c r="EL254">
        <f>_xlfn.XLOOKUP(B254,'[12]february-2026'!$A:$A,'[12]february-2026'!$J:$J,0,0)</f>
        <v>0</v>
      </c>
      <c r="EM254">
        <f t="shared" si="519"/>
        <v>34471</v>
      </c>
      <c r="EN254">
        <f t="shared" si="509"/>
        <v>471844</v>
      </c>
      <c r="EO254">
        <f t="shared" si="510"/>
        <v>1800</v>
      </c>
      <c r="EP254">
        <f t="shared" si="566"/>
        <v>50000</v>
      </c>
      <c r="EQ254">
        <v>0</v>
      </c>
      <c r="ER254">
        <f t="shared" si="520"/>
        <v>454515</v>
      </c>
      <c r="ES254">
        <f t="shared" si="511"/>
        <v>24000</v>
      </c>
      <c r="ET254">
        <f t="shared" si="512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567"/>
        <v>24000</v>
      </c>
      <c r="FF254">
        <f t="shared" si="568"/>
        <v>24000</v>
      </c>
      <c r="FG254">
        <f t="shared" si="569"/>
        <v>430515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513"/>
        <v>0</v>
      </c>
      <c r="FP254">
        <f t="shared" si="570"/>
        <v>430515</v>
      </c>
      <c r="FQ254">
        <f t="shared" si="571"/>
        <v>9026</v>
      </c>
      <c r="FR254">
        <f t="shared" si="572"/>
        <v>0</v>
      </c>
      <c r="FS254">
        <f t="shared" si="573"/>
        <v>9026</v>
      </c>
      <c r="FT254">
        <f t="shared" si="574"/>
        <v>0</v>
      </c>
      <c r="FU254">
        <f t="shared" si="575"/>
        <v>0</v>
      </c>
      <c r="FV254">
        <f t="shared" si="576"/>
        <v>0</v>
      </c>
      <c r="FW254">
        <v>0</v>
      </c>
      <c r="FX254">
        <f t="shared" si="577"/>
        <v>0</v>
      </c>
      <c r="FY254" t="b">
        <f t="shared" si="578"/>
        <v>0</v>
      </c>
      <c r="FZ254">
        <f t="shared" ca="1" si="579"/>
        <v>1552</v>
      </c>
      <c r="GA254">
        <f t="shared" ca="1" si="580"/>
        <v>473396</v>
      </c>
      <c r="GB254">
        <f t="shared" si="581"/>
        <v>75000</v>
      </c>
      <c r="GC254">
        <f t="shared" ca="1" si="582"/>
        <v>398396</v>
      </c>
      <c r="GD254">
        <f t="shared" ca="1" si="583"/>
        <v>0</v>
      </c>
      <c r="GE254">
        <f t="shared" ca="1" si="584"/>
        <v>0</v>
      </c>
      <c r="GF254">
        <f t="shared" ca="1" si="585"/>
        <v>0</v>
      </c>
      <c r="GG254">
        <f t="shared" ca="1" si="586"/>
        <v>0</v>
      </c>
      <c r="GH254">
        <f t="shared" ca="1" si="587"/>
        <v>0</v>
      </c>
      <c r="GI254">
        <f t="shared" ca="1" si="588"/>
        <v>0</v>
      </c>
      <c r="GJ254">
        <f t="shared" ca="1" si="514"/>
        <v>0</v>
      </c>
      <c r="GK254">
        <f t="shared" ca="1" si="589"/>
        <v>0</v>
      </c>
      <c r="GL254">
        <f t="shared" ca="1" si="590"/>
        <v>0</v>
      </c>
      <c r="GM254">
        <f t="shared" ca="1" si="591"/>
        <v>0</v>
      </c>
      <c r="GN254">
        <f t="shared" ca="1" si="592"/>
        <v>0</v>
      </c>
      <c r="GO254">
        <f t="shared" ca="1" si="593"/>
        <v>0</v>
      </c>
      <c r="GP254">
        <f t="shared" ca="1" si="594"/>
        <v>0</v>
      </c>
      <c r="GQ254">
        <f t="shared" ca="1" si="595"/>
        <v>0</v>
      </c>
      <c r="GR254">
        <f t="shared" ca="1" si="596"/>
        <v>0</v>
      </c>
      <c r="GS254">
        <f t="shared" ca="1" si="597"/>
        <v>0</v>
      </c>
      <c r="GT254">
        <f t="shared" ca="1" si="598"/>
        <v>0</v>
      </c>
      <c r="GU254" t="b">
        <f t="shared" ca="1" si="599"/>
        <v>0</v>
      </c>
      <c r="GV254">
        <f t="shared" ca="1" si="600"/>
        <v>0</v>
      </c>
      <c r="GW254">
        <f t="shared" ca="1" si="601"/>
        <v>0</v>
      </c>
      <c r="GX254">
        <f t="shared" ca="1" si="602"/>
        <v>0</v>
      </c>
      <c r="GY254">
        <f t="shared" ca="1" si="603"/>
        <v>0</v>
      </c>
      <c r="GZ254">
        <f t="shared" ca="1" si="604"/>
        <v>0</v>
      </c>
    </row>
    <row r="255" spans="1:208" x14ac:dyDescent="0.3">
      <c r="A255">
        <f>_xlfn.AGGREGATE(3,5,$B$2:B255)</f>
        <v>254</v>
      </c>
      <c r="B255" t="s">
        <v>612</v>
      </c>
      <c r="C255" t="s">
        <v>613</v>
      </c>
      <c r="D255" t="s">
        <v>814</v>
      </c>
      <c r="E255" t="s">
        <v>830</v>
      </c>
      <c r="F255" t="s">
        <v>956</v>
      </c>
      <c r="G255" t="s">
        <v>877</v>
      </c>
      <c r="H255">
        <f t="shared" si="607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521"/>
        <v>4830.0000000000009</v>
      </c>
      <c r="L255">
        <f t="shared" si="522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 t="shared" si="499"/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605"/>
        <v>200</v>
      </c>
      <c r="S255">
        <f t="shared" si="515"/>
        <v>41170</v>
      </c>
      <c r="T255">
        <f>_xlfn.XLOOKUP(B255,'[2]april-2025'!$A:$A,'[2]april-2025'!$C:$C,0,0)</f>
        <v>34500</v>
      </c>
      <c r="U255">
        <f t="shared" si="523"/>
        <v>6210</v>
      </c>
      <c r="V255">
        <f t="shared" si="524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516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525"/>
        <v>200</v>
      </c>
      <c r="AC255">
        <f t="shared" si="526"/>
        <v>42550</v>
      </c>
      <c r="AD255">
        <f>_xlfn.XLOOKUP(B255,'[3]may-2025'!$A:$A,'[3]may-2025'!$C:$C,0,0)</f>
        <v>34500</v>
      </c>
      <c r="AE255">
        <f t="shared" si="527"/>
        <v>6210</v>
      </c>
      <c r="AF255">
        <f t="shared" si="528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517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529"/>
        <v>200</v>
      </c>
      <c r="AM255">
        <f t="shared" si="530"/>
        <v>42550</v>
      </c>
      <c r="AN255">
        <f>_xlfn.XLOOKUP(B255,'[4]june-2025'!$A:$A,'[4]june-2025'!$C:$C,0,0)</f>
        <v>34500</v>
      </c>
      <c r="AO255">
        <f t="shared" si="531"/>
        <v>6210</v>
      </c>
      <c r="AP255">
        <f t="shared" si="532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518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533"/>
        <v>200</v>
      </c>
      <c r="AW255">
        <f t="shared" si="534"/>
        <v>42550</v>
      </c>
      <c r="AX255">
        <f>_xlfn.XLOOKUP(B255,'[5]july-2025'!$A:$A,'[5]july-2025'!$C:$C,0,0)</f>
        <v>35500</v>
      </c>
      <c r="AY255">
        <f t="shared" si="535"/>
        <v>6390</v>
      </c>
      <c r="AZ255">
        <v>0</v>
      </c>
      <c r="BA255">
        <f t="shared" si="536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 t="shared" si="500"/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537"/>
        <v>200</v>
      </c>
      <c r="BH255">
        <f t="shared" si="538"/>
        <v>43850</v>
      </c>
      <c r="BI255">
        <f>_xlfn.XLOOKUP(B255,'[6]august-2025'!$A:$A,'[6]august-2025'!$C:$C,0,0)</f>
        <v>35500</v>
      </c>
      <c r="BJ255">
        <f t="shared" si="539"/>
        <v>6390</v>
      </c>
      <c r="BK255">
        <f t="shared" si="540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541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 t="shared" si="501"/>
        <v>200</v>
      </c>
      <c r="BR255">
        <f t="shared" si="502"/>
        <v>43850</v>
      </c>
      <c r="BS255">
        <f>_xlfn.XLOOKUP(B255,'[7]september-2025'!$A:$A,'[7]september-2025'!$C:$C,0,0)</f>
        <v>35500</v>
      </c>
      <c r="BT255">
        <f t="shared" si="542"/>
        <v>6390</v>
      </c>
      <c r="BU255">
        <f t="shared" si="543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 t="shared" si="503"/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544"/>
        <v>200</v>
      </c>
      <c r="CB255">
        <f t="shared" si="545"/>
        <v>43850</v>
      </c>
      <c r="CC255">
        <f>_xlfn.XLOOKUP(B255,'[8]october-2025'!$A:$A,'[8]october-2025'!$C:$C,0,0)</f>
        <v>35500</v>
      </c>
      <c r="CD255">
        <f t="shared" si="546"/>
        <v>6390</v>
      </c>
      <c r="CE255">
        <f t="shared" si="547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 t="shared" si="504"/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548"/>
        <v>200</v>
      </c>
      <c r="CL255">
        <f t="shared" si="549"/>
        <v>43850</v>
      </c>
      <c r="CM255">
        <f>_xlfn.XLOOKUP(B255,'[9]november-2025'!$A:$A,'[9]november-2025'!$C:$C,0,0)</f>
        <v>35500</v>
      </c>
      <c r="CN255">
        <f t="shared" si="550"/>
        <v>6390</v>
      </c>
      <c r="CO255">
        <f t="shared" si="551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 t="shared" si="505"/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552"/>
        <v>200</v>
      </c>
      <c r="CV255">
        <f t="shared" si="553"/>
        <v>43850</v>
      </c>
      <c r="CW255">
        <f>_xlfn.XLOOKUP(B255,'[10]december-2025'!$A:$A,'[10]december-2025'!$C:$C,0,0)</f>
        <v>35500</v>
      </c>
      <c r="CX255">
        <f t="shared" si="554"/>
        <v>6390</v>
      </c>
      <c r="CY255">
        <f t="shared" si="555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 t="shared" si="506"/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556"/>
        <v>200</v>
      </c>
      <c r="DF255">
        <f t="shared" si="557"/>
        <v>43850</v>
      </c>
      <c r="DG255">
        <f>_xlfn.XLOOKUP(B255,'[11]january-2026'!$A:$A,'[11]january-2026'!$C:$C,0,0)</f>
        <v>35500</v>
      </c>
      <c r="DH255">
        <f t="shared" si="558"/>
        <v>6390</v>
      </c>
      <c r="DI255">
        <f t="shared" si="559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07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60"/>
        <v>200</v>
      </c>
      <c r="DP255">
        <f t="shared" si="561"/>
        <v>43850</v>
      </c>
      <c r="DQ255">
        <f>_xlfn.XLOOKUP(B255,'[12]february-2026'!$A:$A,'[12]february-2026'!$C:$C,0,0)</f>
        <v>35500</v>
      </c>
      <c r="DR255">
        <f t="shared" si="562"/>
        <v>6390</v>
      </c>
      <c r="DS255">
        <f t="shared" si="563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08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64"/>
        <v>200</v>
      </c>
      <c r="DZ255">
        <f t="shared" si="565"/>
        <v>43850</v>
      </c>
      <c r="EA255">
        <f>_xlfn.XLOOKUP(B255,'[1]march-2025'!$A:$A,'[1]march-2025'!$J:$J,0,0)</f>
        <v>0</v>
      </c>
      <c r="EB255">
        <f>_xlfn.XLOOKUP(B255,'[2]april-2025'!$A:$A,'[2]april-2025'!$J:$J,0,0)</f>
        <v>0</v>
      </c>
      <c r="EC255">
        <f>_xlfn.XLOOKUP(B255,'[3]may-2025'!$A:$A,'[3]may-2025'!$J:$J,0,0)</f>
        <v>0</v>
      </c>
      <c r="ED255">
        <f>_xlfn.XLOOKUP(B255,'[4]june-2025'!$A:$A,'[4]june-2025'!$J:$J,0,0)</f>
        <v>0</v>
      </c>
      <c r="EE255">
        <f>_xlfn.XLOOKUP(B255,'[5]july-2025'!$A:$A,'[5]july-2025'!$J:$J,0,0)</f>
        <v>0</v>
      </c>
      <c r="EF255">
        <f>_xlfn.XLOOKUP(B255,'[6]august-2025'!$A:$A,'[6]august-2025'!$J:$J,0,0)</f>
        <v>0</v>
      </c>
      <c r="EG255">
        <f>_xlfn.XLOOKUP(B255,'[7]september-2025'!$A:$A,'[7]september-2025'!$J:$J,0,0)</f>
        <v>0</v>
      </c>
      <c r="EH255">
        <f>_xlfn.XLOOKUP(B255,'[8]october-2025'!$A:$A,'[8]october-2025'!$J:$J,0,0)</f>
        <v>0</v>
      </c>
      <c r="EI255">
        <f>_xlfn.XLOOKUP(C255,'[9]november-2025'!$A:$A,'[9]november-2025'!$J:$J,0,0)</f>
        <v>0</v>
      </c>
      <c r="EJ255">
        <f>_xlfn.XLOOKUP(B255,'[10]december-2025'!$A:$A,'[10]december-2025'!$J:$J,0,0)</f>
        <v>0</v>
      </c>
      <c r="EK255">
        <f>_xlfn.XLOOKUP(B255,'[11]january-2026'!$A:$A,'[11]january-2026'!$J:$J,0,0)</f>
        <v>0</v>
      </c>
      <c r="EL255">
        <f>_xlfn.XLOOKUP(B255,'[12]february-2026'!$A:$A,'[12]february-2026'!$J:$J,0,0)</f>
        <v>0</v>
      </c>
      <c r="EM255">
        <f t="shared" si="519"/>
        <v>0</v>
      </c>
      <c r="EN255">
        <f t="shared" si="509"/>
        <v>558820</v>
      </c>
      <c r="EO255">
        <f t="shared" si="510"/>
        <v>2400</v>
      </c>
      <c r="EP255">
        <f t="shared" si="566"/>
        <v>50000</v>
      </c>
      <c r="EQ255">
        <v>0</v>
      </c>
      <c r="ER255">
        <f t="shared" si="520"/>
        <v>506420</v>
      </c>
      <c r="ES255">
        <f t="shared" si="511"/>
        <v>30000</v>
      </c>
      <c r="ET255">
        <f t="shared" si="512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567"/>
        <v>30000</v>
      </c>
      <c r="FF255">
        <f t="shared" si="568"/>
        <v>30000</v>
      </c>
      <c r="FG255">
        <f t="shared" si="569"/>
        <v>476420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513"/>
        <v>0</v>
      </c>
      <c r="FP255">
        <f t="shared" si="570"/>
        <v>476420</v>
      </c>
      <c r="FQ255">
        <f t="shared" si="571"/>
        <v>11321</v>
      </c>
      <c r="FR255">
        <f t="shared" si="572"/>
        <v>0</v>
      </c>
      <c r="FS255">
        <f t="shared" si="573"/>
        <v>11321</v>
      </c>
      <c r="FT255">
        <f t="shared" si="574"/>
        <v>0</v>
      </c>
      <c r="FU255">
        <f t="shared" si="575"/>
        <v>0</v>
      </c>
      <c r="FV255">
        <f t="shared" si="576"/>
        <v>0</v>
      </c>
      <c r="FW255">
        <v>0</v>
      </c>
      <c r="FX255">
        <f t="shared" si="577"/>
        <v>0</v>
      </c>
      <c r="FY255" t="b">
        <f t="shared" si="578"/>
        <v>1</v>
      </c>
      <c r="FZ255">
        <f t="shared" ca="1" si="579"/>
        <v>605</v>
      </c>
      <c r="GA255">
        <f t="shared" ca="1" si="580"/>
        <v>559425</v>
      </c>
      <c r="GB255">
        <f t="shared" si="581"/>
        <v>75000</v>
      </c>
      <c r="GC255">
        <f t="shared" ca="1" si="582"/>
        <v>484425</v>
      </c>
      <c r="GD255">
        <f t="shared" ca="1" si="583"/>
        <v>0</v>
      </c>
      <c r="GE255">
        <f t="shared" ca="1" si="584"/>
        <v>0</v>
      </c>
      <c r="GF255">
        <f t="shared" ca="1" si="585"/>
        <v>0</v>
      </c>
      <c r="GG255">
        <f t="shared" ca="1" si="586"/>
        <v>0</v>
      </c>
      <c r="GH255">
        <f t="shared" ca="1" si="587"/>
        <v>0</v>
      </c>
      <c r="GI255">
        <f t="shared" ca="1" si="588"/>
        <v>0</v>
      </c>
      <c r="GJ255">
        <f t="shared" ca="1" si="514"/>
        <v>0</v>
      </c>
      <c r="GK255">
        <f t="shared" ca="1" si="589"/>
        <v>0</v>
      </c>
      <c r="GL255">
        <f t="shared" ca="1" si="590"/>
        <v>0</v>
      </c>
      <c r="GM255">
        <f t="shared" ca="1" si="591"/>
        <v>0</v>
      </c>
      <c r="GN255">
        <f t="shared" ca="1" si="592"/>
        <v>84425</v>
      </c>
      <c r="GO255">
        <f t="shared" ca="1" si="593"/>
        <v>4221.25</v>
      </c>
      <c r="GP255">
        <f t="shared" ca="1" si="594"/>
        <v>4221</v>
      </c>
      <c r="GQ255">
        <f t="shared" ca="1" si="595"/>
        <v>0</v>
      </c>
      <c r="GR255">
        <f t="shared" ca="1" si="596"/>
        <v>0</v>
      </c>
      <c r="GS255">
        <f t="shared" ca="1" si="597"/>
        <v>4221</v>
      </c>
      <c r="GT255">
        <f t="shared" ca="1" si="598"/>
        <v>0</v>
      </c>
      <c r="GU255" t="b">
        <f t="shared" ca="1" si="599"/>
        <v>0</v>
      </c>
      <c r="GV255">
        <f t="shared" ca="1" si="600"/>
        <v>0</v>
      </c>
      <c r="GW255">
        <f t="shared" ca="1" si="601"/>
        <v>4221</v>
      </c>
      <c r="GX255">
        <f t="shared" ca="1" si="602"/>
        <v>0</v>
      </c>
      <c r="GY255">
        <f t="shared" ca="1" si="603"/>
        <v>0</v>
      </c>
      <c r="GZ255">
        <f t="shared" ca="1" si="604"/>
        <v>0</v>
      </c>
    </row>
    <row r="256" spans="1:208" x14ac:dyDescent="0.3">
      <c r="A256">
        <f>_xlfn.AGGREGATE(3,5,$B$2:B256)</f>
        <v>255</v>
      </c>
      <c r="B256" t="s">
        <v>614</v>
      </c>
      <c r="C256" t="s">
        <v>615</v>
      </c>
      <c r="D256" t="s">
        <v>814</v>
      </c>
      <c r="E256" t="s">
        <v>830</v>
      </c>
      <c r="F256" t="s">
        <v>956</v>
      </c>
      <c r="G256" t="s">
        <v>877</v>
      </c>
      <c r="H256">
        <f t="shared" si="607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521"/>
        <v>4830.0000000000009</v>
      </c>
      <c r="L256">
        <f t="shared" si="522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 t="shared" si="499"/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605"/>
        <v>200</v>
      </c>
      <c r="S256">
        <f t="shared" si="515"/>
        <v>38270</v>
      </c>
      <c r="T256">
        <f>_xlfn.XLOOKUP(B256,'[2]april-2025'!$A:$A,'[2]april-2025'!$C:$C,0,0)</f>
        <v>34500</v>
      </c>
      <c r="U256">
        <f t="shared" si="523"/>
        <v>6210</v>
      </c>
      <c r="V256">
        <f t="shared" si="524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516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525"/>
        <v>200</v>
      </c>
      <c r="AC256">
        <f t="shared" si="526"/>
        <v>39650</v>
      </c>
      <c r="AD256">
        <f>_xlfn.XLOOKUP(B256,'[3]may-2025'!$A:$A,'[3]may-2025'!$C:$C,0,0)</f>
        <v>34500</v>
      </c>
      <c r="AE256">
        <f t="shared" si="527"/>
        <v>6210</v>
      </c>
      <c r="AF256">
        <f t="shared" si="528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517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529"/>
        <v>200</v>
      </c>
      <c r="AM256">
        <f t="shared" si="530"/>
        <v>39650</v>
      </c>
      <c r="AN256">
        <f>_xlfn.XLOOKUP(B256,'[4]june-2025'!$A:$A,'[4]june-2025'!$C:$C,0,0)</f>
        <v>34500</v>
      </c>
      <c r="AO256">
        <f t="shared" si="531"/>
        <v>6210</v>
      </c>
      <c r="AP256">
        <f t="shared" si="532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518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533"/>
        <v>200</v>
      </c>
      <c r="AW256">
        <f t="shared" si="534"/>
        <v>39650</v>
      </c>
      <c r="AX256">
        <f>_xlfn.XLOOKUP(B256,'[5]july-2025'!$A:$A,'[5]july-2025'!$C:$C,0,0)</f>
        <v>35500</v>
      </c>
      <c r="AY256">
        <f t="shared" si="535"/>
        <v>6390</v>
      </c>
      <c r="AZ256">
        <v>0</v>
      </c>
      <c r="BA256">
        <f t="shared" si="536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 t="shared" si="500"/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537"/>
        <v>200</v>
      </c>
      <c r="BH256">
        <f t="shared" si="538"/>
        <v>40950</v>
      </c>
      <c r="BI256">
        <f>_xlfn.XLOOKUP(B256,'[6]august-2025'!$A:$A,'[6]august-2025'!$C:$C,0,0)</f>
        <v>35500</v>
      </c>
      <c r="BJ256">
        <f t="shared" si="539"/>
        <v>6390</v>
      </c>
      <c r="BK256">
        <f t="shared" si="540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541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501"/>
        <v>200</v>
      </c>
      <c r="BR256">
        <f t="shared" si="502"/>
        <v>40950</v>
      </c>
      <c r="BS256">
        <f>_xlfn.XLOOKUP(B256,'[7]september-2025'!$A:$A,'[7]september-2025'!$C:$C,0,0)</f>
        <v>35500</v>
      </c>
      <c r="BT256">
        <f t="shared" si="542"/>
        <v>6390</v>
      </c>
      <c r="BU256">
        <f t="shared" si="543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 t="shared" si="503"/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544"/>
        <v>200</v>
      </c>
      <c r="CB256">
        <f t="shared" si="545"/>
        <v>40950</v>
      </c>
      <c r="CC256">
        <f>_xlfn.XLOOKUP(B256,'[8]october-2025'!$A:$A,'[8]october-2025'!$C:$C,0,0)</f>
        <v>35500</v>
      </c>
      <c r="CD256">
        <f t="shared" si="546"/>
        <v>6390</v>
      </c>
      <c r="CE256">
        <f t="shared" si="547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 t="shared" si="504"/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548"/>
        <v>200</v>
      </c>
      <c r="CL256">
        <f t="shared" si="549"/>
        <v>40950</v>
      </c>
      <c r="CM256">
        <f>_xlfn.XLOOKUP(B256,'[9]november-2025'!$A:$A,'[9]november-2025'!$C:$C,0,0)</f>
        <v>35500</v>
      </c>
      <c r="CN256">
        <f t="shared" si="550"/>
        <v>6390</v>
      </c>
      <c r="CO256">
        <f t="shared" si="551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 t="shared" si="505"/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552"/>
        <v>200</v>
      </c>
      <c r="CV256">
        <f t="shared" si="553"/>
        <v>40950</v>
      </c>
      <c r="CW256">
        <f>_xlfn.XLOOKUP(B256,'[10]december-2025'!$A:$A,'[10]december-2025'!$C:$C,0,0)</f>
        <v>35500</v>
      </c>
      <c r="CX256">
        <f t="shared" si="554"/>
        <v>6390</v>
      </c>
      <c r="CY256">
        <f t="shared" si="555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 t="shared" si="506"/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556"/>
        <v>200</v>
      </c>
      <c r="DF256">
        <f t="shared" si="557"/>
        <v>40950</v>
      </c>
      <c r="DG256">
        <f>_xlfn.XLOOKUP(B256,'[11]january-2026'!$A:$A,'[11]january-2026'!$C:$C,0,0)</f>
        <v>35500</v>
      </c>
      <c r="DH256">
        <f t="shared" si="558"/>
        <v>6390</v>
      </c>
      <c r="DI256">
        <f t="shared" si="559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07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60"/>
        <v>200</v>
      </c>
      <c r="DP256">
        <f t="shared" si="561"/>
        <v>40950</v>
      </c>
      <c r="DQ256">
        <f>_xlfn.XLOOKUP(B256,'[12]february-2026'!$A:$A,'[12]february-2026'!$C:$C,0,0)</f>
        <v>35500</v>
      </c>
      <c r="DR256">
        <f t="shared" si="562"/>
        <v>6390</v>
      </c>
      <c r="DS256">
        <f t="shared" si="563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08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64"/>
        <v>200</v>
      </c>
      <c r="DZ256">
        <f t="shared" si="565"/>
        <v>40950</v>
      </c>
      <c r="EA256">
        <f>_xlfn.XLOOKUP(B256,'[1]march-2025'!$A:$A,'[1]march-2025'!$J:$J,0,0)</f>
        <v>0</v>
      </c>
      <c r="EB256">
        <f>_xlfn.XLOOKUP(B256,'[2]april-2025'!$A:$A,'[2]april-2025'!$J:$J,0,0)</f>
        <v>0</v>
      </c>
      <c r="EC256">
        <f>_xlfn.XLOOKUP(B256,'[3]may-2025'!$A:$A,'[3]may-2025'!$J:$J,0,0)</f>
        <v>0</v>
      </c>
      <c r="ED256">
        <f>_xlfn.XLOOKUP(B256,'[4]june-2025'!$A:$A,'[4]june-2025'!$J:$J,0,0)</f>
        <v>0</v>
      </c>
      <c r="EE256">
        <f>_xlfn.XLOOKUP(B256,'[5]july-2025'!$A:$A,'[5]july-2025'!$J:$J,0,0)</f>
        <v>0</v>
      </c>
      <c r="EF256">
        <f>_xlfn.XLOOKUP(B256,'[6]august-2025'!$A:$A,'[6]august-2025'!$J:$J,0,0)</f>
        <v>0</v>
      </c>
      <c r="EG256">
        <f>_xlfn.XLOOKUP(B256,'[7]september-2025'!$A:$A,'[7]september-2025'!$J:$J,0,0)</f>
        <v>0</v>
      </c>
      <c r="EH256">
        <f>_xlfn.XLOOKUP(B256,'[8]october-2025'!$A:$A,'[8]october-2025'!$J:$J,0,0)</f>
        <v>0</v>
      </c>
      <c r="EI256">
        <f>_xlfn.XLOOKUP(C256,'[9]november-2025'!$A:$A,'[9]november-2025'!$J:$J,0,0)</f>
        <v>0</v>
      </c>
      <c r="EJ256">
        <f>_xlfn.XLOOKUP(B256,'[10]december-2025'!$A:$A,'[10]december-2025'!$J:$J,0,0)</f>
        <v>0</v>
      </c>
      <c r="EK256">
        <f>_xlfn.XLOOKUP(B256,'[11]january-2026'!$A:$A,'[11]january-2026'!$J:$J,0,0)</f>
        <v>0</v>
      </c>
      <c r="EL256">
        <f>_xlfn.XLOOKUP(B256,'[12]february-2026'!$A:$A,'[12]february-2026'!$J:$J,0,0)</f>
        <v>0</v>
      </c>
      <c r="EM256">
        <f t="shared" si="519"/>
        <v>0</v>
      </c>
      <c r="EN256">
        <f t="shared" si="509"/>
        <v>554020</v>
      </c>
      <c r="EO256">
        <f t="shared" si="510"/>
        <v>2400</v>
      </c>
      <c r="EP256">
        <f t="shared" si="566"/>
        <v>50000</v>
      </c>
      <c r="EQ256">
        <v>0</v>
      </c>
      <c r="ER256">
        <f t="shared" si="520"/>
        <v>501620</v>
      </c>
      <c r="ES256">
        <f t="shared" si="511"/>
        <v>60000</v>
      </c>
      <c r="ET256">
        <f t="shared" si="512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567"/>
        <v>60000</v>
      </c>
      <c r="FF256">
        <f t="shared" si="568"/>
        <v>60000</v>
      </c>
      <c r="FG256">
        <f t="shared" si="569"/>
        <v>441620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513"/>
        <v>0</v>
      </c>
      <c r="FP256">
        <f t="shared" si="570"/>
        <v>441620</v>
      </c>
      <c r="FQ256">
        <f t="shared" si="571"/>
        <v>9581</v>
      </c>
      <c r="FR256">
        <f t="shared" si="572"/>
        <v>0</v>
      </c>
      <c r="FS256">
        <f t="shared" si="573"/>
        <v>9581</v>
      </c>
      <c r="FT256">
        <f t="shared" si="574"/>
        <v>0</v>
      </c>
      <c r="FU256">
        <f t="shared" si="575"/>
        <v>0</v>
      </c>
      <c r="FV256">
        <f t="shared" si="576"/>
        <v>0</v>
      </c>
      <c r="FW256">
        <v>0</v>
      </c>
      <c r="FX256">
        <f t="shared" si="577"/>
        <v>0</v>
      </c>
      <c r="FY256" t="b">
        <f t="shared" si="578"/>
        <v>1</v>
      </c>
      <c r="FZ256">
        <f t="shared" ca="1" si="579"/>
        <v>810</v>
      </c>
      <c r="GA256">
        <f t="shared" ca="1" si="580"/>
        <v>554830</v>
      </c>
      <c r="GB256">
        <f t="shared" si="581"/>
        <v>75000</v>
      </c>
      <c r="GC256">
        <f t="shared" ca="1" si="582"/>
        <v>479830</v>
      </c>
      <c r="GD256">
        <f t="shared" ca="1" si="583"/>
        <v>0</v>
      </c>
      <c r="GE256">
        <f t="shared" ca="1" si="584"/>
        <v>0</v>
      </c>
      <c r="GF256">
        <f t="shared" ca="1" si="585"/>
        <v>0</v>
      </c>
      <c r="GG256">
        <f t="shared" ca="1" si="586"/>
        <v>0</v>
      </c>
      <c r="GH256">
        <f t="shared" ca="1" si="587"/>
        <v>0</v>
      </c>
      <c r="GI256">
        <f t="shared" ca="1" si="588"/>
        <v>0</v>
      </c>
      <c r="GJ256">
        <f t="shared" ca="1" si="514"/>
        <v>0</v>
      </c>
      <c r="GK256">
        <f t="shared" ca="1" si="589"/>
        <v>0</v>
      </c>
      <c r="GL256">
        <f t="shared" ca="1" si="590"/>
        <v>0</v>
      </c>
      <c r="GM256">
        <f t="shared" ca="1" si="591"/>
        <v>0</v>
      </c>
      <c r="GN256">
        <f t="shared" ca="1" si="592"/>
        <v>79830</v>
      </c>
      <c r="GO256">
        <f t="shared" ca="1" si="593"/>
        <v>3991.5</v>
      </c>
      <c r="GP256">
        <f t="shared" ca="1" si="594"/>
        <v>3992</v>
      </c>
      <c r="GQ256">
        <f t="shared" ca="1" si="595"/>
        <v>0</v>
      </c>
      <c r="GR256">
        <f t="shared" ca="1" si="596"/>
        <v>0</v>
      </c>
      <c r="GS256">
        <f t="shared" ca="1" si="597"/>
        <v>3992</v>
      </c>
      <c r="GT256">
        <f t="shared" ca="1" si="598"/>
        <v>0</v>
      </c>
      <c r="GU256" t="b">
        <f t="shared" ca="1" si="599"/>
        <v>0</v>
      </c>
      <c r="GV256">
        <f t="shared" ca="1" si="600"/>
        <v>0</v>
      </c>
      <c r="GW256">
        <f t="shared" ca="1" si="601"/>
        <v>3992</v>
      </c>
      <c r="GX256">
        <f t="shared" ca="1" si="602"/>
        <v>0</v>
      </c>
      <c r="GY256">
        <f t="shared" ca="1" si="603"/>
        <v>0</v>
      </c>
      <c r="GZ256">
        <f t="shared" ca="1" si="604"/>
        <v>0</v>
      </c>
    </row>
    <row r="257" spans="1:208" x14ac:dyDescent="0.3">
      <c r="A257">
        <f>_xlfn.AGGREGATE(3,5,$B$2:B257)</f>
        <v>256</v>
      </c>
      <c r="B257" t="s">
        <v>616</v>
      </c>
      <c r="C257" t="s">
        <v>617</v>
      </c>
      <c r="D257" t="s">
        <v>815</v>
      </c>
      <c r="E257" t="s">
        <v>830</v>
      </c>
      <c r="F257" t="s">
        <v>956</v>
      </c>
      <c r="G257" t="s">
        <v>879</v>
      </c>
      <c r="H257">
        <f t="shared" si="607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521"/>
        <v>7238.0000000000009</v>
      </c>
      <c r="L257">
        <f t="shared" si="522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 t="shared" si="499"/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605"/>
        <v>200</v>
      </c>
      <c r="S257">
        <f t="shared" si="515"/>
        <v>60842</v>
      </c>
      <c r="T257">
        <f>_xlfn.XLOOKUP(B257,'[2]april-2025'!$A:$A,'[2]april-2025'!$C:$C,0,0)</f>
        <v>51700</v>
      </c>
      <c r="U257">
        <f t="shared" si="523"/>
        <v>9306</v>
      </c>
      <c r="V257">
        <f t="shared" si="524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516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525"/>
        <v>200</v>
      </c>
      <c r="AC257">
        <f t="shared" si="526"/>
        <v>62910</v>
      </c>
      <c r="AD257">
        <f>_xlfn.XLOOKUP(B257,'[3]may-2025'!$A:$A,'[3]may-2025'!$C:$C,0,0)</f>
        <v>51700</v>
      </c>
      <c r="AE257">
        <f t="shared" si="527"/>
        <v>9306</v>
      </c>
      <c r="AF257">
        <f t="shared" si="528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517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529"/>
        <v>200</v>
      </c>
      <c r="AM257">
        <f t="shared" si="530"/>
        <v>62910</v>
      </c>
      <c r="AN257">
        <f>_xlfn.XLOOKUP(B257,'[4]june-2025'!$A:$A,'[4]june-2025'!$C:$C,0,0)</f>
        <v>51700</v>
      </c>
      <c r="AO257">
        <f t="shared" si="531"/>
        <v>9306</v>
      </c>
      <c r="AP257">
        <f t="shared" si="532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518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533"/>
        <v>200</v>
      </c>
      <c r="AW257">
        <f t="shared" si="534"/>
        <v>62910</v>
      </c>
      <c r="AX257">
        <f>_xlfn.XLOOKUP(B257,'[5]july-2025'!$A:$A,'[5]july-2025'!$C:$C,0,0)</f>
        <v>53300</v>
      </c>
      <c r="AY257">
        <f t="shared" si="535"/>
        <v>9594</v>
      </c>
      <c r="AZ257">
        <v>0</v>
      </c>
      <c r="BA257">
        <f t="shared" si="536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 t="shared" si="500"/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537"/>
        <v>200</v>
      </c>
      <c r="BH257">
        <f t="shared" si="538"/>
        <v>64990</v>
      </c>
      <c r="BI257">
        <f>_xlfn.XLOOKUP(B257,'[6]august-2025'!$A:$A,'[6]august-2025'!$C:$C,0,0)</f>
        <v>53300</v>
      </c>
      <c r="BJ257">
        <f t="shared" si="539"/>
        <v>9594</v>
      </c>
      <c r="BK257">
        <f t="shared" si="540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541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 t="shared" si="501"/>
        <v>200</v>
      </c>
      <c r="BR257">
        <f t="shared" si="502"/>
        <v>64990</v>
      </c>
      <c r="BS257">
        <f>_xlfn.XLOOKUP(B257,'[7]september-2025'!$A:$A,'[7]september-2025'!$C:$C,0,0)</f>
        <v>53300</v>
      </c>
      <c r="BT257">
        <f t="shared" si="542"/>
        <v>9594</v>
      </c>
      <c r="BU257">
        <f t="shared" si="543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 t="shared" si="503"/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544"/>
        <v>200</v>
      </c>
      <c r="CB257">
        <f t="shared" si="545"/>
        <v>64990</v>
      </c>
      <c r="CC257">
        <f>_xlfn.XLOOKUP(B257,'[8]october-2025'!$A:$A,'[8]october-2025'!$C:$C,0,0)</f>
        <v>53300</v>
      </c>
      <c r="CD257">
        <f t="shared" si="546"/>
        <v>9594</v>
      </c>
      <c r="CE257">
        <f t="shared" si="547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 t="shared" si="504"/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548"/>
        <v>200</v>
      </c>
      <c r="CL257">
        <f t="shared" si="549"/>
        <v>64990</v>
      </c>
      <c r="CM257">
        <f>_xlfn.XLOOKUP(B257,'[9]november-2025'!$A:$A,'[9]november-2025'!$C:$C,0,0)</f>
        <v>53300</v>
      </c>
      <c r="CN257">
        <f t="shared" si="550"/>
        <v>9594</v>
      </c>
      <c r="CO257">
        <f t="shared" si="551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 t="shared" si="505"/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552"/>
        <v>200</v>
      </c>
      <c r="CV257">
        <f t="shared" si="553"/>
        <v>64990</v>
      </c>
      <c r="CW257">
        <f>_xlfn.XLOOKUP(B257,'[10]december-2025'!$A:$A,'[10]december-2025'!$C:$C,0,0)</f>
        <v>53300</v>
      </c>
      <c r="CX257">
        <f t="shared" si="554"/>
        <v>9594</v>
      </c>
      <c r="CY257">
        <f t="shared" si="555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 t="shared" si="506"/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556"/>
        <v>200</v>
      </c>
      <c r="DF257">
        <f t="shared" si="557"/>
        <v>64990</v>
      </c>
      <c r="DG257">
        <f>_xlfn.XLOOKUP(B257,'[11]january-2026'!$A:$A,'[11]january-2026'!$C:$C,0,0)</f>
        <v>53300</v>
      </c>
      <c r="DH257">
        <f t="shared" si="558"/>
        <v>9594</v>
      </c>
      <c r="DI257">
        <f t="shared" si="559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07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60"/>
        <v>200</v>
      </c>
      <c r="DP257">
        <f t="shared" si="561"/>
        <v>64990</v>
      </c>
      <c r="DQ257">
        <f>_xlfn.XLOOKUP(B257,'[12]february-2026'!$A:$A,'[12]february-2026'!$C:$C,0,0)</f>
        <v>53300</v>
      </c>
      <c r="DR257">
        <f t="shared" si="562"/>
        <v>9594</v>
      </c>
      <c r="DS257">
        <f t="shared" si="563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08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64"/>
        <v>200</v>
      </c>
      <c r="DZ257">
        <f t="shared" si="565"/>
        <v>64990</v>
      </c>
      <c r="EA257">
        <f>_xlfn.XLOOKUP(B257,'[1]march-2025'!$A:$A,'[1]march-2025'!$J:$J,0,0)</f>
        <v>0</v>
      </c>
      <c r="EB257">
        <f>_xlfn.XLOOKUP(B257,'[2]april-2025'!$A:$A,'[2]april-2025'!$J:$J,0,0)</f>
        <v>0</v>
      </c>
      <c r="EC257">
        <f>_xlfn.XLOOKUP(B257,'[3]may-2025'!$A:$A,'[3]may-2025'!$J:$J,0,0)</f>
        <v>0</v>
      </c>
      <c r="ED257">
        <f>_xlfn.XLOOKUP(B257,'[4]june-2025'!$A:$A,'[4]june-2025'!$J:$J,0,0)</f>
        <v>0</v>
      </c>
      <c r="EE257">
        <f>_xlfn.XLOOKUP(B257,'[5]july-2025'!$A:$A,'[5]july-2025'!$J:$J,0,0)</f>
        <v>0</v>
      </c>
      <c r="EF257">
        <f>_xlfn.XLOOKUP(B257,'[6]august-2025'!$A:$A,'[6]august-2025'!$J:$J,0,0)</f>
        <v>0</v>
      </c>
      <c r="EG257">
        <f>_xlfn.XLOOKUP(B257,'[7]september-2025'!$A:$A,'[7]september-2025'!$J:$J,0,0)</f>
        <v>0</v>
      </c>
      <c r="EH257">
        <f>_xlfn.XLOOKUP(B257,'[8]october-2025'!$A:$A,'[8]october-2025'!$J:$J,0,0)</f>
        <v>0</v>
      </c>
      <c r="EI257">
        <f>_xlfn.XLOOKUP(C257,'[9]november-2025'!$A:$A,'[9]november-2025'!$J:$J,0,0)</f>
        <v>0</v>
      </c>
      <c r="EJ257">
        <f>_xlfn.XLOOKUP(B257,'[10]december-2025'!$A:$A,'[10]december-2025'!$J:$J,0,0)</f>
        <v>0</v>
      </c>
      <c r="EK257">
        <f>_xlfn.XLOOKUP(B257,'[11]january-2026'!$A:$A,'[11]january-2026'!$J:$J,0,0)</f>
        <v>0</v>
      </c>
      <c r="EL257">
        <f>_xlfn.XLOOKUP(B257,'[12]february-2026'!$A:$A,'[12]february-2026'!$J:$J,0,0)</f>
        <v>0</v>
      </c>
      <c r="EM257">
        <f t="shared" si="519"/>
        <v>0</v>
      </c>
      <c r="EN257">
        <f t="shared" si="509"/>
        <v>838692</v>
      </c>
      <c r="EO257">
        <f t="shared" si="510"/>
        <v>2400</v>
      </c>
      <c r="EP257">
        <f t="shared" si="566"/>
        <v>50000</v>
      </c>
      <c r="EQ257">
        <v>0</v>
      </c>
      <c r="ER257">
        <f t="shared" si="520"/>
        <v>786292</v>
      </c>
      <c r="ES257">
        <f t="shared" si="511"/>
        <v>60000</v>
      </c>
      <c r="ET257">
        <f t="shared" si="512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567"/>
        <v>60000</v>
      </c>
      <c r="FF257">
        <f t="shared" si="568"/>
        <v>60000</v>
      </c>
      <c r="FG257">
        <f t="shared" si="569"/>
        <v>726292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513"/>
        <v>0</v>
      </c>
      <c r="FP257">
        <f t="shared" si="570"/>
        <v>726292</v>
      </c>
      <c r="FQ257">
        <f t="shared" si="571"/>
        <v>12500</v>
      </c>
      <c r="FR257">
        <f t="shared" si="572"/>
        <v>45258</v>
      </c>
      <c r="FS257">
        <f t="shared" si="573"/>
        <v>57758</v>
      </c>
      <c r="FT257">
        <f t="shared" si="574"/>
        <v>57758</v>
      </c>
      <c r="FU257">
        <f t="shared" si="575"/>
        <v>2310.3200000000002</v>
      </c>
      <c r="FV257">
        <f t="shared" si="576"/>
        <v>60068</v>
      </c>
      <c r="FW257">
        <v>0</v>
      </c>
      <c r="FX257">
        <f t="shared" si="577"/>
        <v>60068</v>
      </c>
      <c r="FY257" t="b">
        <f t="shared" si="578"/>
        <v>1</v>
      </c>
      <c r="FZ257">
        <f t="shared" ca="1" si="579"/>
        <v>617</v>
      </c>
      <c r="GA257">
        <f t="shared" ca="1" si="580"/>
        <v>839309</v>
      </c>
      <c r="GB257">
        <f t="shared" si="581"/>
        <v>75000</v>
      </c>
      <c r="GC257">
        <f t="shared" ca="1" si="582"/>
        <v>764309</v>
      </c>
      <c r="GD257">
        <f t="shared" ca="1" si="583"/>
        <v>0</v>
      </c>
      <c r="GE257">
        <f t="shared" ca="1" si="584"/>
        <v>0</v>
      </c>
      <c r="GF257">
        <f t="shared" ca="1" si="585"/>
        <v>0</v>
      </c>
      <c r="GG257">
        <f t="shared" ca="1" si="586"/>
        <v>0</v>
      </c>
      <c r="GH257">
        <f t="shared" ca="1" si="587"/>
        <v>0</v>
      </c>
      <c r="GI257">
        <f t="shared" ca="1" si="588"/>
        <v>0</v>
      </c>
      <c r="GJ257">
        <f t="shared" ca="1" si="514"/>
        <v>0</v>
      </c>
      <c r="GK257">
        <f t="shared" ca="1" si="589"/>
        <v>0</v>
      </c>
      <c r="GL257">
        <f t="shared" ca="1" si="590"/>
        <v>0</v>
      </c>
      <c r="GM257">
        <f t="shared" ca="1" si="591"/>
        <v>0</v>
      </c>
      <c r="GN257">
        <f t="shared" ca="1" si="592"/>
        <v>364309</v>
      </c>
      <c r="GO257">
        <f t="shared" ca="1" si="593"/>
        <v>18215.45</v>
      </c>
      <c r="GP257">
        <f t="shared" ca="1" si="594"/>
        <v>18215</v>
      </c>
      <c r="GQ257">
        <f t="shared" ca="1" si="595"/>
        <v>0</v>
      </c>
      <c r="GR257">
        <f t="shared" ca="1" si="596"/>
        <v>0</v>
      </c>
      <c r="GS257">
        <f t="shared" ca="1" si="597"/>
        <v>18215</v>
      </c>
      <c r="GT257">
        <f t="shared" ca="1" si="598"/>
        <v>0</v>
      </c>
      <c r="GU257" t="b">
        <f t="shared" ca="1" si="599"/>
        <v>0</v>
      </c>
      <c r="GV257">
        <f t="shared" ca="1" si="600"/>
        <v>0</v>
      </c>
      <c r="GW257">
        <f t="shared" ca="1" si="601"/>
        <v>18215</v>
      </c>
      <c r="GX257">
        <f t="shared" ca="1" si="602"/>
        <v>0</v>
      </c>
      <c r="GY257">
        <f t="shared" ca="1" si="603"/>
        <v>0</v>
      </c>
      <c r="GZ257">
        <f t="shared" ca="1" si="604"/>
        <v>0</v>
      </c>
    </row>
    <row r="258" spans="1:208" x14ac:dyDescent="0.3">
      <c r="A258">
        <f>_xlfn.AGGREGATE(3,5,$B$2:B258)</f>
        <v>257</v>
      </c>
      <c r="B258" t="s">
        <v>618</v>
      </c>
      <c r="C258" t="s">
        <v>619</v>
      </c>
      <c r="D258" t="s">
        <v>815</v>
      </c>
      <c r="E258" t="s">
        <v>830</v>
      </c>
      <c r="F258" t="s">
        <v>956</v>
      </c>
      <c r="G258" t="s">
        <v>877</v>
      </c>
      <c r="H258">
        <f t="shared" si="607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521"/>
        <v>4830.0000000000009</v>
      </c>
      <c r="L258">
        <f t="shared" si="522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ref="O258:O305" si="608">IF(J258&gt;0,SUM(J258:N258),0)</f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605"/>
        <v>200</v>
      </c>
      <c r="S258">
        <f t="shared" si="515"/>
        <v>40770</v>
      </c>
      <c r="T258">
        <f>_xlfn.XLOOKUP(B258,'[2]april-2025'!$A:$A,'[2]april-2025'!$C:$C,0,0)</f>
        <v>34500</v>
      </c>
      <c r="U258">
        <f t="shared" si="523"/>
        <v>6210</v>
      </c>
      <c r="V258">
        <f t="shared" si="524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516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525"/>
        <v>200</v>
      </c>
      <c r="AC258">
        <f t="shared" si="526"/>
        <v>42150</v>
      </c>
      <c r="AD258">
        <f>_xlfn.XLOOKUP(B258,'[3]may-2025'!$A:$A,'[3]may-2025'!$C:$C,0,0)</f>
        <v>34500</v>
      </c>
      <c r="AE258">
        <f t="shared" si="527"/>
        <v>6210</v>
      </c>
      <c r="AF258">
        <f t="shared" si="528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517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529"/>
        <v>200</v>
      </c>
      <c r="AM258">
        <f t="shared" si="530"/>
        <v>42150</v>
      </c>
      <c r="AN258">
        <f>_xlfn.XLOOKUP(B258,'[4]june-2025'!$A:$A,'[4]june-2025'!$C:$C,0,0)</f>
        <v>34500</v>
      </c>
      <c r="AO258">
        <f t="shared" si="531"/>
        <v>6210</v>
      </c>
      <c r="AP258">
        <f t="shared" si="532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518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533"/>
        <v>200</v>
      </c>
      <c r="AW258">
        <f t="shared" si="534"/>
        <v>42150</v>
      </c>
      <c r="AX258">
        <f>_xlfn.XLOOKUP(B258,'[5]july-2025'!$A:$A,'[5]july-2025'!$C:$C,0,0)</f>
        <v>35500</v>
      </c>
      <c r="AY258">
        <f t="shared" si="535"/>
        <v>6390</v>
      </c>
      <c r="AZ258">
        <v>0</v>
      </c>
      <c r="BA258">
        <f t="shared" si="536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ref="BD258:BD305" si="609">IF(AX258&gt;0,SUM(AX258:BC258),0)</f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537"/>
        <v>200</v>
      </c>
      <c r="BH258">
        <f t="shared" si="538"/>
        <v>43450</v>
      </c>
      <c r="BI258">
        <f>_xlfn.XLOOKUP(B258,'[6]august-2025'!$A:$A,'[6]august-2025'!$C:$C,0,0)</f>
        <v>35500</v>
      </c>
      <c r="BJ258">
        <f t="shared" si="539"/>
        <v>6390</v>
      </c>
      <c r="BK258">
        <f t="shared" si="540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541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ref="BQ258:BQ305" si="610">IF($F258="YES",0,IF(BN258&gt;40000,200,IF(BN258&gt;25000,150,IF(BN258&gt;15000,130,IF(BN258&gt;10000,110,0)))))</f>
        <v>200</v>
      </c>
      <c r="BR258">
        <f t="shared" ref="BR258:BR305" si="611">BN258-BO258-BP258-BQ258</f>
        <v>43450</v>
      </c>
      <c r="BS258">
        <f>_xlfn.XLOOKUP(B258,'[7]september-2025'!$A:$A,'[7]september-2025'!$C:$C,0,0)</f>
        <v>35500</v>
      </c>
      <c r="BT258">
        <f t="shared" si="542"/>
        <v>6390</v>
      </c>
      <c r="BU258">
        <f t="shared" si="543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ref="BX258:BX305" si="612">IF(BS258&gt;0,SUM(BS258:BW258),0)</f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544"/>
        <v>200</v>
      </c>
      <c r="CB258">
        <f t="shared" si="545"/>
        <v>43450</v>
      </c>
      <c r="CC258">
        <f>_xlfn.XLOOKUP(B258,'[8]october-2025'!$A:$A,'[8]october-2025'!$C:$C,0,0)</f>
        <v>35500</v>
      </c>
      <c r="CD258">
        <f t="shared" si="546"/>
        <v>6390</v>
      </c>
      <c r="CE258">
        <f t="shared" si="547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ref="CH258:CH305" si="613">IF(CC258&gt;0,SUM(CC258:CG258),0)</f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548"/>
        <v>200</v>
      </c>
      <c r="CL258">
        <f t="shared" si="549"/>
        <v>43450</v>
      </c>
      <c r="CM258">
        <f>_xlfn.XLOOKUP(B258,'[9]november-2025'!$A:$A,'[9]november-2025'!$C:$C,0,0)</f>
        <v>35500</v>
      </c>
      <c r="CN258">
        <f t="shared" si="550"/>
        <v>6390</v>
      </c>
      <c r="CO258">
        <f t="shared" si="551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ref="CR258:CR305" si="614">IF(CM258&gt;0,SUM(CM258:CQ258),0)</f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552"/>
        <v>200</v>
      </c>
      <c r="CV258">
        <f t="shared" si="553"/>
        <v>43450</v>
      </c>
      <c r="CW258">
        <f>_xlfn.XLOOKUP(B258,'[10]december-2025'!$A:$A,'[10]december-2025'!$C:$C,0,0)</f>
        <v>35500</v>
      </c>
      <c r="CX258">
        <f t="shared" si="554"/>
        <v>6390</v>
      </c>
      <c r="CY258">
        <f t="shared" si="555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ref="DB258:DB305" si="615">IF(CW258&gt;0,SUM(CW258:DA258),0)</f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556"/>
        <v>200</v>
      </c>
      <c r="DF258">
        <f t="shared" si="557"/>
        <v>43450</v>
      </c>
      <c r="DG258">
        <f>_xlfn.XLOOKUP(B258,'[11]january-2026'!$A:$A,'[11]january-2026'!$C:$C,0,0)</f>
        <v>35500</v>
      </c>
      <c r="DH258">
        <f t="shared" si="558"/>
        <v>6390</v>
      </c>
      <c r="DI258">
        <f t="shared" si="559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ref="DL258:DL305" si="616">IF(DG258&gt;0,SUM(DG258:DK258),0)</f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60"/>
        <v>200</v>
      </c>
      <c r="DP258">
        <f t="shared" si="561"/>
        <v>43450</v>
      </c>
      <c r="DQ258">
        <f>_xlfn.XLOOKUP(B258,'[12]february-2026'!$A:$A,'[12]february-2026'!$C:$C,0,0)</f>
        <v>35500</v>
      </c>
      <c r="DR258">
        <f t="shared" si="562"/>
        <v>6390</v>
      </c>
      <c r="DS258">
        <f t="shared" si="563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ref="DV258:DV305" si="617">IF(DQ258&gt;0,SUM(DQ258:DU258),0)</f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64"/>
        <v>200</v>
      </c>
      <c r="DZ258">
        <f t="shared" si="565"/>
        <v>43450</v>
      </c>
      <c r="EA258">
        <f>_xlfn.XLOOKUP(B258,'[1]march-2025'!$A:$A,'[1]march-2025'!$J:$J,0,0)</f>
        <v>0</v>
      </c>
      <c r="EB258">
        <f>_xlfn.XLOOKUP(B258,'[2]april-2025'!$A:$A,'[2]april-2025'!$J:$J,0,0)</f>
        <v>0</v>
      </c>
      <c r="EC258">
        <f>_xlfn.XLOOKUP(B258,'[3]may-2025'!$A:$A,'[3]may-2025'!$J:$J,0,0)</f>
        <v>0</v>
      </c>
      <c r="ED258">
        <f>_xlfn.XLOOKUP(B258,'[4]june-2025'!$A:$A,'[4]june-2025'!$J:$J,0,0)</f>
        <v>0</v>
      </c>
      <c r="EE258">
        <f>_xlfn.XLOOKUP(B258,'[5]july-2025'!$A:$A,'[5]july-2025'!$J:$J,0,0)</f>
        <v>0</v>
      </c>
      <c r="EF258">
        <f>_xlfn.XLOOKUP(B258,'[6]august-2025'!$A:$A,'[6]august-2025'!$J:$J,0,0)</f>
        <v>0</v>
      </c>
      <c r="EG258">
        <f>_xlfn.XLOOKUP(B258,'[7]september-2025'!$A:$A,'[7]september-2025'!$J:$J,0,0)</f>
        <v>0</v>
      </c>
      <c r="EH258">
        <f>_xlfn.XLOOKUP(B258,'[8]october-2025'!$A:$A,'[8]october-2025'!$J:$J,0,0)</f>
        <v>0</v>
      </c>
      <c r="EI258">
        <f>_xlfn.XLOOKUP(C258,'[9]november-2025'!$A:$A,'[9]november-2025'!$J:$J,0,0)</f>
        <v>0</v>
      </c>
      <c r="EJ258">
        <f>_xlfn.XLOOKUP(B258,'[10]december-2025'!$A:$A,'[10]december-2025'!$J:$J,0,0)</f>
        <v>0</v>
      </c>
      <c r="EK258">
        <f>_xlfn.XLOOKUP(B258,'[11]january-2026'!$A:$A,'[11]january-2026'!$J:$J,0,0)</f>
        <v>0</v>
      </c>
      <c r="EL258">
        <f>_xlfn.XLOOKUP(B258,'[12]february-2026'!$A:$A,'[12]february-2026'!$J:$J,0,0)</f>
        <v>0</v>
      </c>
      <c r="EM258">
        <f t="shared" si="519"/>
        <v>0</v>
      </c>
      <c r="EN258">
        <f t="shared" ref="EN258:EN305" si="618">DV258+DL258+DB258+CR258+CH258+BX258+BN258+BD258+AS258+AI258+Y258+O258+H258+I258</f>
        <v>560020</v>
      </c>
      <c r="EO258">
        <f t="shared" ref="EO258:EO305" si="619">DY258+DO258+DE258+CU258+CK258+CA258+BQ258+BG258+AV258+AL258+AB258+R258</f>
        <v>2400</v>
      </c>
      <c r="EP258">
        <f t="shared" si="566"/>
        <v>50000</v>
      </c>
      <c r="EQ258">
        <v>0</v>
      </c>
      <c r="ER258">
        <f t="shared" si="520"/>
        <v>507620</v>
      </c>
      <c r="ES258">
        <f t="shared" ref="ES258:ES305" si="620">DW258+DM258+DC258+CS258+CI258+BY258+BO258+BE258+AT258+AJ258+Z258+P258</f>
        <v>36000</v>
      </c>
      <c r="ET258">
        <f t="shared" ref="ET258:ET305" si="621">DX258+DN258+DD258+CT258+CJ258+BZ258+BP258+BF258+AU258+AK258+AA258+Q258</f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567"/>
        <v>36000</v>
      </c>
      <c r="FF258">
        <f t="shared" si="568"/>
        <v>36000</v>
      </c>
      <c r="FG258">
        <f t="shared" si="569"/>
        <v>471620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ref="FO258:FO305" si="622">SUM(FH258:FN258)+(IF(F258="YES",50000,0))</f>
        <v>0</v>
      </c>
      <c r="FP258">
        <f t="shared" si="570"/>
        <v>471620</v>
      </c>
      <c r="FQ258">
        <f t="shared" si="571"/>
        <v>11081</v>
      </c>
      <c r="FR258">
        <f t="shared" si="572"/>
        <v>0</v>
      </c>
      <c r="FS258">
        <f t="shared" si="573"/>
        <v>11081</v>
      </c>
      <c r="FT258">
        <f t="shared" si="574"/>
        <v>0</v>
      </c>
      <c r="FU258">
        <f t="shared" si="575"/>
        <v>0</v>
      </c>
      <c r="FV258">
        <f t="shared" si="576"/>
        <v>0</v>
      </c>
      <c r="FW258">
        <v>0</v>
      </c>
      <c r="FX258">
        <f t="shared" si="577"/>
        <v>0</v>
      </c>
      <c r="FY258" t="b">
        <f t="shared" si="578"/>
        <v>1</v>
      </c>
      <c r="FZ258">
        <f t="shared" ca="1" si="579"/>
        <v>877</v>
      </c>
      <c r="GA258">
        <f t="shared" ca="1" si="580"/>
        <v>560897</v>
      </c>
      <c r="GB258">
        <f t="shared" si="581"/>
        <v>75000</v>
      </c>
      <c r="GC258">
        <f t="shared" ca="1" si="582"/>
        <v>485897</v>
      </c>
      <c r="GD258">
        <f t="shared" ca="1" si="583"/>
        <v>0</v>
      </c>
      <c r="GE258">
        <f t="shared" ca="1" si="584"/>
        <v>0</v>
      </c>
      <c r="GF258">
        <f t="shared" ca="1" si="585"/>
        <v>0</v>
      </c>
      <c r="GG258">
        <f t="shared" ca="1" si="586"/>
        <v>0</v>
      </c>
      <c r="GH258">
        <f t="shared" ca="1" si="587"/>
        <v>0</v>
      </c>
      <c r="GI258">
        <f t="shared" ca="1" si="588"/>
        <v>0</v>
      </c>
      <c r="GJ258">
        <f t="shared" ref="GJ258:GJ305" ca="1" si="623">IF(GC258&gt;1200000,GC258-1200000-IF(F258="YES",50000,0)-GH258,0)</f>
        <v>0</v>
      </c>
      <c r="GK258">
        <f t="shared" ca="1" si="589"/>
        <v>0</v>
      </c>
      <c r="GL258">
        <f t="shared" ca="1" si="590"/>
        <v>0</v>
      </c>
      <c r="GM258">
        <f t="shared" ca="1" si="591"/>
        <v>0</v>
      </c>
      <c r="GN258">
        <f t="shared" ca="1" si="592"/>
        <v>85897</v>
      </c>
      <c r="GO258">
        <f t="shared" ca="1" si="593"/>
        <v>4294.8500000000004</v>
      </c>
      <c r="GP258">
        <f t="shared" ca="1" si="594"/>
        <v>4295</v>
      </c>
      <c r="GQ258">
        <f t="shared" ca="1" si="595"/>
        <v>0</v>
      </c>
      <c r="GR258">
        <f t="shared" ca="1" si="596"/>
        <v>0</v>
      </c>
      <c r="GS258">
        <f t="shared" ca="1" si="597"/>
        <v>4295</v>
      </c>
      <c r="GT258">
        <f t="shared" ca="1" si="598"/>
        <v>0</v>
      </c>
      <c r="GU258" t="b">
        <f t="shared" ca="1" si="599"/>
        <v>0</v>
      </c>
      <c r="GV258">
        <f t="shared" ca="1" si="600"/>
        <v>0</v>
      </c>
      <c r="GW258">
        <f t="shared" ca="1" si="601"/>
        <v>4295</v>
      </c>
      <c r="GX258">
        <f t="shared" ca="1" si="602"/>
        <v>0</v>
      </c>
      <c r="GY258">
        <f t="shared" ca="1" si="603"/>
        <v>0</v>
      </c>
      <c r="GZ258">
        <f t="shared" ca="1" si="604"/>
        <v>0</v>
      </c>
    </row>
    <row r="259" spans="1:208" x14ac:dyDescent="0.3">
      <c r="A259">
        <f>_xlfn.AGGREGATE(3,5,$B$2:B259)</f>
        <v>258</v>
      </c>
      <c r="B259" t="s">
        <v>620</v>
      </c>
      <c r="C259" t="s">
        <v>621</v>
      </c>
      <c r="D259" t="s">
        <v>815</v>
      </c>
      <c r="E259" t="s">
        <v>830</v>
      </c>
      <c r="F259" t="s">
        <v>956</v>
      </c>
      <c r="G259" t="s">
        <v>880</v>
      </c>
      <c r="H259">
        <f t="shared" si="607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521"/>
        <v>4046.0000000000005</v>
      </c>
      <c r="L259">
        <f t="shared" si="522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 t="shared" si="608"/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605"/>
        <v>150</v>
      </c>
      <c r="S259">
        <f t="shared" ref="S259:S305" si="624">O259-P259-Q259-R259</f>
        <v>34764</v>
      </c>
      <c r="T259">
        <f>_xlfn.XLOOKUP(B259,'[2]april-2025'!$A:$A,'[2]april-2025'!$C:$C,0,0)</f>
        <v>28900</v>
      </c>
      <c r="U259">
        <f t="shared" si="523"/>
        <v>5202</v>
      </c>
      <c r="V259">
        <f t="shared" si="524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ref="Y259:Y305" si="625">IF(T259&gt;0,SUM(T259:X259),0)</f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525"/>
        <v>150</v>
      </c>
      <c r="AC259">
        <f t="shared" si="526"/>
        <v>35920</v>
      </c>
      <c r="AD259">
        <f>_xlfn.XLOOKUP(B259,'[3]may-2025'!$A:$A,'[3]may-2025'!$C:$C,0,0)</f>
        <v>28900</v>
      </c>
      <c r="AE259">
        <f t="shared" si="527"/>
        <v>5202</v>
      </c>
      <c r="AF259">
        <f t="shared" si="528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ref="AI259:AI305" si="626">IF(AD259&gt;0,SUM(AD259:AH259),0)</f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529"/>
        <v>150</v>
      </c>
      <c r="AM259">
        <f t="shared" si="530"/>
        <v>35920</v>
      </c>
      <c r="AN259">
        <f>_xlfn.XLOOKUP(B259,'[4]june-2025'!$A:$A,'[4]june-2025'!$C:$C,0,0)</f>
        <v>28900</v>
      </c>
      <c r="AO259">
        <f t="shared" si="531"/>
        <v>5202</v>
      </c>
      <c r="AP259">
        <f t="shared" si="532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ref="AS259:AS305" si="627">IF(AN259&gt;0,SUM(AN259:AR259),0)</f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533"/>
        <v>150</v>
      </c>
      <c r="AW259">
        <f t="shared" si="534"/>
        <v>35920</v>
      </c>
      <c r="AX259">
        <f>_xlfn.XLOOKUP(B259,'[5]july-2025'!$A:$A,'[5]july-2025'!$C:$C,0,0)</f>
        <v>29800</v>
      </c>
      <c r="AY259">
        <f t="shared" si="535"/>
        <v>5364</v>
      </c>
      <c r="AZ259">
        <v>0</v>
      </c>
      <c r="BA259">
        <f t="shared" si="536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 t="shared" si="609"/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537"/>
        <v>150</v>
      </c>
      <c r="BH259">
        <f t="shared" si="538"/>
        <v>37090</v>
      </c>
      <c r="BI259">
        <f>_xlfn.XLOOKUP(B259,'[6]august-2025'!$A:$A,'[6]august-2025'!$C:$C,0,0)</f>
        <v>29800</v>
      </c>
      <c r="BJ259">
        <f t="shared" si="539"/>
        <v>5364</v>
      </c>
      <c r="BK259">
        <f t="shared" si="540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541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610"/>
        <v>150</v>
      </c>
      <c r="BR259">
        <f t="shared" si="611"/>
        <v>37090</v>
      </c>
      <c r="BS259">
        <f>_xlfn.XLOOKUP(B259,'[7]september-2025'!$A:$A,'[7]september-2025'!$C:$C,0,0)</f>
        <v>29800</v>
      </c>
      <c r="BT259">
        <f t="shared" si="542"/>
        <v>5364</v>
      </c>
      <c r="BU259">
        <f t="shared" si="543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 t="shared" si="612"/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544"/>
        <v>150</v>
      </c>
      <c r="CB259">
        <f t="shared" si="545"/>
        <v>37090</v>
      </c>
      <c r="CC259">
        <f>_xlfn.XLOOKUP(B259,'[8]october-2025'!$A:$A,'[8]october-2025'!$C:$C,0,0)</f>
        <v>29800</v>
      </c>
      <c r="CD259">
        <f t="shared" si="546"/>
        <v>5364</v>
      </c>
      <c r="CE259">
        <f t="shared" si="547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 t="shared" si="613"/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548"/>
        <v>150</v>
      </c>
      <c r="CL259">
        <f t="shared" si="549"/>
        <v>37090</v>
      </c>
      <c r="CM259">
        <f>_xlfn.XLOOKUP(B259,'[9]november-2025'!$A:$A,'[9]november-2025'!$C:$C,0,0)</f>
        <v>29800</v>
      </c>
      <c r="CN259">
        <f t="shared" si="550"/>
        <v>5364</v>
      </c>
      <c r="CO259">
        <f t="shared" si="551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 t="shared" si="614"/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552"/>
        <v>150</v>
      </c>
      <c r="CV259">
        <f t="shared" si="553"/>
        <v>37090</v>
      </c>
      <c r="CW259">
        <f>_xlfn.XLOOKUP(B259,'[10]december-2025'!$A:$A,'[10]december-2025'!$C:$C,0,0)</f>
        <v>29800</v>
      </c>
      <c r="CX259">
        <f t="shared" si="554"/>
        <v>5364</v>
      </c>
      <c r="CY259">
        <f t="shared" si="555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 t="shared" si="615"/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556"/>
        <v>150</v>
      </c>
      <c r="DF259">
        <f t="shared" si="557"/>
        <v>37090</v>
      </c>
      <c r="DG259">
        <f>_xlfn.XLOOKUP(B259,'[11]january-2026'!$A:$A,'[11]january-2026'!$C:$C,0,0)</f>
        <v>29800</v>
      </c>
      <c r="DH259">
        <f t="shared" si="558"/>
        <v>5364</v>
      </c>
      <c r="DI259">
        <f t="shared" si="559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616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60"/>
        <v>150</v>
      </c>
      <c r="DP259">
        <f t="shared" si="561"/>
        <v>37090</v>
      </c>
      <c r="DQ259">
        <f>_xlfn.XLOOKUP(B259,'[12]february-2026'!$A:$A,'[12]february-2026'!$C:$C,0,0)</f>
        <v>29800</v>
      </c>
      <c r="DR259">
        <f t="shared" si="562"/>
        <v>5364</v>
      </c>
      <c r="DS259">
        <f t="shared" si="563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617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64"/>
        <v>150</v>
      </c>
      <c r="DZ259">
        <f t="shared" si="565"/>
        <v>37090</v>
      </c>
      <c r="EA259">
        <f>_xlfn.XLOOKUP(B259,'[1]march-2025'!$A:$A,'[1]march-2025'!$J:$J,0,0)</f>
        <v>0</v>
      </c>
      <c r="EB259">
        <f>_xlfn.XLOOKUP(B259,'[2]april-2025'!$A:$A,'[2]april-2025'!$J:$J,0,0)</f>
        <v>0</v>
      </c>
      <c r="EC259">
        <f>_xlfn.XLOOKUP(B259,'[3]may-2025'!$A:$A,'[3]may-2025'!$J:$J,0,0)</f>
        <v>60294</v>
      </c>
      <c r="ED259">
        <f>_xlfn.XLOOKUP(B259,'[4]june-2025'!$A:$A,'[4]june-2025'!$J:$J,0,0)</f>
        <v>0</v>
      </c>
      <c r="EE259">
        <f>_xlfn.XLOOKUP(B259,'[5]july-2025'!$A:$A,'[5]july-2025'!$J:$J,0,0)</f>
        <v>0</v>
      </c>
      <c r="EF259">
        <f>_xlfn.XLOOKUP(B259,'[6]august-2025'!$A:$A,'[6]august-2025'!$J:$J,0,0)</f>
        <v>0</v>
      </c>
      <c r="EG259">
        <f>_xlfn.XLOOKUP(B259,'[7]september-2025'!$A:$A,'[7]september-2025'!$J:$J,0,0)</f>
        <v>0</v>
      </c>
      <c r="EH259">
        <f>_xlfn.XLOOKUP(B259,'[8]october-2025'!$A:$A,'[8]october-2025'!$J:$J,0,0)</f>
        <v>0</v>
      </c>
      <c r="EI259">
        <f>_xlfn.XLOOKUP(C259,'[9]november-2025'!$A:$A,'[9]november-2025'!$J:$J,0,0)</f>
        <v>0</v>
      </c>
      <c r="EJ259">
        <f>_xlfn.XLOOKUP(B259,'[10]december-2025'!$A:$A,'[10]december-2025'!$J:$J,0,0)</f>
        <v>0</v>
      </c>
      <c r="EK259">
        <f>_xlfn.XLOOKUP(B259,'[11]january-2026'!$A:$A,'[11]january-2026'!$J:$J,0,0)</f>
        <v>0</v>
      </c>
      <c r="EL259">
        <f>_xlfn.XLOOKUP(B259,'[12]february-2026'!$A:$A,'[12]february-2026'!$J:$J,0,0)</f>
        <v>0</v>
      </c>
      <c r="EM259">
        <f t="shared" ref="EM259:EM305" si="628">SUM(EA259:EL259)</f>
        <v>60294</v>
      </c>
      <c r="EN259">
        <f t="shared" si="618"/>
        <v>471844</v>
      </c>
      <c r="EO259">
        <f t="shared" si="619"/>
        <v>1800</v>
      </c>
      <c r="EP259">
        <f t="shared" si="566"/>
        <v>50000</v>
      </c>
      <c r="EQ259">
        <v>0</v>
      </c>
      <c r="ER259">
        <f t="shared" ref="ER259:ER305" si="629">EN259-EO259-EP259+EM259</f>
        <v>480338</v>
      </c>
      <c r="ES259">
        <f t="shared" si="620"/>
        <v>24000</v>
      </c>
      <c r="ET259">
        <f t="shared" si="621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567"/>
        <v>24000</v>
      </c>
      <c r="FF259">
        <f t="shared" si="568"/>
        <v>24000</v>
      </c>
      <c r="FG259">
        <f t="shared" si="569"/>
        <v>456338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622"/>
        <v>0</v>
      </c>
      <c r="FP259">
        <f t="shared" si="570"/>
        <v>456338</v>
      </c>
      <c r="FQ259">
        <f t="shared" si="571"/>
        <v>10317</v>
      </c>
      <c r="FR259">
        <f t="shared" si="572"/>
        <v>0</v>
      </c>
      <c r="FS259">
        <f t="shared" si="573"/>
        <v>10317</v>
      </c>
      <c r="FT259">
        <f t="shared" si="574"/>
        <v>0</v>
      </c>
      <c r="FU259">
        <f t="shared" si="575"/>
        <v>0</v>
      </c>
      <c r="FV259">
        <f t="shared" si="576"/>
        <v>0</v>
      </c>
      <c r="FW259">
        <v>0</v>
      </c>
      <c r="FX259">
        <f t="shared" si="577"/>
        <v>0</v>
      </c>
      <c r="FY259" t="b">
        <f t="shared" si="578"/>
        <v>0</v>
      </c>
      <c r="FZ259">
        <f t="shared" ca="1" si="579"/>
        <v>2773</v>
      </c>
      <c r="GA259">
        <f t="shared" ca="1" si="580"/>
        <v>474617</v>
      </c>
      <c r="GB259">
        <f t="shared" si="581"/>
        <v>75000</v>
      </c>
      <c r="GC259">
        <f t="shared" ca="1" si="582"/>
        <v>399617</v>
      </c>
      <c r="GD259">
        <f t="shared" ca="1" si="583"/>
        <v>0</v>
      </c>
      <c r="GE259">
        <f t="shared" ca="1" si="584"/>
        <v>0</v>
      </c>
      <c r="GF259">
        <f t="shared" ca="1" si="585"/>
        <v>0</v>
      </c>
      <c r="GG259">
        <f t="shared" ca="1" si="586"/>
        <v>0</v>
      </c>
      <c r="GH259">
        <f t="shared" ca="1" si="587"/>
        <v>0</v>
      </c>
      <c r="GI259">
        <f t="shared" ca="1" si="588"/>
        <v>0</v>
      </c>
      <c r="GJ259">
        <f t="shared" ca="1" si="623"/>
        <v>0</v>
      </c>
      <c r="GK259">
        <f t="shared" ca="1" si="589"/>
        <v>0</v>
      </c>
      <c r="GL259">
        <f t="shared" ca="1" si="590"/>
        <v>0</v>
      </c>
      <c r="GM259">
        <f t="shared" ca="1" si="591"/>
        <v>0</v>
      </c>
      <c r="GN259">
        <f t="shared" ca="1" si="592"/>
        <v>0</v>
      </c>
      <c r="GO259">
        <f t="shared" ca="1" si="593"/>
        <v>0</v>
      </c>
      <c r="GP259">
        <f t="shared" ca="1" si="594"/>
        <v>0</v>
      </c>
      <c r="GQ259">
        <f t="shared" ca="1" si="595"/>
        <v>0</v>
      </c>
      <c r="GR259">
        <f t="shared" ca="1" si="596"/>
        <v>0</v>
      </c>
      <c r="GS259">
        <f t="shared" ca="1" si="597"/>
        <v>0</v>
      </c>
      <c r="GT259">
        <f t="shared" ca="1" si="598"/>
        <v>0</v>
      </c>
      <c r="GU259" t="b">
        <f t="shared" ca="1" si="599"/>
        <v>0</v>
      </c>
      <c r="GV259">
        <f t="shared" ca="1" si="600"/>
        <v>0</v>
      </c>
      <c r="GW259">
        <f t="shared" ca="1" si="601"/>
        <v>0</v>
      </c>
      <c r="GX259">
        <f t="shared" ca="1" si="602"/>
        <v>0</v>
      </c>
      <c r="GY259">
        <f t="shared" ca="1" si="603"/>
        <v>0</v>
      </c>
      <c r="GZ259">
        <f t="shared" ca="1" si="604"/>
        <v>0</v>
      </c>
    </row>
    <row r="260" spans="1:208" x14ac:dyDescent="0.3">
      <c r="A260">
        <f>_xlfn.AGGREGATE(3,5,$B$2:B260)</f>
        <v>259</v>
      </c>
      <c r="B260" t="s">
        <v>622</v>
      </c>
      <c r="C260" t="s">
        <v>623</v>
      </c>
      <c r="D260" t="s">
        <v>816</v>
      </c>
      <c r="E260" t="s">
        <v>830</v>
      </c>
      <c r="F260" t="s">
        <v>956</v>
      </c>
      <c r="G260" t="s">
        <v>952</v>
      </c>
      <c r="H260">
        <f t="shared" si="607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630">J260*0.14</f>
        <v>4830.0000000000009</v>
      </c>
      <c r="L260">
        <f t="shared" ref="L260:L305" si="631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 t="shared" si="608"/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605"/>
        <v>200</v>
      </c>
      <c r="S260">
        <f t="shared" si="624"/>
        <v>41170</v>
      </c>
      <c r="T260">
        <f>_xlfn.XLOOKUP(B260,'[2]april-2025'!$A:$A,'[2]april-2025'!$C:$C,0,0)</f>
        <v>34500</v>
      </c>
      <c r="U260">
        <f t="shared" ref="U260:U305" si="632">T260*0.18</f>
        <v>6210</v>
      </c>
      <c r="V260">
        <f t="shared" ref="V260:V305" si="633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si="625"/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634">IF($F260="YES",0,IF(Y260&gt;40000,200,IF(Y260&gt;25000,150,IF(Y260&gt;15000,130,IF(Y260&gt;10000,110,0)))))</f>
        <v>200</v>
      </c>
      <c r="AC260">
        <f t="shared" ref="AC260:AC305" si="635">Y260-Z260-AA260-AB260</f>
        <v>42550</v>
      </c>
      <c r="AD260">
        <f>_xlfn.XLOOKUP(B260,'[3]may-2025'!$A:$A,'[3]may-2025'!$C:$C,0,0)</f>
        <v>34500</v>
      </c>
      <c r="AE260">
        <f t="shared" ref="AE260:AE305" si="636">AD260*0.18</f>
        <v>6210</v>
      </c>
      <c r="AF260">
        <f t="shared" ref="AF260:AF305" si="637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si="626"/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638">IF($F260="YES",0,IF(AI260&gt;40000,200,IF(AI260&gt;25000,150,IF(AI260&gt;15000,130,IF(AI260&gt;10000,110,0)))))</f>
        <v>200</v>
      </c>
      <c r="AM260">
        <f t="shared" ref="AM260:AM305" si="639">AI260-AJ260-AK260-AL260</f>
        <v>42550</v>
      </c>
      <c r="AN260">
        <f>_xlfn.XLOOKUP(B260,'[4]june-2025'!$A:$A,'[4]june-2025'!$C:$C,0,0)</f>
        <v>34500</v>
      </c>
      <c r="AO260">
        <f t="shared" ref="AO260:AO305" si="640">AN260*0.18</f>
        <v>6210</v>
      </c>
      <c r="AP260">
        <f t="shared" ref="AP260:AP305" si="64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si="627"/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642">IF($F260="YES",0,IF(AS260&gt;40000,200,IF(AS260&gt;25000,150,IF(AS260&gt;15000,130,IF(AS260&gt;10000,110,0)))))</f>
        <v>200</v>
      </c>
      <c r="AW260">
        <f t="shared" ref="AW260:AW305" si="643">AS260-AT260-AU260-AV260</f>
        <v>42550</v>
      </c>
      <c r="AX260">
        <f>_xlfn.XLOOKUP(B260,'[5]july-2025'!$A:$A,'[5]july-2025'!$C:$C,0,0)</f>
        <v>35500</v>
      </c>
      <c r="AY260">
        <f t="shared" ref="AY260:AY305" si="644">AX260*0.18</f>
        <v>6390</v>
      </c>
      <c r="AZ260">
        <v>0</v>
      </c>
      <c r="BA260">
        <f t="shared" ref="BA260:BA305" si="645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 t="shared" si="609"/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646">IF($F260="YES",0,IF(BD260&gt;40000,200,IF(BD260&gt;25000,150,IF(BD260&gt;15000,130,IF(BD260&gt;10000,110,0)))))</f>
        <v>200</v>
      </c>
      <c r="BH260">
        <f t="shared" ref="BH260:BH305" si="647">BD260-BE260-BF260-BG260</f>
        <v>43850</v>
      </c>
      <c r="BI260">
        <f>_xlfn.XLOOKUP(B260,'[6]august-2025'!$A:$A,'[6]august-2025'!$C:$C,0,0)</f>
        <v>35500</v>
      </c>
      <c r="BJ260">
        <f t="shared" ref="BJ260:BJ305" si="648">BI260*0.18</f>
        <v>6390</v>
      </c>
      <c r="BK260">
        <f t="shared" ref="BK260:BK305" si="649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650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 t="shared" si="610"/>
        <v>200</v>
      </c>
      <c r="BR260">
        <f t="shared" si="611"/>
        <v>43850</v>
      </c>
      <c r="BS260">
        <f>_xlfn.XLOOKUP(B260,'[7]september-2025'!$A:$A,'[7]september-2025'!$C:$C,0,0)</f>
        <v>35500</v>
      </c>
      <c r="BT260">
        <f t="shared" ref="BT260:BT305" si="651">BS260*0.18</f>
        <v>6390</v>
      </c>
      <c r="BU260">
        <f t="shared" ref="BU260:BU305" si="652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 t="shared" si="612"/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653">IF($F260="YES",0,IF(BX260&gt;40000,200,IF(BX260&gt;25000,150,IF(BX260&gt;15000,130,IF(BX260&gt;10000,110,0)))))</f>
        <v>200</v>
      </c>
      <c r="CB260">
        <f t="shared" ref="CB260:CB305" si="654">BX260-BY260-BZ260-CA260</f>
        <v>43850</v>
      </c>
      <c r="CC260">
        <f>_xlfn.XLOOKUP(B260,'[8]october-2025'!$A:$A,'[8]october-2025'!$C:$C,0,0)</f>
        <v>35500</v>
      </c>
      <c r="CD260">
        <f t="shared" ref="CD260:CD305" si="655">CC260*0.18</f>
        <v>6390</v>
      </c>
      <c r="CE260">
        <f t="shared" ref="CE260:CE305" si="656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 t="shared" si="613"/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657">IF($F260="YES",0,IF(CH260&gt;40000,200,IF(CH260&gt;25000,150,IF(CH260&gt;15000,130,IF(CH260&gt;10000,110,0)))))</f>
        <v>200</v>
      </c>
      <c r="CL260">
        <f t="shared" ref="CL260:CL305" si="658">CH260-CI260-CJ260-CK260</f>
        <v>43850</v>
      </c>
      <c r="CM260">
        <f>_xlfn.XLOOKUP(B260,'[9]november-2025'!$A:$A,'[9]november-2025'!$C:$C,0,0)</f>
        <v>35500</v>
      </c>
      <c r="CN260">
        <f t="shared" ref="CN260:CN305" si="659">CM260*0.18</f>
        <v>6390</v>
      </c>
      <c r="CO260">
        <f t="shared" ref="CO260:CO305" si="660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 t="shared" si="614"/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661">IF($F260="YES",0,IF(CR260&gt;40000,200,IF(CR260&gt;25000,150,IF(CR260&gt;15000,130,IF(CR260&gt;10000,110,0)))))</f>
        <v>200</v>
      </c>
      <c r="CV260">
        <f t="shared" ref="CV260:CV305" si="662">CR260-CS260-CT260-CU260</f>
        <v>43850</v>
      </c>
      <c r="CW260">
        <f>_xlfn.XLOOKUP(B260,'[10]december-2025'!$A:$A,'[10]december-2025'!$C:$C,0,0)</f>
        <v>35500</v>
      </c>
      <c r="CX260">
        <f t="shared" ref="CX260:CX305" si="663">ROUND(CW260*0.18,0)</f>
        <v>6390</v>
      </c>
      <c r="CY260">
        <f t="shared" ref="CY260:CY305" si="664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 t="shared" si="615"/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665">IF($F260="YES",0,IF(DB260&gt;40000,200,IF(DB260&gt;25000,150,IF(DB260&gt;15000,130,IF(DB260&gt;10000,110,0)))))</f>
        <v>200</v>
      </c>
      <c r="DF260">
        <f t="shared" ref="DF260:DF305" si="666">DB260-DC260-DD260-DE260</f>
        <v>43850</v>
      </c>
      <c r="DG260">
        <f>_xlfn.XLOOKUP(B260,'[11]january-2026'!$A:$A,'[11]january-2026'!$C:$C,0,0)</f>
        <v>35500</v>
      </c>
      <c r="DH260">
        <f t="shared" ref="DH260:DH305" si="667">DG260*0.18</f>
        <v>6390</v>
      </c>
      <c r="DI260">
        <f t="shared" ref="DI260:DI305" si="668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si="616"/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69">IF($F260="YES",0,IF(DL260&gt;40000,200,IF(DL260&gt;25000,150,IF(DL260&gt;15000,130,IF(DL260&gt;10000,110,0)))))</f>
        <v>200</v>
      </c>
      <c r="DP260">
        <f t="shared" ref="DP260:DP305" si="670">DL260-DM260-DN260-DO260</f>
        <v>43850</v>
      </c>
      <c r="DQ260">
        <f>_xlfn.XLOOKUP(B260,'[12]february-2026'!$A:$A,'[12]february-2026'!$C:$C,0,0)</f>
        <v>35500</v>
      </c>
      <c r="DR260">
        <f t="shared" ref="DR260:DR305" si="671">DQ260*0.18</f>
        <v>6390</v>
      </c>
      <c r="DS260">
        <f t="shared" ref="DS260:DS305" si="672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si="617"/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673">IF($F260="YES",0,IF(DV260&gt;40000,200,IF(DV260&gt;25000,150,IF(DV260&gt;15000,130,IF(DV260&gt;10000,110,0)))))</f>
        <v>200</v>
      </c>
      <c r="DZ260">
        <f t="shared" ref="DZ260:DZ305" si="674">DV260-DW260-DX260-DY260</f>
        <v>43850</v>
      </c>
      <c r="EA260">
        <f>_xlfn.XLOOKUP(B260,'[1]march-2025'!$A:$A,'[1]march-2025'!$J:$J,0,0)</f>
        <v>0</v>
      </c>
      <c r="EB260">
        <f>_xlfn.XLOOKUP(B260,'[2]april-2025'!$A:$A,'[2]april-2025'!$J:$J,0,0)</f>
        <v>0</v>
      </c>
      <c r="EC260">
        <f>_xlfn.XLOOKUP(B260,'[3]may-2025'!$A:$A,'[3]may-2025'!$J:$J,0,0)</f>
        <v>0</v>
      </c>
      <c r="ED260">
        <f>_xlfn.XLOOKUP(B260,'[4]june-2025'!$A:$A,'[4]june-2025'!$J:$J,0,0)</f>
        <v>0</v>
      </c>
      <c r="EE260">
        <f>_xlfn.XLOOKUP(B260,'[5]july-2025'!$A:$A,'[5]july-2025'!$J:$J,0,0)</f>
        <v>0</v>
      </c>
      <c r="EF260">
        <f>_xlfn.XLOOKUP(B260,'[6]august-2025'!$A:$A,'[6]august-2025'!$J:$J,0,0)</f>
        <v>0</v>
      </c>
      <c r="EG260">
        <f>_xlfn.XLOOKUP(B260,'[7]september-2025'!$A:$A,'[7]september-2025'!$J:$J,0,0)</f>
        <v>0</v>
      </c>
      <c r="EH260">
        <f>_xlfn.XLOOKUP(B260,'[8]october-2025'!$A:$A,'[8]october-2025'!$J:$J,0,0)</f>
        <v>0</v>
      </c>
      <c r="EI260">
        <f>_xlfn.XLOOKUP(C260,'[9]november-2025'!$A:$A,'[9]november-2025'!$J:$J,0,0)</f>
        <v>0</v>
      </c>
      <c r="EJ260">
        <f>_xlfn.XLOOKUP(B260,'[10]december-2025'!$A:$A,'[10]december-2025'!$J:$J,0,0)</f>
        <v>0</v>
      </c>
      <c r="EK260">
        <f>_xlfn.XLOOKUP(B260,'[11]january-2026'!$A:$A,'[11]january-2026'!$J:$J,0,0)</f>
        <v>0</v>
      </c>
      <c r="EL260">
        <f>_xlfn.XLOOKUP(B260,'[12]february-2026'!$A:$A,'[12]february-2026'!$J:$J,0,0)</f>
        <v>0</v>
      </c>
      <c r="EM260">
        <f t="shared" si="628"/>
        <v>0</v>
      </c>
      <c r="EN260">
        <f t="shared" si="618"/>
        <v>564820</v>
      </c>
      <c r="EO260">
        <f t="shared" si="619"/>
        <v>2400</v>
      </c>
      <c r="EP260">
        <f t="shared" ref="EP260:EP305" si="675">IF(EN260&gt;0,50000,0)</f>
        <v>50000</v>
      </c>
      <c r="EQ260">
        <v>0</v>
      </c>
      <c r="ER260">
        <f t="shared" si="629"/>
        <v>512420</v>
      </c>
      <c r="ES260">
        <f t="shared" si="620"/>
        <v>36000</v>
      </c>
      <c r="ET260">
        <f t="shared" si="621"/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ref="FE260:FE305" si="676">SUM(ES260:FD260)</f>
        <v>36000</v>
      </c>
      <c r="FF260">
        <f t="shared" ref="FF260:FF305" si="677">IF(FE260&gt;=150000,150000,FE260)</f>
        <v>36000</v>
      </c>
      <c r="FG260">
        <f t="shared" ref="FG260:FG305" si="678">ER260-FF260</f>
        <v>476420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si="622"/>
        <v>0</v>
      </c>
      <c r="FP260">
        <f t="shared" ref="FP260:FP305" si="679">FG260-FO260</f>
        <v>476420</v>
      </c>
      <c r="FQ260">
        <f t="shared" ref="FQ260:FQ305" si="680">ROUND(IF(FP260&gt;0,IF(FP260&gt;500000,12500,(FP260-250000)*0.05),0),0)</f>
        <v>11321</v>
      </c>
      <c r="FR260">
        <f t="shared" ref="FR260:FR305" si="681">IF(ROUND(IF(FP260&gt;0,IF(FP260&gt;1000000,25000,(FP260-500000)*0.2),0),0)&lt;0,0,ROUND(IF(FP260&gt;0,IF(FP260&gt;1000000,25000,(FP260-500000)*0.2),0),0))</f>
        <v>0</v>
      </c>
      <c r="FS260">
        <f t="shared" ref="FS260:FS305" si="682">FQ260+FR260</f>
        <v>11321</v>
      </c>
      <c r="FT260">
        <f t="shared" ref="FT260:FT305" si="683">IF(FS260&lt;12500,0,FS260)</f>
        <v>0</v>
      </c>
      <c r="FU260">
        <f t="shared" ref="FU260:FU305" si="684">FT260*0.04</f>
        <v>0</v>
      </c>
      <c r="FV260">
        <f t="shared" ref="FV260:FV305" si="685">ROUND(FU260+FT260,0)</f>
        <v>0</v>
      </c>
      <c r="FW260">
        <v>0</v>
      </c>
      <c r="FX260">
        <f t="shared" ref="FX260:FX305" si="686">FV260-FW260</f>
        <v>0</v>
      </c>
      <c r="FY260" t="b">
        <f t="shared" ref="FY260:FY305" si="687">IF(EN260&gt;500000,TRUE,FALSE)</f>
        <v>1</v>
      </c>
      <c r="FZ260">
        <f t="shared" ref="FZ260:FZ305" ca="1" si="688">IF(FY260,RANDBETWEEN(500,1000),RANDBETWEEN(1000,3000))</f>
        <v>577</v>
      </c>
      <c r="GA260">
        <f t="shared" ref="GA260:GA305" ca="1" si="689">EN260+FZ260</f>
        <v>565397</v>
      </c>
      <c r="GB260">
        <f t="shared" ref="GB260:GB305" si="690">IF(EN260&gt;0,75000,0)</f>
        <v>75000</v>
      </c>
      <c r="GC260">
        <f t="shared" ref="GC260:GC305" ca="1" si="691">GA260-GB260</f>
        <v>490397</v>
      </c>
      <c r="GD260">
        <f t="shared" ref="GD260:GD305" ca="1" si="692">IF(GC260&gt;2400000,GC260-2400000,0)</f>
        <v>0</v>
      </c>
      <c r="GE260">
        <f t="shared" ref="GE260:GE305" ca="1" si="693">GD260*0.3</f>
        <v>0</v>
      </c>
      <c r="GF260">
        <f t="shared" ref="GF260:GF305" ca="1" si="694">IF(GC260&gt;2000000,GC260-2000000,0)</f>
        <v>0</v>
      </c>
      <c r="GG260">
        <f t="shared" ref="GG260:GG305" ca="1" si="695">GF260*0.25</f>
        <v>0</v>
      </c>
      <c r="GH260">
        <f t="shared" ref="GH260:GH305" ca="1" si="696">IF(GC260&gt;1600000,GC260-1600000-GD260,0)</f>
        <v>0</v>
      </c>
      <c r="GI260">
        <f t="shared" ref="GI260:GI305" ca="1" si="697">GH260*0.2</f>
        <v>0</v>
      </c>
      <c r="GJ260">
        <f t="shared" ca="1" si="623"/>
        <v>0</v>
      </c>
      <c r="GK260">
        <f t="shared" ref="GK260:GK305" ca="1" si="698">GJ260*0.15</f>
        <v>0</v>
      </c>
      <c r="GL260">
        <f t="shared" ref="GL260:GL305" ca="1" si="699">IF(GC260&gt;800000,GC260-800000-GD260-GH260-GJ260,0)</f>
        <v>0</v>
      </c>
      <c r="GM260">
        <f t="shared" ref="GM260:GM305" ca="1" si="700">GL260*0.1</f>
        <v>0</v>
      </c>
      <c r="GN260">
        <f t="shared" ref="GN260:GN305" ca="1" si="701">IF(GC260&gt;400000,GC260-400000-GD260-GH260-GJ260-GL260,0)</f>
        <v>90397</v>
      </c>
      <c r="GO260">
        <f t="shared" ref="GO260:GO305" ca="1" si="702">GN260*0.05</f>
        <v>4519.8500000000004</v>
      </c>
      <c r="GP260">
        <f t="shared" ref="GP260:GP305" ca="1" si="703">ROUND(GE260+GG260+GI260+GK260+GM260+GO260,0)</f>
        <v>4520</v>
      </c>
      <c r="GQ260">
        <f t="shared" ref="GQ260:GQ305" ca="1" si="704">IF(GC260&gt;1200000,GC260,0)</f>
        <v>0</v>
      </c>
      <c r="GR260">
        <f t="shared" ref="GR260:GR305" ca="1" si="705">IF(GC260&gt;1200000,GQ260-1200000,0)</f>
        <v>0</v>
      </c>
      <c r="GS260">
        <f t="shared" ref="GS260:GS305" ca="1" si="706">IF(GC260&lt;1200001,MIN(GP260,60000),0)</f>
        <v>4520</v>
      </c>
      <c r="GT260">
        <f t="shared" ref="GT260:GT305" ca="1" si="707">IF(GC260&gt;1200000,GP260-GR260,0)</f>
        <v>0</v>
      </c>
      <c r="GU260" t="b">
        <f t="shared" ref="GU260:GU305" ca="1" si="708">IF(GT260&gt;0,TRUE,FALSE)</f>
        <v>0</v>
      </c>
      <c r="GV260">
        <f t="shared" ref="GV260:GV305" ca="1" si="709">IF(GU260,GT260,0)</f>
        <v>0</v>
      </c>
      <c r="GW260">
        <f t="shared" ref="GW260:GW305" ca="1" si="710">GS260+GV260</f>
        <v>4520</v>
      </c>
      <c r="GX260">
        <f t="shared" ref="GX260:GX305" ca="1" si="711">ROUND(GP260-GW260,0)</f>
        <v>0</v>
      </c>
      <c r="GY260">
        <f t="shared" ref="GY260:GY305" ca="1" si="712">GX260*0.04</f>
        <v>0</v>
      </c>
      <c r="GZ260">
        <f t="shared" ref="GZ260:GZ305" ca="1" si="713">ROUNDUP(GX260+GY260,0)</f>
        <v>0</v>
      </c>
    </row>
    <row r="261" spans="1:208" x14ac:dyDescent="0.3">
      <c r="A261">
        <f>_xlfn.AGGREGATE(3,5,$B$2:B261)</f>
        <v>260</v>
      </c>
      <c r="B261" t="s">
        <v>624</v>
      </c>
      <c r="C261" t="s">
        <v>625</v>
      </c>
      <c r="D261" t="s">
        <v>816</v>
      </c>
      <c r="E261" t="s">
        <v>830</v>
      </c>
      <c r="F261" t="s">
        <v>956</v>
      </c>
      <c r="G261" t="s">
        <v>881</v>
      </c>
      <c r="H261">
        <f t="shared" si="607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630"/>
        <v>4424</v>
      </c>
      <c r="L261">
        <f t="shared" si="631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 t="shared" si="608"/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714">IF($F261="YES",0,IF(O261&gt;40000,200,IF(O261&gt;25000,150,IF(O261&gt;15000,130,IF(O261&gt;10000,110,0)))))</f>
        <v>150</v>
      </c>
      <c r="S261">
        <f t="shared" si="624"/>
        <v>37666</v>
      </c>
      <c r="T261">
        <f>_xlfn.XLOOKUP(B261,'[2]april-2025'!$A:$A,'[2]april-2025'!$C:$C,0,0)</f>
        <v>31600</v>
      </c>
      <c r="U261">
        <f t="shared" si="632"/>
        <v>5688</v>
      </c>
      <c r="V261">
        <f t="shared" si="633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625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634"/>
        <v>200</v>
      </c>
      <c r="AC261">
        <f t="shared" si="635"/>
        <v>38880</v>
      </c>
      <c r="AD261">
        <f>_xlfn.XLOOKUP(B261,'[3]may-2025'!$A:$A,'[3]may-2025'!$C:$C,0,0)</f>
        <v>31600</v>
      </c>
      <c r="AE261">
        <f t="shared" si="636"/>
        <v>5688</v>
      </c>
      <c r="AF261">
        <f t="shared" si="637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626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638"/>
        <v>200</v>
      </c>
      <c r="AM261">
        <f t="shared" si="639"/>
        <v>38880</v>
      </c>
      <c r="AN261">
        <f>_xlfn.XLOOKUP(B261,'[4]june-2025'!$A:$A,'[4]june-2025'!$C:$C,0,0)</f>
        <v>31600</v>
      </c>
      <c r="AO261">
        <f t="shared" si="640"/>
        <v>5688</v>
      </c>
      <c r="AP261">
        <f t="shared" si="64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627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642"/>
        <v>200</v>
      </c>
      <c r="AW261">
        <f t="shared" si="643"/>
        <v>38880</v>
      </c>
      <c r="AX261">
        <f>_xlfn.XLOOKUP(B261,'[5]july-2025'!$A:$A,'[5]july-2025'!$C:$C,0,0)</f>
        <v>32500</v>
      </c>
      <c r="AY261">
        <f t="shared" si="644"/>
        <v>5850</v>
      </c>
      <c r="AZ261">
        <v>0</v>
      </c>
      <c r="BA261">
        <f t="shared" si="645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609"/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646"/>
        <v>200</v>
      </c>
      <c r="BH261">
        <f t="shared" si="647"/>
        <v>40050</v>
      </c>
      <c r="BI261">
        <f>_xlfn.XLOOKUP(B261,'[6]august-2025'!$A:$A,'[6]august-2025'!$C:$C,0,0)</f>
        <v>32500</v>
      </c>
      <c r="BJ261">
        <f t="shared" si="648"/>
        <v>5850</v>
      </c>
      <c r="BK261">
        <f t="shared" si="649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650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610"/>
        <v>200</v>
      </c>
      <c r="BR261">
        <f t="shared" si="611"/>
        <v>40050</v>
      </c>
      <c r="BS261">
        <f>_xlfn.XLOOKUP(B261,'[7]september-2025'!$A:$A,'[7]september-2025'!$C:$C,0,0)</f>
        <v>32500</v>
      </c>
      <c r="BT261">
        <f t="shared" si="651"/>
        <v>5850</v>
      </c>
      <c r="BU261">
        <f t="shared" si="652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612"/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653"/>
        <v>200</v>
      </c>
      <c r="CB261">
        <f t="shared" si="654"/>
        <v>40050</v>
      </c>
      <c r="CC261">
        <f>_xlfn.XLOOKUP(B261,'[8]october-2025'!$A:$A,'[8]october-2025'!$C:$C,0,0)</f>
        <v>32500</v>
      </c>
      <c r="CD261">
        <f t="shared" si="655"/>
        <v>5850</v>
      </c>
      <c r="CE261">
        <f t="shared" si="656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613"/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657"/>
        <v>200</v>
      </c>
      <c r="CL261">
        <f t="shared" si="658"/>
        <v>40050</v>
      </c>
      <c r="CM261">
        <f>_xlfn.XLOOKUP(B261,'[9]november-2025'!$A:$A,'[9]november-2025'!$C:$C,0,0)</f>
        <v>32500</v>
      </c>
      <c r="CN261">
        <f t="shared" si="659"/>
        <v>5850</v>
      </c>
      <c r="CO261">
        <f t="shared" si="660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614"/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661"/>
        <v>200</v>
      </c>
      <c r="CV261">
        <f t="shared" si="662"/>
        <v>40050</v>
      </c>
      <c r="CW261">
        <f>_xlfn.XLOOKUP(B261,'[10]december-2025'!$A:$A,'[10]december-2025'!$C:$C,0,0)</f>
        <v>32500</v>
      </c>
      <c r="CX261">
        <f t="shared" si="663"/>
        <v>5850</v>
      </c>
      <c r="CY261">
        <f t="shared" si="664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615"/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665"/>
        <v>200</v>
      </c>
      <c r="DF261">
        <f t="shared" si="666"/>
        <v>40050</v>
      </c>
      <c r="DG261">
        <f>_xlfn.XLOOKUP(B261,'[11]january-2026'!$A:$A,'[11]january-2026'!$C:$C,0,0)</f>
        <v>32500</v>
      </c>
      <c r="DH261">
        <f t="shared" si="667"/>
        <v>5850</v>
      </c>
      <c r="DI261">
        <f t="shared" si="668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16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69"/>
        <v>200</v>
      </c>
      <c r="DP261">
        <f t="shared" si="670"/>
        <v>40050</v>
      </c>
      <c r="DQ261">
        <f>_xlfn.XLOOKUP(B261,'[12]february-2026'!$A:$A,'[12]february-2026'!$C:$C,0,0)</f>
        <v>32500</v>
      </c>
      <c r="DR261">
        <f t="shared" si="671"/>
        <v>5850</v>
      </c>
      <c r="DS261">
        <f t="shared" si="672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617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673"/>
        <v>200</v>
      </c>
      <c r="DZ261">
        <f t="shared" si="674"/>
        <v>40050</v>
      </c>
      <c r="EA261">
        <f>_xlfn.XLOOKUP(B261,'[1]march-2025'!$A:$A,'[1]march-2025'!$J:$J,0,0)</f>
        <v>0</v>
      </c>
      <c r="EB261">
        <f>_xlfn.XLOOKUP(B261,'[2]april-2025'!$A:$A,'[2]april-2025'!$J:$J,0,0)</f>
        <v>0</v>
      </c>
      <c r="EC261">
        <f>_xlfn.XLOOKUP(B261,'[3]may-2025'!$A:$A,'[3]may-2025'!$J:$J,0,0)</f>
        <v>0</v>
      </c>
      <c r="ED261">
        <f>_xlfn.XLOOKUP(B261,'[4]june-2025'!$A:$A,'[4]june-2025'!$J:$J,0,0)</f>
        <v>0</v>
      </c>
      <c r="EE261">
        <f>_xlfn.XLOOKUP(B261,'[5]july-2025'!$A:$A,'[5]july-2025'!$J:$J,0,0)</f>
        <v>0</v>
      </c>
      <c r="EF261">
        <f>_xlfn.XLOOKUP(B261,'[6]august-2025'!$A:$A,'[6]august-2025'!$J:$J,0,0)</f>
        <v>0</v>
      </c>
      <c r="EG261">
        <f>_xlfn.XLOOKUP(B261,'[7]september-2025'!$A:$A,'[7]september-2025'!$J:$J,0,0)</f>
        <v>0</v>
      </c>
      <c r="EH261">
        <f>_xlfn.XLOOKUP(B261,'[8]october-2025'!$A:$A,'[8]october-2025'!$J:$J,0,0)</f>
        <v>0</v>
      </c>
      <c r="EI261">
        <f>_xlfn.XLOOKUP(C261,'[9]november-2025'!$A:$A,'[9]november-2025'!$J:$J,0,0)</f>
        <v>0</v>
      </c>
      <c r="EJ261">
        <f>_xlfn.XLOOKUP(B261,'[10]december-2025'!$A:$A,'[10]december-2025'!$J:$J,0,0)</f>
        <v>0</v>
      </c>
      <c r="EK261">
        <f>_xlfn.XLOOKUP(B261,'[11]january-2026'!$A:$A,'[11]january-2026'!$J:$J,0,0)</f>
        <v>0</v>
      </c>
      <c r="EL261">
        <f>_xlfn.XLOOKUP(B261,'[12]february-2026'!$A:$A,'[12]february-2026'!$J:$J,0,0)</f>
        <v>0</v>
      </c>
      <c r="EM261">
        <f t="shared" si="628"/>
        <v>0</v>
      </c>
      <c r="EN261">
        <f t="shared" si="618"/>
        <v>507856</v>
      </c>
      <c r="EO261">
        <f t="shared" si="619"/>
        <v>2350</v>
      </c>
      <c r="EP261">
        <f t="shared" si="675"/>
        <v>50000</v>
      </c>
      <c r="EQ261">
        <v>0</v>
      </c>
      <c r="ER261">
        <f t="shared" si="629"/>
        <v>455506</v>
      </c>
      <c r="ES261">
        <f t="shared" si="620"/>
        <v>24000</v>
      </c>
      <c r="ET261">
        <f t="shared" si="621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676"/>
        <v>24000</v>
      </c>
      <c r="FF261">
        <f t="shared" si="677"/>
        <v>24000</v>
      </c>
      <c r="FG261">
        <f t="shared" si="678"/>
        <v>431506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622"/>
        <v>0</v>
      </c>
      <c r="FP261">
        <f t="shared" si="679"/>
        <v>431506</v>
      </c>
      <c r="FQ261">
        <f t="shared" si="680"/>
        <v>9075</v>
      </c>
      <c r="FR261">
        <f t="shared" si="681"/>
        <v>0</v>
      </c>
      <c r="FS261">
        <f t="shared" si="682"/>
        <v>9075</v>
      </c>
      <c r="FT261">
        <f t="shared" si="683"/>
        <v>0</v>
      </c>
      <c r="FU261">
        <f t="shared" si="684"/>
        <v>0</v>
      </c>
      <c r="FV261">
        <f t="shared" si="685"/>
        <v>0</v>
      </c>
      <c r="FW261">
        <v>0</v>
      </c>
      <c r="FX261">
        <f t="shared" si="686"/>
        <v>0</v>
      </c>
      <c r="FY261" t="b">
        <f t="shared" si="687"/>
        <v>1</v>
      </c>
      <c r="FZ261">
        <f t="shared" ca="1" si="688"/>
        <v>525</v>
      </c>
      <c r="GA261">
        <f t="shared" ca="1" si="689"/>
        <v>508381</v>
      </c>
      <c r="GB261">
        <f t="shared" si="690"/>
        <v>75000</v>
      </c>
      <c r="GC261">
        <f t="shared" ca="1" si="691"/>
        <v>433381</v>
      </c>
      <c r="GD261">
        <f t="shared" ca="1" si="692"/>
        <v>0</v>
      </c>
      <c r="GE261">
        <f t="shared" ca="1" si="693"/>
        <v>0</v>
      </c>
      <c r="GF261">
        <f t="shared" ca="1" si="694"/>
        <v>0</v>
      </c>
      <c r="GG261">
        <f t="shared" ca="1" si="695"/>
        <v>0</v>
      </c>
      <c r="GH261">
        <f t="shared" ca="1" si="696"/>
        <v>0</v>
      </c>
      <c r="GI261">
        <f t="shared" ca="1" si="697"/>
        <v>0</v>
      </c>
      <c r="GJ261">
        <f t="shared" ca="1" si="623"/>
        <v>0</v>
      </c>
      <c r="GK261">
        <f t="shared" ca="1" si="698"/>
        <v>0</v>
      </c>
      <c r="GL261">
        <f t="shared" ca="1" si="699"/>
        <v>0</v>
      </c>
      <c r="GM261">
        <f t="shared" ca="1" si="700"/>
        <v>0</v>
      </c>
      <c r="GN261">
        <f t="shared" ca="1" si="701"/>
        <v>33381</v>
      </c>
      <c r="GO261">
        <f t="shared" ca="1" si="702"/>
        <v>1669.0500000000002</v>
      </c>
      <c r="GP261">
        <f t="shared" ca="1" si="703"/>
        <v>1669</v>
      </c>
      <c r="GQ261">
        <f t="shared" ca="1" si="704"/>
        <v>0</v>
      </c>
      <c r="GR261">
        <f t="shared" ca="1" si="705"/>
        <v>0</v>
      </c>
      <c r="GS261">
        <f t="shared" ca="1" si="706"/>
        <v>1669</v>
      </c>
      <c r="GT261">
        <f t="shared" ca="1" si="707"/>
        <v>0</v>
      </c>
      <c r="GU261" t="b">
        <f t="shared" ca="1" si="708"/>
        <v>0</v>
      </c>
      <c r="GV261">
        <f t="shared" ca="1" si="709"/>
        <v>0</v>
      </c>
      <c r="GW261">
        <f t="shared" ca="1" si="710"/>
        <v>1669</v>
      </c>
      <c r="GX261">
        <f t="shared" ca="1" si="711"/>
        <v>0</v>
      </c>
      <c r="GY261">
        <f t="shared" ca="1" si="712"/>
        <v>0</v>
      </c>
      <c r="GZ261">
        <f t="shared" ca="1" si="713"/>
        <v>0</v>
      </c>
    </row>
    <row r="262" spans="1:208" x14ac:dyDescent="0.3">
      <c r="A262">
        <f>_xlfn.AGGREGATE(3,5,$B$2:B262)</f>
        <v>261</v>
      </c>
      <c r="B262" t="s">
        <v>626</v>
      </c>
      <c r="C262" t="s">
        <v>627</v>
      </c>
      <c r="D262" t="s">
        <v>816</v>
      </c>
      <c r="E262" t="s">
        <v>830</v>
      </c>
      <c r="F262" t="s">
        <v>956</v>
      </c>
      <c r="G262" t="s">
        <v>878</v>
      </c>
      <c r="H262">
        <f t="shared" si="607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630"/>
        <v>4424</v>
      </c>
      <c r="L262">
        <f t="shared" si="631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608"/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714"/>
        <v>200</v>
      </c>
      <c r="S262">
        <f t="shared" si="624"/>
        <v>38116</v>
      </c>
      <c r="T262">
        <f>_xlfn.XLOOKUP(B262,'[2]april-2025'!$A:$A,'[2]april-2025'!$C:$C,0,0)</f>
        <v>31600</v>
      </c>
      <c r="U262">
        <f t="shared" si="632"/>
        <v>5688</v>
      </c>
      <c r="V262">
        <f t="shared" si="633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625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634"/>
        <v>200</v>
      </c>
      <c r="AC262">
        <f t="shared" si="635"/>
        <v>39380</v>
      </c>
      <c r="AD262">
        <f>_xlfn.XLOOKUP(B262,'[3]may-2025'!$A:$A,'[3]may-2025'!$C:$C,0,0)</f>
        <v>31600</v>
      </c>
      <c r="AE262">
        <f t="shared" si="636"/>
        <v>5688</v>
      </c>
      <c r="AF262">
        <f t="shared" si="637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626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638"/>
        <v>200</v>
      </c>
      <c r="AM262">
        <f t="shared" si="639"/>
        <v>39380</v>
      </c>
      <c r="AN262">
        <f>_xlfn.XLOOKUP(B262,'[4]june-2025'!$A:$A,'[4]june-2025'!$C:$C,0,0)</f>
        <v>31600</v>
      </c>
      <c r="AO262">
        <f t="shared" si="640"/>
        <v>5688</v>
      </c>
      <c r="AP262">
        <f t="shared" si="64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627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642"/>
        <v>200</v>
      </c>
      <c r="AW262">
        <f t="shared" si="643"/>
        <v>39380</v>
      </c>
      <c r="AX262">
        <f>_xlfn.XLOOKUP(B262,'[5]july-2025'!$A:$A,'[5]july-2025'!$C:$C,0,0)</f>
        <v>32500</v>
      </c>
      <c r="AY262">
        <f t="shared" si="644"/>
        <v>5850</v>
      </c>
      <c r="AZ262">
        <v>0</v>
      </c>
      <c r="BA262">
        <f t="shared" si="645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609"/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646"/>
        <v>200</v>
      </c>
      <c r="BH262">
        <f t="shared" si="647"/>
        <v>40550</v>
      </c>
      <c r="BI262">
        <f>_xlfn.XLOOKUP(B262,'[6]august-2025'!$A:$A,'[6]august-2025'!$C:$C,0,0)</f>
        <v>32500</v>
      </c>
      <c r="BJ262">
        <f t="shared" si="648"/>
        <v>5850</v>
      </c>
      <c r="BK262">
        <f t="shared" si="649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650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 t="shared" si="610"/>
        <v>200</v>
      </c>
      <c r="BR262">
        <f t="shared" si="611"/>
        <v>40550</v>
      </c>
      <c r="BS262">
        <f>_xlfn.XLOOKUP(B262,'[7]september-2025'!$A:$A,'[7]september-2025'!$C:$C,0,0)</f>
        <v>32500</v>
      </c>
      <c r="BT262">
        <f t="shared" si="651"/>
        <v>5850</v>
      </c>
      <c r="BU262">
        <f t="shared" si="652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612"/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653"/>
        <v>200</v>
      </c>
      <c r="CB262">
        <f t="shared" si="654"/>
        <v>40550</v>
      </c>
      <c r="CC262">
        <f>_xlfn.XLOOKUP(B262,'[8]october-2025'!$A:$A,'[8]october-2025'!$C:$C,0,0)</f>
        <v>32500</v>
      </c>
      <c r="CD262">
        <f t="shared" si="655"/>
        <v>5850</v>
      </c>
      <c r="CE262">
        <f t="shared" si="656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613"/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657"/>
        <v>200</v>
      </c>
      <c r="CL262">
        <f t="shared" si="658"/>
        <v>40550</v>
      </c>
      <c r="CM262">
        <f>_xlfn.XLOOKUP(B262,'[9]november-2025'!$A:$A,'[9]november-2025'!$C:$C,0,0)</f>
        <v>32500</v>
      </c>
      <c r="CN262">
        <f t="shared" si="659"/>
        <v>5850</v>
      </c>
      <c r="CO262">
        <f t="shared" si="660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614"/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661"/>
        <v>200</v>
      </c>
      <c r="CV262">
        <f t="shared" si="662"/>
        <v>40550</v>
      </c>
      <c r="CW262">
        <f>_xlfn.XLOOKUP(B262,'[10]december-2025'!$A:$A,'[10]december-2025'!$C:$C,0,0)</f>
        <v>32500</v>
      </c>
      <c r="CX262">
        <f t="shared" si="663"/>
        <v>5850</v>
      </c>
      <c r="CY262">
        <f t="shared" si="664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615"/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665"/>
        <v>200</v>
      </c>
      <c r="DF262">
        <f t="shared" si="666"/>
        <v>40550</v>
      </c>
      <c r="DG262">
        <f>_xlfn.XLOOKUP(B262,'[11]january-2026'!$A:$A,'[11]january-2026'!$C:$C,0,0)</f>
        <v>32500</v>
      </c>
      <c r="DH262">
        <f t="shared" si="667"/>
        <v>5850</v>
      </c>
      <c r="DI262">
        <f t="shared" si="668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16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69"/>
        <v>200</v>
      </c>
      <c r="DP262">
        <f t="shared" si="670"/>
        <v>40550</v>
      </c>
      <c r="DQ262">
        <f>_xlfn.XLOOKUP(B262,'[12]february-2026'!$A:$A,'[12]february-2026'!$C:$C,0,0)</f>
        <v>32500</v>
      </c>
      <c r="DR262">
        <f t="shared" si="671"/>
        <v>5850</v>
      </c>
      <c r="DS262">
        <f t="shared" si="672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617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673"/>
        <v>200</v>
      </c>
      <c r="DZ262">
        <f t="shared" si="674"/>
        <v>40550</v>
      </c>
      <c r="EA262">
        <f>_xlfn.XLOOKUP(B262,'[1]march-2025'!$A:$A,'[1]march-2025'!$J:$J,0,0)</f>
        <v>0</v>
      </c>
      <c r="EB262">
        <f>_xlfn.XLOOKUP(B262,'[2]april-2025'!$A:$A,'[2]april-2025'!$J:$J,0,0)</f>
        <v>0</v>
      </c>
      <c r="EC262">
        <f>_xlfn.XLOOKUP(B262,'[3]may-2025'!$A:$A,'[3]may-2025'!$J:$J,0,0)</f>
        <v>0</v>
      </c>
      <c r="ED262">
        <f>_xlfn.XLOOKUP(B262,'[4]june-2025'!$A:$A,'[4]june-2025'!$J:$J,0,0)</f>
        <v>0</v>
      </c>
      <c r="EE262">
        <f>_xlfn.XLOOKUP(B262,'[5]july-2025'!$A:$A,'[5]july-2025'!$J:$J,0,0)</f>
        <v>0</v>
      </c>
      <c r="EF262">
        <f>_xlfn.XLOOKUP(B262,'[6]august-2025'!$A:$A,'[6]august-2025'!$J:$J,0,0)</f>
        <v>0</v>
      </c>
      <c r="EG262">
        <f>_xlfn.XLOOKUP(B262,'[7]september-2025'!$A:$A,'[7]september-2025'!$J:$J,0,0)</f>
        <v>0</v>
      </c>
      <c r="EH262">
        <f>_xlfn.XLOOKUP(B262,'[8]october-2025'!$A:$A,'[8]october-2025'!$J:$J,0,0)</f>
        <v>0</v>
      </c>
      <c r="EI262">
        <f>_xlfn.XLOOKUP(C262,'[9]november-2025'!$A:$A,'[9]november-2025'!$J:$J,0,0)</f>
        <v>0</v>
      </c>
      <c r="EJ262">
        <f>_xlfn.XLOOKUP(B262,'[10]december-2025'!$A:$A,'[10]december-2025'!$J:$J,0,0)</f>
        <v>0</v>
      </c>
      <c r="EK262">
        <f>_xlfn.XLOOKUP(B262,'[11]january-2026'!$A:$A,'[11]january-2026'!$J:$J,0,0)</f>
        <v>0</v>
      </c>
      <c r="EL262">
        <f>_xlfn.XLOOKUP(B262,'[12]february-2026'!$A:$A,'[12]february-2026'!$J:$J,0,0)</f>
        <v>0</v>
      </c>
      <c r="EM262">
        <f t="shared" si="628"/>
        <v>0</v>
      </c>
      <c r="EN262">
        <f t="shared" si="618"/>
        <v>513856</v>
      </c>
      <c r="EO262">
        <f t="shared" si="619"/>
        <v>2400</v>
      </c>
      <c r="EP262">
        <f t="shared" si="675"/>
        <v>50000</v>
      </c>
      <c r="EQ262">
        <v>0</v>
      </c>
      <c r="ER262">
        <f t="shared" si="629"/>
        <v>461456</v>
      </c>
      <c r="ES262">
        <f t="shared" si="620"/>
        <v>24000</v>
      </c>
      <c r="ET262">
        <f t="shared" si="621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676"/>
        <v>24000</v>
      </c>
      <c r="FF262">
        <f t="shared" si="677"/>
        <v>24000</v>
      </c>
      <c r="FG262">
        <f t="shared" si="678"/>
        <v>437456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622"/>
        <v>0</v>
      </c>
      <c r="FP262">
        <f t="shared" si="679"/>
        <v>437456</v>
      </c>
      <c r="FQ262">
        <f t="shared" si="680"/>
        <v>9373</v>
      </c>
      <c r="FR262">
        <f t="shared" si="681"/>
        <v>0</v>
      </c>
      <c r="FS262">
        <f t="shared" si="682"/>
        <v>9373</v>
      </c>
      <c r="FT262">
        <f t="shared" si="683"/>
        <v>0</v>
      </c>
      <c r="FU262">
        <f t="shared" si="684"/>
        <v>0</v>
      </c>
      <c r="FV262">
        <f t="shared" si="685"/>
        <v>0</v>
      </c>
      <c r="FW262">
        <v>0</v>
      </c>
      <c r="FX262">
        <f t="shared" si="686"/>
        <v>0</v>
      </c>
      <c r="FY262" t="b">
        <f t="shared" si="687"/>
        <v>1</v>
      </c>
      <c r="FZ262">
        <f t="shared" ca="1" si="688"/>
        <v>953</v>
      </c>
      <c r="GA262">
        <f t="shared" ca="1" si="689"/>
        <v>514809</v>
      </c>
      <c r="GB262">
        <f t="shared" si="690"/>
        <v>75000</v>
      </c>
      <c r="GC262">
        <f t="shared" ca="1" si="691"/>
        <v>439809</v>
      </c>
      <c r="GD262">
        <f t="shared" ca="1" si="692"/>
        <v>0</v>
      </c>
      <c r="GE262">
        <f t="shared" ca="1" si="693"/>
        <v>0</v>
      </c>
      <c r="GF262">
        <f t="shared" ca="1" si="694"/>
        <v>0</v>
      </c>
      <c r="GG262">
        <f t="shared" ca="1" si="695"/>
        <v>0</v>
      </c>
      <c r="GH262">
        <f t="shared" ca="1" si="696"/>
        <v>0</v>
      </c>
      <c r="GI262">
        <f t="shared" ca="1" si="697"/>
        <v>0</v>
      </c>
      <c r="GJ262">
        <f t="shared" ca="1" si="623"/>
        <v>0</v>
      </c>
      <c r="GK262">
        <f t="shared" ca="1" si="698"/>
        <v>0</v>
      </c>
      <c r="GL262">
        <f t="shared" ca="1" si="699"/>
        <v>0</v>
      </c>
      <c r="GM262">
        <f t="shared" ca="1" si="700"/>
        <v>0</v>
      </c>
      <c r="GN262">
        <f t="shared" ca="1" si="701"/>
        <v>39809</v>
      </c>
      <c r="GO262">
        <f t="shared" ca="1" si="702"/>
        <v>1990.45</v>
      </c>
      <c r="GP262">
        <f t="shared" ca="1" si="703"/>
        <v>1990</v>
      </c>
      <c r="GQ262">
        <f t="shared" ca="1" si="704"/>
        <v>0</v>
      </c>
      <c r="GR262">
        <f t="shared" ca="1" si="705"/>
        <v>0</v>
      </c>
      <c r="GS262">
        <f t="shared" ca="1" si="706"/>
        <v>1990</v>
      </c>
      <c r="GT262">
        <f t="shared" ca="1" si="707"/>
        <v>0</v>
      </c>
      <c r="GU262" t="b">
        <f t="shared" ca="1" si="708"/>
        <v>0</v>
      </c>
      <c r="GV262">
        <f t="shared" ca="1" si="709"/>
        <v>0</v>
      </c>
      <c r="GW262">
        <f t="shared" ca="1" si="710"/>
        <v>1990</v>
      </c>
      <c r="GX262">
        <f t="shared" ca="1" si="711"/>
        <v>0</v>
      </c>
      <c r="GY262">
        <f t="shared" ca="1" si="712"/>
        <v>0</v>
      </c>
      <c r="GZ262">
        <f t="shared" ca="1" si="713"/>
        <v>0</v>
      </c>
    </row>
    <row r="263" spans="1:208" x14ac:dyDescent="0.3">
      <c r="A263">
        <f>_xlfn.AGGREGATE(3,5,$B$2:B263)</f>
        <v>262</v>
      </c>
      <c r="B263" t="s">
        <v>965</v>
      </c>
      <c r="C263" t="s">
        <v>968</v>
      </c>
      <c r="D263" t="s">
        <v>816</v>
      </c>
      <c r="E263" t="s">
        <v>830</v>
      </c>
      <c r="F263" t="s">
        <v>956</v>
      </c>
      <c r="G263" s="1">
        <v>42781</v>
      </c>
      <c r="H263">
        <f t="shared" ref="H263:H294" si="715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630"/>
        <v>4690</v>
      </c>
      <c r="L263">
        <f t="shared" si="631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608"/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714"/>
        <v>200</v>
      </c>
      <c r="S263">
        <f t="shared" si="624"/>
        <v>39510</v>
      </c>
      <c r="T263">
        <f>_xlfn.XLOOKUP(B263,'[2]april-2025'!$A:$A,'[2]april-2025'!$C:$C,0,0)</f>
        <v>33500</v>
      </c>
      <c r="U263">
        <f t="shared" si="632"/>
        <v>6030</v>
      </c>
      <c r="V263">
        <f t="shared" si="633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625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634"/>
        <v>200</v>
      </c>
      <c r="AC263">
        <f t="shared" si="635"/>
        <v>40850</v>
      </c>
      <c r="AD263">
        <f>_xlfn.XLOOKUP(B263,'[3]may-2025'!$A:$A,'[3]may-2025'!$C:$C,0,0)</f>
        <v>33500</v>
      </c>
      <c r="AE263">
        <f t="shared" si="636"/>
        <v>6030</v>
      </c>
      <c r="AF263">
        <f t="shared" si="637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626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638"/>
        <v>200</v>
      </c>
      <c r="AM263">
        <f t="shared" si="639"/>
        <v>40850</v>
      </c>
      <c r="AN263">
        <f>_xlfn.XLOOKUP(B263,'[4]june-2025'!$A:$A,'[4]june-2025'!$C:$C,0,0)</f>
        <v>33500</v>
      </c>
      <c r="AO263">
        <f t="shared" si="640"/>
        <v>6030</v>
      </c>
      <c r="AP263">
        <f t="shared" si="64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627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642"/>
        <v>200</v>
      </c>
      <c r="AW263">
        <f t="shared" si="643"/>
        <v>40850</v>
      </c>
      <c r="AX263">
        <f>_xlfn.XLOOKUP(B263,'[5]july-2025'!$A:$A,'[5]july-2025'!$C:$C,0,0)</f>
        <v>34500</v>
      </c>
      <c r="AY263">
        <f t="shared" si="644"/>
        <v>6210</v>
      </c>
      <c r="AZ263">
        <v>0</v>
      </c>
      <c r="BA263">
        <f t="shared" si="645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609"/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646"/>
        <v>200</v>
      </c>
      <c r="BH263">
        <f t="shared" si="647"/>
        <v>42150</v>
      </c>
      <c r="BI263">
        <f>_xlfn.XLOOKUP(B263,'[6]august-2025'!$A:$A,'[6]august-2025'!$C:$C,0,0)</f>
        <v>34500</v>
      </c>
      <c r="BJ263">
        <f t="shared" si="648"/>
        <v>6210</v>
      </c>
      <c r="BK263">
        <f t="shared" si="649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650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 t="shared" si="610"/>
        <v>200</v>
      </c>
      <c r="BR263">
        <f t="shared" si="611"/>
        <v>42150</v>
      </c>
      <c r="BS263">
        <f>_xlfn.XLOOKUP(B263,'[7]september-2025'!$A:$A,'[7]september-2025'!$C:$C,0,0)</f>
        <v>34500</v>
      </c>
      <c r="BT263">
        <f t="shared" si="651"/>
        <v>6210</v>
      </c>
      <c r="BU263">
        <f t="shared" si="652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612"/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653"/>
        <v>200</v>
      </c>
      <c r="CB263">
        <f t="shared" si="654"/>
        <v>42150</v>
      </c>
      <c r="CC263">
        <f>_xlfn.XLOOKUP(B263,'[8]october-2025'!$A:$A,'[8]october-2025'!$C:$C,0,0)</f>
        <v>34500</v>
      </c>
      <c r="CD263">
        <f t="shared" si="655"/>
        <v>6210</v>
      </c>
      <c r="CE263">
        <f t="shared" si="656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613"/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657"/>
        <v>200</v>
      </c>
      <c r="CL263">
        <f t="shared" si="658"/>
        <v>42150</v>
      </c>
      <c r="CM263">
        <f>_xlfn.XLOOKUP(B263,'[9]november-2025'!$A:$A,'[9]november-2025'!$C:$C,0,0)</f>
        <v>34500</v>
      </c>
      <c r="CN263">
        <f t="shared" si="659"/>
        <v>6210</v>
      </c>
      <c r="CO263">
        <f t="shared" si="660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614"/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661"/>
        <v>200</v>
      </c>
      <c r="CV263">
        <f t="shared" si="662"/>
        <v>42150</v>
      </c>
      <c r="CW263">
        <f>_xlfn.XLOOKUP(B263,'[10]december-2025'!$A:$A,'[10]december-2025'!$C:$C,0,0)</f>
        <v>34500</v>
      </c>
      <c r="CX263">
        <f t="shared" si="663"/>
        <v>6210</v>
      </c>
      <c r="CY263">
        <f t="shared" si="664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615"/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665"/>
        <v>200</v>
      </c>
      <c r="DF263">
        <f t="shared" si="666"/>
        <v>42150</v>
      </c>
      <c r="DG263">
        <f>_xlfn.XLOOKUP(B263,'[11]january-2026'!$A:$A,'[11]january-2026'!$C:$C,0,0)</f>
        <v>34500</v>
      </c>
      <c r="DH263">
        <f t="shared" si="667"/>
        <v>6210</v>
      </c>
      <c r="DI263">
        <f t="shared" si="668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16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69"/>
        <v>200</v>
      </c>
      <c r="DP263">
        <f t="shared" si="670"/>
        <v>42150</v>
      </c>
      <c r="DQ263">
        <f>_xlfn.XLOOKUP(B263,'[12]february-2026'!$A:$A,'[12]february-2026'!$C:$C,0,0)</f>
        <v>34500</v>
      </c>
      <c r="DR263">
        <f t="shared" si="671"/>
        <v>6210</v>
      </c>
      <c r="DS263">
        <f t="shared" si="672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617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673"/>
        <v>200</v>
      </c>
      <c r="DZ263">
        <f t="shared" si="674"/>
        <v>42150</v>
      </c>
      <c r="EA263">
        <f>_xlfn.XLOOKUP(B263,'[1]march-2025'!$A:$A,'[1]march-2025'!$J:$J,0,0)</f>
        <v>0</v>
      </c>
      <c r="EB263">
        <f>_xlfn.XLOOKUP(B263,'[2]april-2025'!$A:$A,'[2]april-2025'!$J:$J,0,0)</f>
        <v>0</v>
      </c>
      <c r="EC263">
        <f>_xlfn.XLOOKUP(B263,'[3]may-2025'!$A:$A,'[3]may-2025'!$J:$J,0,0)</f>
        <v>0</v>
      </c>
      <c r="ED263">
        <f>_xlfn.XLOOKUP(B263,'[4]june-2025'!$A:$A,'[4]june-2025'!$J:$J,0,0)</f>
        <v>0</v>
      </c>
      <c r="EE263">
        <f>_xlfn.XLOOKUP(B263,'[5]july-2025'!$A:$A,'[5]july-2025'!$J:$J,0,0)</f>
        <v>0</v>
      </c>
      <c r="EF263">
        <f>_xlfn.XLOOKUP(B263,'[6]august-2025'!$A:$A,'[6]august-2025'!$J:$J,0,0)</f>
        <v>0</v>
      </c>
      <c r="EG263">
        <f>_xlfn.XLOOKUP(B263,'[7]september-2025'!$A:$A,'[7]september-2025'!$J:$J,0,0)</f>
        <v>0</v>
      </c>
      <c r="EH263">
        <f>_xlfn.XLOOKUP(B263,'[8]october-2025'!$A:$A,'[8]october-2025'!$J:$J,0,0)</f>
        <v>0</v>
      </c>
      <c r="EI263">
        <f>_xlfn.XLOOKUP(C263,'[9]november-2025'!$A:$A,'[9]november-2025'!$J:$J,0,0)</f>
        <v>0</v>
      </c>
      <c r="EJ263">
        <f>_xlfn.XLOOKUP(B263,'[10]december-2025'!$A:$A,'[10]december-2025'!$J:$J,0,0)</f>
        <v>0</v>
      </c>
      <c r="EK263">
        <f>_xlfn.XLOOKUP(B263,'[11]january-2026'!$A:$A,'[11]january-2026'!$J:$J,0,0)</f>
        <v>0</v>
      </c>
      <c r="EL263">
        <f>_xlfn.XLOOKUP(B263,'[12]february-2026'!$A:$A,'[12]february-2026'!$J:$J,0,0)</f>
        <v>0</v>
      </c>
      <c r="EM263">
        <f t="shared" si="628"/>
        <v>0</v>
      </c>
      <c r="EN263">
        <f t="shared" si="618"/>
        <v>544460</v>
      </c>
      <c r="EO263">
        <f t="shared" si="619"/>
        <v>2400</v>
      </c>
      <c r="EP263">
        <f t="shared" si="675"/>
        <v>50000</v>
      </c>
      <c r="EQ263">
        <v>0</v>
      </c>
      <c r="ER263">
        <f t="shared" si="629"/>
        <v>492060</v>
      </c>
      <c r="ES263">
        <f t="shared" si="620"/>
        <v>36000</v>
      </c>
      <c r="ET263">
        <f t="shared" si="621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676"/>
        <v>36000</v>
      </c>
      <c r="FF263">
        <f t="shared" si="677"/>
        <v>36000</v>
      </c>
      <c r="FG263">
        <f t="shared" si="678"/>
        <v>456060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622"/>
        <v>0</v>
      </c>
      <c r="FP263">
        <f t="shared" si="679"/>
        <v>456060</v>
      </c>
      <c r="FQ263">
        <f t="shared" si="680"/>
        <v>10303</v>
      </c>
      <c r="FR263">
        <f t="shared" si="681"/>
        <v>0</v>
      </c>
      <c r="FS263">
        <f t="shared" si="682"/>
        <v>10303</v>
      </c>
      <c r="FT263">
        <f t="shared" si="683"/>
        <v>0</v>
      </c>
      <c r="FU263">
        <f t="shared" si="684"/>
        <v>0</v>
      </c>
      <c r="FV263">
        <f t="shared" si="685"/>
        <v>0</v>
      </c>
      <c r="FW263">
        <v>0</v>
      </c>
      <c r="FX263">
        <f t="shared" si="686"/>
        <v>0</v>
      </c>
      <c r="FY263" t="b">
        <f t="shared" si="687"/>
        <v>1</v>
      </c>
      <c r="FZ263">
        <f t="shared" ca="1" si="688"/>
        <v>981</v>
      </c>
      <c r="GA263">
        <f t="shared" ca="1" si="689"/>
        <v>545441</v>
      </c>
      <c r="GB263">
        <f t="shared" si="690"/>
        <v>75000</v>
      </c>
      <c r="GC263">
        <f t="shared" ca="1" si="691"/>
        <v>470441</v>
      </c>
      <c r="GD263">
        <f t="shared" ca="1" si="692"/>
        <v>0</v>
      </c>
      <c r="GE263">
        <f t="shared" ca="1" si="693"/>
        <v>0</v>
      </c>
      <c r="GF263">
        <f t="shared" ca="1" si="694"/>
        <v>0</v>
      </c>
      <c r="GG263">
        <f t="shared" ca="1" si="695"/>
        <v>0</v>
      </c>
      <c r="GH263">
        <f t="shared" ca="1" si="696"/>
        <v>0</v>
      </c>
      <c r="GI263">
        <f t="shared" ca="1" si="697"/>
        <v>0</v>
      </c>
      <c r="GJ263">
        <f t="shared" ca="1" si="623"/>
        <v>0</v>
      </c>
      <c r="GK263">
        <f t="shared" ca="1" si="698"/>
        <v>0</v>
      </c>
      <c r="GL263">
        <f t="shared" ca="1" si="699"/>
        <v>0</v>
      </c>
      <c r="GM263">
        <f t="shared" ca="1" si="700"/>
        <v>0</v>
      </c>
      <c r="GN263">
        <f t="shared" ca="1" si="701"/>
        <v>70441</v>
      </c>
      <c r="GO263">
        <f t="shared" ca="1" si="702"/>
        <v>3522.05</v>
      </c>
      <c r="GP263">
        <f t="shared" ca="1" si="703"/>
        <v>3522</v>
      </c>
      <c r="GQ263">
        <f t="shared" ca="1" si="704"/>
        <v>0</v>
      </c>
      <c r="GR263">
        <f t="shared" ca="1" si="705"/>
        <v>0</v>
      </c>
      <c r="GS263">
        <f t="shared" ca="1" si="706"/>
        <v>3522</v>
      </c>
      <c r="GT263">
        <f t="shared" ca="1" si="707"/>
        <v>0</v>
      </c>
      <c r="GU263" t="b">
        <f t="shared" ca="1" si="708"/>
        <v>0</v>
      </c>
      <c r="GV263">
        <f t="shared" ca="1" si="709"/>
        <v>0</v>
      </c>
      <c r="GW263">
        <f t="shared" ca="1" si="710"/>
        <v>3522</v>
      </c>
      <c r="GX263">
        <f t="shared" ca="1" si="711"/>
        <v>0</v>
      </c>
      <c r="GY263">
        <f t="shared" ca="1" si="712"/>
        <v>0</v>
      </c>
      <c r="GZ263">
        <f t="shared" ca="1" si="713"/>
        <v>0</v>
      </c>
    </row>
    <row r="264" spans="1:208" x14ac:dyDescent="0.3">
      <c r="A264">
        <f>_xlfn.AGGREGATE(3,5,$B$2:B264)</f>
        <v>263</v>
      </c>
      <c r="B264" t="s">
        <v>628</v>
      </c>
      <c r="C264" t="s">
        <v>629</v>
      </c>
      <c r="D264" t="s">
        <v>817</v>
      </c>
      <c r="E264" t="s">
        <v>831</v>
      </c>
      <c r="F264" t="s">
        <v>956</v>
      </c>
      <c r="G264" t="s">
        <v>953</v>
      </c>
      <c r="H264">
        <f t="shared" si="715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630"/>
        <v>6622.0000000000009</v>
      </c>
      <c r="L264">
        <f t="shared" si="631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 t="shared" si="608"/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714"/>
        <v>200</v>
      </c>
      <c r="S264">
        <f t="shared" si="624"/>
        <v>59798</v>
      </c>
      <c r="T264">
        <f>_xlfn.XLOOKUP(B264,'[2]april-2025'!$A:$A,'[2]april-2025'!$C:$C,0,0)</f>
        <v>34500</v>
      </c>
      <c r="U264">
        <f t="shared" si="632"/>
        <v>6210</v>
      </c>
      <c r="V264">
        <f t="shared" si="633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625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634"/>
        <v>200</v>
      </c>
      <c r="AC264">
        <f t="shared" si="635"/>
        <v>44650</v>
      </c>
      <c r="AD264">
        <f>_xlfn.XLOOKUP(B264,'[3]may-2025'!$A:$A,'[3]may-2025'!$C:$C,0,0)</f>
        <v>34500</v>
      </c>
      <c r="AE264">
        <f t="shared" si="636"/>
        <v>6210</v>
      </c>
      <c r="AF264">
        <f t="shared" si="637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626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638"/>
        <v>200</v>
      </c>
      <c r="AM264">
        <f t="shared" si="639"/>
        <v>44650</v>
      </c>
      <c r="AN264">
        <f>_xlfn.XLOOKUP(B264,'[4]june-2025'!$A:$A,'[4]june-2025'!$C:$C,0,0)</f>
        <v>34500</v>
      </c>
      <c r="AO264">
        <f t="shared" si="640"/>
        <v>6210</v>
      </c>
      <c r="AP264">
        <f t="shared" si="64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627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642"/>
        <v>200</v>
      </c>
      <c r="AW264">
        <f t="shared" si="643"/>
        <v>44650</v>
      </c>
      <c r="AX264">
        <f>_xlfn.XLOOKUP(B264,'[5]july-2025'!$A:$A,'[5]july-2025'!$C:$C,0,0)</f>
        <v>35500</v>
      </c>
      <c r="AY264">
        <f t="shared" si="644"/>
        <v>6390</v>
      </c>
      <c r="AZ264">
        <v>0</v>
      </c>
      <c r="BA264">
        <f t="shared" si="645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609"/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646"/>
        <v>200</v>
      </c>
      <c r="BH264">
        <f t="shared" si="647"/>
        <v>45950</v>
      </c>
      <c r="BI264">
        <f>_xlfn.XLOOKUP(B264,'[6]august-2025'!$A:$A,'[6]august-2025'!$C:$C,0,0)</f>
        <v>35500</v>
      </c>
      <c r="BJ264">
        <f t="shared" si="648"/>
        <v>6390</v>
      </c>
      <c r="BK264">
        <f t="shared" si="649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650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 t="shared" si="610"/>
        <v>200</v>
      </c>
      <c r="BR264">
        <f t="shared" si="611"/>
        <v>45950</v>
      </c>
      <c r="BS264">
        <f>_xlfn.XLOOKUP(B264,'[7]september-2025'!$A:$A,'[7]september-2025'!$C:$C,0,0)</f>
        <v>35500</v>
      </c>
      <c r="BT264">
        <f t="shared" si="651"/>
        <v>6390</v>
      </c>
      <c r="BU264">
        <f t="shared" si="652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612"/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653"/>
        <v>200</v>
      </c>
      <c r="CB264">
        <f t="shared" si="654"/>
        <v>45950</v>
      </c>
      <c r="CC264">
        <f>_xlfn.XLOOKUP(B264,'[8]october-2025'!$A:$A,'[8]october-2025'!$C:$C,0,0)</f>
        <v>35500</v>
      </c>
      <c r="CD264">
        <f t="shared" si="655"/>
        <v>6390</v>
      </c>
      <c r="CE264">
        <f t="shared" si="656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613"/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657"/>
        <v>200</v>
      </c>
      <c r="CL264">
        <f t="shared" si="658"/>
        <v>45950</v>
      </c>
      <c r="CM264">
        <f>_xlfn.XLOOKUP(B264,'[9]november-2025'!$A:$A,'[9]november-2025'!$C:$C,0,0)</f>
        <v>35500</v>
      </c>
      <c r="CN264">
        <f t="shared" si="659"/>
        <v>6390</v>
      </c>
      <c r="CO264">
        <f t="shared" si="660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614"/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661"/>
        <v>200</v>
      </c>
      <c r="CV264">
        <f t="shared" si="662"/>
        <v>45950</v>
      </c>
      <c r="CW264">
        <f>_xlfn.XLOOKUP(B264,'[10]december-2025'!$A:$A,'[10]december-2025'!$C:$C,0,0)</f>
        <v>35500</v>
      </c>
      <c r="CX264">
        <f t="shared" si="663"/>
        <v>6390</v>
      </c>
      <c r="CY264">
        <f t="shared" si="664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615"/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665"/>
        <v>200</v>
      </c>
      <c r="DF264">
        <f t="shared" si="666"/>
        <v>45950</v>
      </c>
      <c r="DG264">
        <f>_xlfn.XLOOKUP(B264,'[11]january-2026'!$A:$A,'[11]january-2026'!$C:$C,0,0)</f>
        <v>35500</v>
      </c>
      <c r="DH264">
        <f t="shared" si="667"/>
        <v>6390</v>
      </c>
      <c r="DI264">
        <f t="shared" si="668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16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69"/>
        <v>200</v>
      </c>
      <c r="DP264">
        <f t="shared" si="670"/>
        <v>45950</v>
      </c>
      <c r="DQ264">
        <f>_xlfn.XLOOKUP(B264,'[12]february-2026'!$A:$A,'[12]february-2026'!$C:$C,0,0)</f>
        <v>35500</v>
      </c>
      <c r="DR264">
        <f t="shared" si="671"/>
        <v>6390</v>
      </c>
      <c r="DS264">
        <f t="shared" si="672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617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673"/>
        <v>200</v>
      </c>
      <c r="DZ264">
        <f t="shared" si="674"/>
        <v>45950</v>
      </c>
      <c r="EA264">
        <f>_xlfn.XLOOKUP(B264,'[1]march-2025'!$A:$A,'[1]march-2025'!$J:$J,0,0)</f>
        <v>0</v>
      </c>
      <c r="EB264">
        <f>_xlfn.XLOOKUP(B264,'[2]april-2025'!$A:$A,'[2]april-2025'!$J:$J,0,0)</f>
        <v>0</v>
      </c>
      <c r="EC264">
        <f>_xlfn.XLOOKUP(B264,'[3]may-2025'!$A:$A,'[3]may-2025'!$J:$J,0,0)</f>
        <v>0</v>
      </c>
      <c r="ED264">
        <f>_xlfn.XLOOKUP(B264,'[4]june-2025'!$A:$A,'[4]june-2025'!$J:$J,0,0)</f>
        <v>0</v>
      </c>
      <c r="EE264">
        <f>_xlfn.XLOOKUP(B264,'[5]july-2025'!$A:$A,'[5]july-2025'!$J:$J,0,0)</f>
        <v>0</v>
      </c>
      <c r="EF264">
        <f>_xlfn.XLOOKUP(B264,'[6]august-2025'!$A:$A,'[6]august-2025'!$J:$J,0,0)</f>
        <v>0</v>
      </c>
      <c r="EG264">
        <f>_xlfn.XLOOKUP(B264,'[7]september-2025'!$A:$A,'[7]september-2025'!$J:$J,0,0)</f>
        <v>0</v>
      </c>
      <c r="EH264">
        <f>_xlfn.XLOOKUP(B264,'[8]october-2025'!$A:$A,'[8]october-2025'!$J:$J,0,0)</f>
        <v>0</v>
      </c>
      <c r="EI264">
        <f>_xlfn.XLOOKUP(C264,'[9]november-2025'!$A:$A,'[9]november-2025'!$J:$J,0,0)</f>
        <v>0</v>
      </c>
      <c r="EJ264">
        <f>_xlfn.XLOOKUP(B264,'[10]december-2025'!$A:$A,'[10]december-2025'!$J:$J,0,0)</f>
        <v>0</v>
      </c>
      <c r="EK264">
        <f>_xlfn.XLOOKUP(B264,'[11]january-2026'!$A:$A,'[11]january-2026'!$J:$J,0,0)</f>
        <v>0</v>
      </c>
      <c r="EL264">
        <f>_xlfn.XLOOKUP(B264,'[12]february-2026'!$A:$A,'[12]february-2026'!$J:$J,0,0)</f>
        <v>0</v>
      </c>
      <c r="EM264">
        <f t="shared" si="628"/>
        <v>0</v>
      </c>
      <c r="EN264">
        <f t="shared" si="618"/>
        <v>570548</v>
      </c>
      <c r="EO264">
        <f t="shared" si="619"/>
        <v>2400</v>
      </c>
      <c r="EP264">
        <f t="shared" si="675"/>
        <v>50000</v>
      </c>
      <c r="EQ264">
        <v>0</v>
      </c>
      <c r="ER264">
        <f t="shared" si="629"/>
        <v>518148</v>
      </c>
      <c r="ES264">
        <f t="shared" si="620"/>
        <v>0</v>
      </c>
      <c r="ET264">
        <f t="shared" si="621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676"/>
        <v>0</v>
      </c>
      <c r="FF264">
        <f t="shared" si="677"/>
        <v>0</v>
      </c>
      <c r="FG264">
        <f t="shared" si="678"/>
        <v>518148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622"/>
        <v>0</v>
      </c>
      <c r="FP264">
        <f t="shared" si="679"/>
        <v>518148</v>
      </c>
      <c r="FQ264">
        <f t="shared" si="680"/>
        <v>12500</v>
      </c>
      <c r="FR264">
        <f t="shared" si="681"/>
        <v>3630</v>
      </c>
      <c r="FS264">
        <f t="shared" si="682"/>
        <v>16130</v>
      </c>
      <c r="FT264">
        <f t="shared" si="683"/>
        <v>16130</v>
      </c>
      <c r="FU264">
        <f t="shared" si="684"/>
        <v>645.20000000000005</v>
      </c>
      <c r="FV264">
        <f t="shared" si="685"/>
        <v>16775</v>
      </c>
      <c r="FW264">
        <v>0</v>
      </c>
      <c r="FX264">
        <f t="shared" si="686"/>
        <v>16775</v>
      </c>
      <c r="FY264" t="b">
        <f t="shared" si="687"/>
        <v>1</v>
      </c>
      <c r="FZ264">
        <f t="shared" ca="1" si="688"/>
        <v>838</v>
      </c>
      <c r="GA264">
        <f t="shared" ca="1" si="689"/>
        <v>571386</v>
      </c>
      <c r="GB264">
        <f t="shared" si="690"/>
        <v>75000</v>
      </c>
      <c r="GC264">
        <f t="shared" ca="1" si="691"/>
        <v>496386</v>
      </c>
      <c r="GD264">
        <f t="shared" ca="1" si="692"/>
        <v>0</v>
      </c>
      <c r="GE264">
        <f t="shared" ca="1" si="693"/>
        <v>0</v>
      </c>
      <c r="GF264">
        <f t="shared" ca="1" si="694"/>
        <v>0</v>
      </c>
      <c r="GG264">
        <f t="shared" ca="1" si="695"/>
        <v>0</v>
      </c>
      <c r="GH264">
        <f t="shared" ca="1" si="696"/>
        <v>0</v>
      </c>
      <c r="GI264">
        <f t="shared" ca="1" si="697"/>
        <v>0</v>
      </c>
      <c r="GJ264">
        <f t="shared" ca="1" si="623"/>
        <v>0</v>
      </c>
      <c r="GK264">
        <f t="shared" ca="1" si="698"/>
        <v>0</v>
      </c>
      <c r="GL264">
        <f t="shared" ca="1" si="699"/>
        <v>0</v>
      </c>
      <c r="GM264">
        <f t="shared" ca="1" si="700"/>
        <v>0</v>
      </c>
      <c r="GN264">
        <f t="shared" ca="1" si="701"/>
        <v>96386</v>
      </c>
      <c r="GO264">
        <f t="shared" ca="1" si="702"/>
        <v>4819.3</v>
      </c>
      <c r="GP264">
        <f t="shared" ca="1" si="703"/>
        <v>4819</v>
      </c>
      <c r="GQ264">
        <f t="shared" ca="1" si="704"/>
        <v>0</v>
      </c>
      <c r="GR264">
        <f t="shared" ca="1" si="705"/>
        <v>0</v>
      </c>
      <c r="GS264">
        <f t="shared" ca="1" si="706"/>
        <v>4819</v>
      </c>
      <c r="GT264">
        <f t="shared" ca="1" si="707"/>
        <v>0</v>
      </c>
      <c r="GU264" t="b">
        <f t="shared" ca="1" si="708"/>
        <v>0</v>
      </c>
      <c r="GV264">
        <f t="shared" ca="1" si="709"/>
        <v>0</v>
      </c>
      <c r="GW264">
        <f t="shared" ca="1" si="710"/>
        <v>4819</v>
      </c>
      <c r="GX264">
        <f t="shared" ca="1" si="711"/>
        <v>0</v>
      </c>
      <c r="GY264">
        <f t="shared" ca="1" si="712"/>
        <v>0</v>
      </c>
      <c r="GZ264">
        <f t="shared" ca="1" si="713"/>
        <v>0</v>
      </c>
    </row>
    <row r="265" spans="1:208" x14ac:dyDescent="0.3">
      <c r="A265">
        <f>_xlfn.AGGREGATE(3,5,$B$2:B265)</f>
        <v>264</v>
      </c>
      <c r="B265" t="s">
        <v>630</v>
      </c>
      <c r="C265" t="s">
        <v>631</v>
      </c>
      <c r="D265" t="s">
        <v>817</v>
      </c>
      <c r="E265" t="s">
        <v>830</v>
      </c>
      <c r="F265" t="s">
        <v>956</v>
      </c>
      <c r="G265" t="s">
        <v>878</v>
      </c>
      <c r="H265">
        <f t="shared" si="715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630"/>
        <v>3780.0000000000005</v>
      </c>
      <c r="L265">
        <f t="shared" si="631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 t="shared" si="608"/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714"/>
        <v>150</v>
      </c>
      <c r="S265">
        <f t="shared" si="624"/>
        <v>28870</v>
      </c>
      <c r="T265">
        <f>_xlfn.XLOOKUP(B265,'[2]april-2025'!$A:$A,'[2]april-2025'!$C:$C,0,0)</f>
        <v>27000</v>
      </c>
      <c r="U265">
        <f t="shared" si="632"/>
        <v>4860</v>
      </c>
      <c r="V265">
        <f t="shared" si="633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625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634"/>
        <v>150</v>
      </c>
      <c r="AC265">
        <f t="shared" si="635"/>
        <v>29950</v>
      </c>
      <c r="AD265">
        <f>_xlfn.XLOOKUP(B265,'[3]may-2025'!$A:$A,'[3]may-2025'!$C:$C,0,0)</f>
        <v>31600</v>
      </c>
      <c r="AE265">
        <f t="shared" si="636"/>
        <v>5688</v>
      </c>
      <c r="AF265">
        <f t="shared" si="637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626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638"/>
        <v>200</v>
      </c>
      <c r="AM265">
        <f t="shared" si="639"/>
        <v>35880</v>
      </c>
      <c r="AN265">
        <f>_xlfn.XLOOKUP(B265,'[4]june-2025'!$A:$A,'[4]june-2025'!$C:$C,0,0)</f>
        <v>31600</v>
      </c>
      <c r="AO265">
        <f t="shared" si="640"/>
        <v>5688</v>
      </c>
      <c r="AP265">
        <f t="shared" si="64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627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642"/>
        <v>200</v>
      </c>
      <c r="AW265">
        <f t="shared" si="643"/>
        <v>35880</v>
      </c>
      <c r="AX265">
        <f>_xlfn.XLOOKUP(B265,'[5]july-2025'!$A:$A,'[5]july-2025'!$C:$C,0,0)</f>
        <v>32500</v>
      </c>
      <c r="AY265">
        <f t="shared" si="644"/>
        <v>5850</v>
      </c>
      <c r="AZ265">
        <v>0</v>
      </c>
      <c r="BA265">
        <f t="shared" si="645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 t="shared" si="609"/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646"/>
        <v>200</v>
      </c>
      <c r="BH265">
        <f t="shared" si="647"/>
        <v>37050</v>
      </c>
      <c r="BI265">
        <f>_xlfn.XLOOKUP(B265,'[6]august-2025'!$A:$A,'[6]august-2025'!$C:$C,0,0)</f>
        <v>32500</v>
      </c>
      <c r="BJ265">
        <f t="shared" si="648"/>
        <v>5850</v>
      </c>
      <c r="BK265">
        <f t="shared" si="649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650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 t="shared" si="610"/>
        <v>200</v>
      </c>
      <c r="BR265">
        <f t="shared" si="611"/>
        <v>37050</v>
      </c>
      <c r="BS265">
        <f>_xlfn.XLOOKUP(B265,'[7]september-2025'!$A:$A,'[7]september-2025'!$C:$C,0,0)</f>
        <v>32500</v>
      </c>
      <c r="BT265">
        <f t="shared" si="651"/>
        <v>5850</v>
      </c>
      <c r="BU265">
        <f t="shared" si="652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 t="shared" si="612"/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653"/>
        <v>200</v>
      </c>
      <c r="CB265">
        <f t="shared" si="654"/>
        <v>37050</v>
      </c>
      <c r="CC265">
        <f>_xlfn.XLOOKUP(B265,'[8]october-2025'!$A:$A,'[8]october-2025'!$C:$C,0,0)</f>
        <v>32500</v>
      </c>
      <c r="CD265">
        <f t="shared" si="655"/>
        <v>5850</v>
      </c>
      <c r="CE265">
        <f t="shared" si="656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 t="shared" si="613"/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657"/>
        <v>200</v>
      </c>
      <c r="CL265">
        <f t="shared" si="658"/>
        <v>37050</v>
      </c>
      <c r="CM265">
        <f>_xlfn.XLOOKUP(B265,'[9]november-2025'!$A:$A,'[9]november-2025'!$C:$C,0,0)</f>
        <v>32500</v>
      </c>
      <c r="CN265">
        <f t="shared" si="659"/>
        <v>5850</v>
      </c>
      <c r="CO265">
        <f t="shared" si="660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 t="shared" si="614"/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661"/>
        <v>200</v>
      </c>
      <c r="CV265">
        <f t="shared" si="662"/>
        <v>37050</v>
      </c>
      <c r="CW265">
        <f>_xlfn.XLOOKUP(B265,'[10]december-2025'!$A:$A,'[10]december-2025'!$C:$C,0,0)</f>
        <v>32500</v>
      </c>
      <c r="CX265">
        <f t="shared" si="663"/>
        <v>5850</v>
      </c>
      <c r="CY265">
        <f t="shared" si="664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 t="shared" si="615"/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665"/>
        <v>200</v>
      </c>
      <c r="DF265">
        <f t="shared" si="666"/>
        <v>37050</v>
      </c>
      <c r="DG265">
        <f>_xlfn.XLOOKUP(B265,'[11]january-2026'!$A:$A,'[11]january-2026'!$C:$C,0,0)</f>
        <v>32500</v>
      </c>
      <c r="DH265">
        <f t="shared" si="667"/>
        <v>5850</v>
      </c>
      <c r="DI265">
        <f t="shared" si="668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16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69"/>
        <v>200</v>
      </c>
      <c r="DP265">
        <f t="shared" si="670"/>
        <v>37050</v>
      </c>
      <c r="DQ265">
        <f>_xlfn.XLOOKUP(B265,'[12]february-2026'!$A:$A,'[12]february-2026'!$C:$C,0,0)</f>
        <v>32500</v>
      </c>
      <c r="DR265">
        <f t="shared" si="671"/>
        <v>5850</v>
      </c>
      <c r="DS265">
        <f t="shared" si="672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617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673"/>
        <v>200</v>
      </c>
      <c r="DZ265">
        <f t="shared" si="674"/>
        <v>37050</v>
      </c>
      <c r="EA265">
        <f>_xlfn.XLOOKUP(B265,'[1]march-2025'!$A:$A,'[1]march-2025'!$J:$J,0,0)</f>
        <v>0</v>
      </c>
      <c r="EB265">
        <f>_xlfn.XLOOKUP(B265,'[2]april-2025'!$A:$A,'[2]april-2025'!$J:$J,0,0)</f>
        <v>0</v>
      </c>
      <c r="EC265">
        <f>_xlfn.XLOOKUP(B265,'[3]may-2025'!$A:$A,'[3]may-2025'!$J:$J,0,0)</f>
        <v>0</v>
      </c>
      <c r="ED265">
        <f>_xlfn.XLOOKUP(B265,'[4]june-2025'!$A:$A,'[4]june-2025'!$J:$J,0,0)</f>
        <v>0</v>
      </c>
      <c r="EE265">
        <f>_xlfn.XLOOKUP(B265,'[5]july-2025'!$A:$A,'[5]july-2025'!$J:$J,0,0)</f>
        <v>0</v>
      </c>
      <c r="EF265">
        <f>_xlfn.XLOOKUP(B265,'[6]august-2025'!$A:$A,'[6]august-2025'!$J:$J,0,0)</f>
        <v>0</v>
      </c>
      <c r="EG265">
        <f>_xlfn.XLOOKUP(B265,'[7]september-2025'!$A:$A,'[7]september-2025'!$J:$J,0,0)</f>
        <v>0</v>
      </c>
      <c r="EH265">
        <f>_xlfn.XLOOKUP(B265,'[8]october-2025'!$A:$A,'[8]october-2025'!$J:$J,0,0)</f>
        <v>0</v>
      </c>
      <c r="EI265">
        <f>_xlfn.XLOOKUP(C265,'[9]november-2025'!$A:$A,'[9]november-2025'!$J:$J,0,0)</f>
        <v>0</v>
      </c>
      <c r="EJ265">
        <f>_xlfn.XLOOKUP(B265,'[10]december-2025'!$A:$A,'[10]december-2025'!$J:$J,0,0)</f>
        <v>0</v>
      </c>
      <c r="EK265">
        <f>_xlfn.XLOOKUP(B265,'[11]january-2026'!$A:$A,'[11]january-2026'!$J:$J,0,0)</f>
        <v>0</v>
      </c>
      <c r="EL265">
        <f>_xlfn.XLOOKUP(B265,'[12]february-2026'!$A:$A,'[12]february-2026'!$J:$J,0,0)</f>
        <v>0</v>
      </c>
      <c r="EM265">
        <f t="shared" si="628"/>
        <v>0</v>
      </c>
      <c r="EN265">
        <f t="shared" si="618"/>
        <v>496080</v>
      </c>
      <c r="EO265">
        <f t="shared" si="619"/>
        <v>2300</v>
      </c>
      <c r="EP265">
        <f t="shared" si="675"/>
        <v>50000</v>
      </c>
      <c r="EQ265">
        <v>0</v>
      </c>
      <c r="ER265">
        <f t="shared" si="629"/>
        <v>443780</v>
      </c>
      <c r="ES265">
        <f t="shared" si="620"/>
        <v>60000</v>
      </c>
      <c r="ET265">
        <f t="shared" si="621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676"/>
        <v>60000</v>
      </c>
      <c r="FF265">
        <f t="shared" si="677"/>
        <v>60000</v>
      </c>
      <c r="FG265">
        <f t="shared" si="678"/>
        <v>383780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622"/>
        <v>0</v>
      </c>
      <c r="FP265">
        <f t="shared" si="679"/>
        <v>383780</v>
      </c>
      <c r="FQ265">
        <f t="shared" si="680"/>
        <v>6689</v>
      </c>
      <c r="FR265">
        <f t="shared" si="681"/>
        <v>0</v>
      </c>
      <c r="FS265">
        <f t="shared" si="682"/>
        <v>6689</v>
      </c>
      <c r="FT265">
        <f t="shared" si="683"/>
        <v>0</v>
      </c>
      <c r="FU265">
        <f t="shared" si="684"/>
        <v>0</v>
      </c>
      <c r="FV265">
        <f t="shared" si="685"/>
        <v>0</v>
      </c>
      <c r="FW265">
        <v>0</v>
      </c>
      <c r="FX265">
        <f t="shared" si="686"/>
        <v>0</v>
      </c>
      <c r="FY265" t="b">
        <f t="shared" si="687"/>
        <v>0</v>
      </c>
      <c r="FZ265">
        <f t="shared" ca="1" si="688"/>
        <v>2299</v>
      </c>
      <c r="GA265">
        <f t="shared" ca="1" si="689"/>
        <v>498379</v>
      </c>
      <c r="GB265">
        <f t="shared" si="690"/>
        <v>75000</v>
      </c>
      <c r="GC265">
        <f t="shared" ca="1" si="691"/>
        <v>423379</v>
      </c>
      <c r="GD265">
        <f t="shared" ca="1" si="692"/>
        <v>0</v>
      </c>
      <c r="GE265">
        <f t="shared" ca="1" si="693"/>
        <v>0</v>
      </c>
      <c r="GF265">
        <f t="shared" ca="1" si="694"/>
        <v>0</v>
      </c>
      <c r="GG265">
        <f t="shared" ca="1" si="695"/>
        <v>0</v>
      </c>
      <c r="GH265">
        <f t="shared" ca="1" si="696"/>
        <v>0</v>
      </c>
      <c r="GI265">
        <f t="shared" ca="1" si="697"/>
        <v>0</v>
      </c>
      <c r="GJ265">
        <f t="shared" ca="1" si="623"/>
        <v>0</v>
      </c>
      <c r="GK265">
        <f t="shared" ca="1" si="698"/>
        <v>0</v>
      </c>
      <c r="GL265">
        <f t="shared" ca="1" si="699"/>
        <v>0</v>
      </c>
      <c r="GM265">
        <f t="shared" ca="1" si="700"/>
        <v>0</v>
      </c>
      <c r="GN265">
        <f t="shared" ca="1" si="701"/>
        <v>23379</v>
      </c>
      <c r="GO265">
        <f t="shared" ca="1" si="702"/>
        <v>1168.95</v>
      </c>
      <c r="GP265">
        <f t="shared" ca="1" si="703"/>
        <v>1169</v>
      </c>
      <c r="GQ265">
        <f t="shared" ca="1" si="704"/>
        <v>0</v>
      </c>
      <c r="GR265">
        <f t="shared" ca="1" si="705"/>
        <v>0</v>
      </c>
      <c r="GS265">
        <f t="shared" ca="1" si="706"/>
        <v>1169</v>
      </c>
      <c r="GT265">
        <f t="shared" ca="1" si="707"/>
        <v>0</v>
      </c>
      <c r="GU265" t="b">
        <f t="shared" ca="1" si="708"/>
        <v>0</v>
      </c>
      <c r="GV265">
        <f t="shared" ca="1" si="709"/>
        <v>0</v>
      </c>
      <c r="GW265">
        <f t="shared" ca="1" si="710"/>
        <v>1169</v>
      </c>
      <c r="GX265">
        <f t="shared" ca="1" si="711"/>
        <v>0</v>
      </c>
      <c r="GY265">
        <f t="shared" ca="1" si="712"/>
        <v>0</v>
      </c>
      <c r="GZ265">
        <f t="shared" ca="1" si="713"/>
        <v>0</v>
      </c>
    </row>
    <row r="266" spans="1:208" x14ac:dyDescent="0.3">
      <c r="A266">
        <f>_xlfn.AGGREGATE(3,5,$B$2:B266)</f>
        <v>265</v>
      </c>
      <c r="B266" t="s">
        <v>632</v>
      </c>
      <c r="C266" t="s">
        <v>633</v>
      </c>
      <c r="D266" t="s">
        <v>817</v>
      </c>
      <c r="E266" t="s">
        <v>830</v>
      </c>
      <c r="F266" t="s">
        <v>956</v>
      </c>
      <c r="G266" t="s">
        <v>954</v>
      </c>
      <c r="H266">
        <f t="shared" si="715"/>
        <v>6800</v>
      </c>
      <c r="I266">
        <f>_xlfn.XLOOKUP(B266,'[1]march-2025'!$A:$A,'[1]march-2025'!$J:$J,0,0)</f>
        <v>0</v>
      </c>
      <c r="J266">
        <f>_xlfn.XLOOKUP(B266,'[1]march-2025'!$A:$A,'[1]march-2025'!$C:$C,0,0)</f>
        <v>28900</v>
      </c>
      <c r="K266">
        <f t="shared" si="630"/>
        <v>4046.0000000000005</v>
      </c>
      <c r="L266">
        <f t="shared" si="631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608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714"/>
        <v>150</v>
      </c>
      <c r="S266">
        <f t="shared" si="624"/>
        <v>34764</v>
      </c>
      <c r="T266">
        <f>_xlfn.XLOOKUP(B266,'[2]april-2025'!$A:$A,'[2]april-2025'!$C:$C,0,0)</f>
        <v>28900</v>
      </c>
      <c r="U266">
        <f t="shared" si="632"/>
        <v>5202</v>
      </c>
      <c r="V266">
        <f t="shared" si="633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625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634"/>
        <v>150</v>
      </c>
      <c r="AC266">
        <f t="shared" si="635"/>
        <v>35920</v>
      </c>
      <c r="AD266">
        <f>_xlfn.XLOOKUP(B266,'[3]may-2025'!$A:$A,'[3]may-2025'!$C:$C,0,0)</f>
        <v>28900</v>
      </c>
      <c r="AE266">
        <f t="shared" si="636"/>
        <v>5202</v>
      </c>
      <c r="AF266">
        <f t="shared" si="637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626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638"/>
        <v>150</v>
      </c>
      <c r="AM266">
        <f t="shared" si="639"/>
        <v>35920</v>
      </c>
      <c r="AN266">
        <f>_xlfn.XLOOKUP(B266,'[4]june-2025'!$A:$A,'[4]june-2025'!$C:$C,0,0)</f>
        <v>28900</v>
      </c>
      <c r="AO266">
        <f t="shared" si="640"/>
        <v>5202</v>
      </c>
      <c r="AP266">
        <f t="shared" si="64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627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642"/>
        <v>150</v>
      </c>
      <c r="AW266">
        <f t="shared" si="643"/>
        <v>35920</v>
      </c>
      <c r="AX266">
        <f>_xlfn.XLOOKUP(B266,'[5]july-2025'!$A:$A,'[5]july-2025'!$C:$C,0,0)</f>
        <v>29800</v>
      </c>
      <c r="AY266">
        <f t="shared" si="644"/>
        <v>5364</v>
      </c>
      <c r="AZ266">
        <v>0</v>
      </c>
      <c r="BA266">
        <f t="shared" si="645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609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646"/>
        <v>150</v>
      </c>
      <c r="BH266">
        <f t="shared" si="647"/>
        <v>37090</v>
      </c>
      <c r="BI266">
        <f>_xlfn.XLOOKUP(B266,'[6]august-2025'!$A:$A,'[6]august-2025'!$C:$C,0,0)</f>
        <v>29800</v>
      </c>
      <c r="BJ266">
        <f t="shared" si="648"/>
        <v>5364</v>
      </c>
      <c r="BK266">
        <f t="shared" si="649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650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610"/>
        <v>150</v>
      </c>
      <c r="BR266">
        <f t="shared" si="611"/>
        <v>37090</v>
      </c>
      <c r="BS266">
        <f>_xlfn.XLOOKUP(B266,'[7]september-2025'!$A:$A,'[7]september-2025'!$C:$C,0,0)</f>
        <v>29800</v>
      </c>
      <c r="BT266">
        <f t="shared" si="651"/>
        <v>5364</v>
      </c>
      <c r="BU266">
        <f t="shared" si="652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612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653"/>
        <v>150</v>
      </c>
      <c r="CB266">
        <f t="shared" si="654"/>
        <v>37090</v>
      </c>
      <c r="CC266">
        <f>_xlfn.XLOOKUP(B266,'[8]october-2025'!$A:$A,'[8]october-2025'!$C:$C,0,0)</f>
        <v>29800</v>
      </c>
      <c r="CD266">
        <f t="shared" si="655"/>
        <v>5364</v>
      </c>
      <c r="CE266">
        <f t="shared" si="656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613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657"/>
        <v>150</v>
      </c>
      <c r="CL266">
        <f t="shared" si="658"/>
        <v>37090</v>
      </c>
      <c r="CM266">
        <f>_xlfn.XLOOKUP(B266,'[9]november-2025'!$A:$A,'[9]november-2025'!$C:$C,0,0)</f>
        <v>29800</v>
      </c>
      <c r="CN266">
        <f t="shared" si="659"/>
        <v>5364</v>
      </c>
      <c r="CO266">
        <f t="shared" si="660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614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661"/>
        <v>150</v>
      </c>
      <c r="CV266">
        <f t="shared" si="662"/>
        <v>37090</v>
      </c>
      <c r="CW266">
        <f>_xlfn.XLOOKUP(B266,'[10]december-2025'!$A:$A,'[10]december-2025'!$C:$C,0,0)</f>
        <v>29800</v>
      </c>
      <c r="CX266">
        <f t="shared" si="663"/>
        <v>5364</v>
      </c>
      <c r="CY266">
        <f t="shared" si="664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615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665"/>
        <v>150</v>
      </c>
      <c r="DF266">
        <f t="shared" si="666"/>
        <v>37090</v>
      </c>
      <c r="DG266">
        <f>_xlfn.XLOOKUP(B266,'[11]january-2026'!$A:$A,'[11]january-2026'!$C:$C,0,0)</f>
        <v>29800</v>
      </c>
      <c r="DH266">
        <f t="shared" si="667"/>
        <v>5364</v>
      </c>
      <c r="DI266">
        <f t="shared" si="668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16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69"/>
        <v>150</v>
      </c>
      <c r="DP266">
        <f t="shared" si="670"/>
        <v>37090</v>
      </c>
      <c r="DQ266">
        <f>_xlfn.XLOOKUP(B266,'[12]february-2026'!$A:$A,'[12]february-2026'!$C:$C,0,0)</f>
        <v>29800</v>
      </c>
      <c r="DR266">
        <f t="shared" si="671"/>
        <v>5364</v>
      </c>
      <c r="DS266">
        <f t="shared" si="672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617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673"/>
        <v>150</v>
      </c>
      <c r="DZ266">
        <f t="shared" si="674"/>
        <v>37090</v>
      </c>
      <c r="EA266">
        <f>_xlfn.XLOOKUP(B266,'[1]march-2025'!$A:$A,'[1]march-2025'!$J:$J,0,0)</f>
        <v>0</v>
      </c>
      <c r="EB266">
        <f>_xlfn.XLOOKUP(B266,'[2]april-2025'!$A:$A,'[2]april-2025'!$J:$J,0,0)</f>
        <v>0</v>
      </c>
      <c r="EC266">
        <f>_xlfn.XLOOKUP(B266,'[3]may-2025'!$A:$A,'[3]may-2025'!$J:$J,0,0)</f>
        <v>57863</v>
      </c>
      <c r="ED266">
        <f>_xlfn.XLOOKUP(B266,'[4]june-2025'!$A:$A,'[4]june-2025'!$J:$J,0,0)</f>
        <v>0</v>
      </c>
      <c r="EE266">
        <f>_xlfn.XLOOKUP(B266,'[5]july-2025'!$A:$A,'[5]july-2025'!$J:$J,0,0)</f>
        <v>0</v>
      </c>
      <c r="EF266">
        <f>_xlfn.XLOOKUP(B266,'[6]august-2025'!$A:$A,'[6]august-2025'!$J:$J,0,0)</f>
        <v>0</v>
      </c>
      <c r="EG266">
        <f>_xlfn.XLOOKUP(B266,'[7]september-2025'!$A:$A,'[7]september-2025'!$J:$J,0,0)</f>
        <v>0</v>
      </c>
      <c r="EH266">
        <f>_xlfn.XLOOKUP(B266,'[8]october-2025'!$A:$A,'[8]october-2025'!$J:$J,0,0)</f>
        <v>0</v>
      </c>
      <c r="EI266">
        <f>_xlfn.XLOOKUP(C266,'[9]november-2025'!$A:$A,'[9]november-2025'!$J:$J,0,0)</f>
        <v>0</v>
      </c>
      <c r="EJ266">
        <f>_xlfn.XLOOKUP(B266,'[10]december-2025'!$A:$A,'[10]december-2025'!$J:$J,0,0)</f>
        <v>0</v>
      </c>
      <c r="EK266">
        <f>_xlfn.XLOOKUP(B266,'[11]january-2026'!$A:$A,'[11]january-2026'!$J:$J,0,0)</f>
        <v>0</v>
      </c>
      <c r="EL266">
        <f>_xlfn.XLOOKUP(B266,'[12]february-2026'!$A:$A,'[12]february-2026'!$J:$J,0,0)</f>
        <v>0</v>
      </c>
      <c r="EM266">
        <f t="shared" si="628"/>
        <v>57863</v>
      </c>
      <c r="EN266">
        <f t="shared" si="618"/>
        <v>471844</v>
      </c>
      <c r="EO266">
        <f t="shared" si="619"/>
        <v>1800</v>
      </c>
      <c r="EP266">
        <f t="shared" si="675"/>
        <v>50000</v>
      </c>
      <c r="EQ266">
        <v>0</v>
      </c>
      <c r="ER266">
        <f t="shared" si="629"/>
        <v>477907</v>
      </c>
      <c r="ES266">
        <f t="shared" si="620"/>
        <v>24000</v>
      </c>
      <c r="ET266">
        <f t="shared" si="621"/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si="676"/>
        <v>24000</v>
      </c>
      <c r="FF266">
        <f t="shared" si="677"/>
        <v>24000</v>
      </c>
      <c r="FG266">
        <f t="shared" si="678"/>
        <v>453907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si="622"/>
        <v>0</v>
      </c>
      <c r="FP266">
        <f t="shared" si="679"/>
        <v>453907</v>
      </c>
      <c r="FQ266">
        <f t="shared" si="680"/>
        <v>10195</v>
      </c>
      <c r="FR266">
        <f t="shared" si="681"/>
        <v>0</v>
      </c>
      <c r="FS266">
        <f t="shared" si="682"/>
        <v>10195</v>
      </c>
      <c r="FT266">
        <f t="shared" si="683"/>
        <v>0</v>
      </c>
      <c r="FU266">
        <f t="shared" si="684"/>
        <v>0</v>
      </c>
      <c r="FV266">
        <f t="shared" si="685"/>
        <v>0</v>
      </c>
      <c r="FW266">
        <v>0</v>
      </c>
      <c r="FX266">
        <f t="shared" si="686"/>
        <v>0</v>
      </c>
      <c r="FY266" t="b">
        <f t="shared" si="687"/>
        <v>0</v>
      </c>
      <c r="FZ266">
        <f t="shared" ca="1" si="688"/>
        <v>2271</v>
      </c>
      <c r="GA266">
        <f t="shared" ca="1" si="689"/>
        <v>474115</v>
      </c>
      <c r="GB266">
        <f t="shared" si="690"/>
        <v>75000</v>
      </c>
      <c r="GC266">
        <f t="shared" ca="1" si="691"/>
        <v>399115</v>
      </c>
      <c r="GD266">
        <f t="shared" ca="1" si="692"/>
        <v>0</v>
      </c>
      <c r="GE266">
        <f t="shared" ca="1" si="693"/>
        <v>0</v>
      </c>
      <c r="GF266">
        <f t="shared" ca="1" si="694"/>
        <v>0</v>
      </c>
      <c r="GG266">
        <f t="shared" ca="1" si="695"/>
        <v>0</v>
      </c>
      <c r="GH266">
        <f t="shared" ca="1" si="696"/>
        <v>0</v>
      </c>
      <c r="GI266">
        <f t="shared" ca="1" si="697"/>
        <v>0</v>
      </c>
      <c r="GJ266">
        <f t="shared" ca="1" si="623"/>
        <v>0</v>
      </c>
      <c r="GK266">
        <f t="shared" ca="1" si="698"/>
        <v>0</v>
      </c>
      <c r="GL266">
        <f t="shared" ca="1" si="699"/>
        <v>0</v>
      </c>
      <c r="GM266">
        <f t="shared" ca="1" si="700"/>
        <v>0</v>
      </c>
      <c r="GN266">
        <f t="shared" ca="1" si="701"/>
        <v>0</v>
      </c>
      <c r="GO266">
        <f t="shared" ca="1" si="702"/>
        <v>0</v>
      </c>
      <c r="GP266">
        <f t="shared" ca="1" si="703"/>
        <v>0</v>
      </c>
      <c r="GQ266">
        <f t="shared" ca="1" si="704"/>
        <v>0</v>
      </c>
      <c r="GR266">
        <f t="shared" ca="1" si="705"/>
        <v>0</v>
      </c>
      <c r="GS266">
        <f t="shared" ca="1" si="706"/>
        <v>0</v>
      </c>
      <c r="GT266">
        <f t="shared" ca="1" si="707"/>
        <v>0</v>
      </c>
      <c r="GU266" t="b">
        <f t="shared" ca="1" si="708"/>
        <v>0</v>
      </c>
      <c r="GV266">
        <f t="shared" ca="1" si="709"/>
        <v>0</v>
      </c>
      <c r="GW266">
        <f t="shared" ca="1" si="710"/>
        <v>0</v>
      </c>
      <c r="GX266">
        <f t="shared" ca="1" si="711"/>
        <v>0</v>
      </c>
      <c r="GY266">
        <f t="shared" ca="1" si="712"/>
        <v>0</v>
      </c>
      <c r="GZ266">
        <f t="shared" ca="1" si="713"/>
        <v>0</v>
      </c>
    </row>
    <row r="267" spans="1:208" x14ac:dyDescent="0.3">
      <c r="A267">
        <f>_xlfn.AGGREGATE(3,5,$B$2:B267)</f>
        <v>266</v>
      </c>
      <c r="B267" t="s">
        <v>634</v>
      </c>
      <c r="C267" t="s">
        <v>635</v>
      </c>
      <c r="D267" t="s">
        <v>818</v>
      </c>
      <c r="E267" t="s">
        <v>830</v>
      </c>
      <c r="F267" t="s">
        <v>956</v>
      </c>
      <c r="G267" t="s">
        <v>875</v>
      </c>
      <c r="H267">
        <f t="shared" si="715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630"/>
        <v>6622.0000000000009</v>
      </c>
      <c r="L267">
        <f t="shared" si="631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 t="shared" si="608"/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714"/>
        <v>200</v>
      </c>
      <c r="S267">
        <f t="shared" si="624"/>
        <v>56238</v>
      </c>
      <c r="T267">
        <f>_xlfn.XLOOKUP(B267,'[2]april-2025'!$A:$A,'[2]april-2025'!$C:$C,0,0)</f>
        <v>47300</v>
      </c>
      <c r="U267">
        <f t="shared" si="632"/>
        <v>8514</v>
      </c>
      <c r="V267">
        <f t="shared" si="633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625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634"/>
        <v>200</v>
      </c>
      <c r="AC267">
        <f t="shared" si="635"/>
        <v>58130</v>
      </c>
      <c r="AD267">
        <f>_xlfn.XLOOKUP(B267,'[3]may-2025'!$A:$A,'[3]may-2025'!$C:$C,0,0)</f>
        <v>47300</v>
      </c>
      <c r="AE267">
        <f t="shared" si="636"/>
        <v>8514</v>
      </c>
      <c r="AF267">
        <f t="shared" si="637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626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638"/>
        <v>200</v>
      </c>
      <c r="AM267">
        <f t="shared" si="639"/>
        <v>58130</v>
      </c>
      <c r="AN267">
        <f>_xlfn.XLOOKUP(B267,'[4]june-2025'!$A:$A,'[4]june-2025'!$C:$C,0,0)</f>
        <v>47300</v>
      </c>
      <c r="AO267">
        <f t="shared" si="640"/>
        <v>8514</v>
      </c>
      <c r="AP267">
        <f t="shared" si="64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627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642"/>
        <v>200</v>
      </c>
      <c r="AW267">
        <f t="shared" si="643"/>
        <v>58130</v>
      </c>
      <c r="AX267">
        <f>_xlfn.XLOOKUP(B267,'[5]july-2025'!$A:$A,'[5]july-2025'!$C:$C,0,0)</f>
        <v>48700</v>
      </c>
      <c r="AY267">
        <f t="shared" si="644"/>
        <v>8766</v>
      </c>
      <c r="AZ267">
        <v>0</v>
      </c>
      <c r="BA267">
        <f t="shared" si="645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 t="shared" si="609"/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646"/>
        <v>200</v>
      </c>
      <c r="BH267">
        <f t="shared" si="647"/>
        <v>59950</v>
      </c>
      <c r="BI267">
        <f>_xlfn.XLOOKUP(B267,'[6]august-2025'!$A:$A,'[6]august-2025'!$C:$C,0,0)</f>
        <v>48700</v>
      </c>
      <c r="BJ267">
        <f t="shared" si="648"/>
        <v>8766</v>
      </c>
      <c r="BK267">
        <f t="shared" si="649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650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 t="shared" si="610"/>
        <v>200</v>
      </c>
      <c r="BR267">
        <f t="shared" si="611"/>
        <v>59950</v>
      </c>
      <c r="BS267">
        <f>_xlfn.XLOOKUP(B267,'[7]september-2025'!$A:$A,'[7]september-2025'!$C:$C,0,0)</f>
        <v>48700</v>
      </c>
      <c r="BT267">
        <f t="shared" si="651"/>
        <v>8766</v>
      </c>
      <c r="BU267">
        <f t="shared" si="652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 t="shared" si="612"/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653"/>
        <v>200</v>
      </c>
      <c r="CB267">
        <f t="shared" si="654"/>
        <v>59950</v>
      </c>
      <c r="CC267">
        <f>_xlfn.XLOOKUP(B267,'[8]october-2025'!$A:$A,'[8]october-2025'!$C:$C,0,0)</f>
        <v>48700</v>
      </c>
      <c r="CD267">
        <f t="shared" si="655"/>
        <v>8766</v>
      </c>
      <c r="CE267">
        <f t="shared" si="656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 t="shared" si="613"/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657"/>
        <v>200</v>
      </c>
      <c r="CL267">
        <f t="shared" si="658"/>
        <v>59950</v>
      </c>
      <c r="CM267">
        <f>_xlfn.XLOOKUP(B267,'[9]november-2025'!$A:$A,'[9]november-2025'!$C:$C,0,0)</f>
        <v>48700</v>
      </c>
      <c r="CN267">
        <f t="shared" si="659"/>
        <v>8766</v>
      </c>
      <c r="CO267">
        <f t="shared" si="660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 t="shared" si="614"/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661"/>
        <v>200</v>
      </c>
      <c r="CV267">
        <f t="shared" si="662"/>
        <v>59950</v>
      </c>
      <c r="CW267">
        <f>_xlfn.XLOOKUP(B267,'[10]december-2025'!$A:$A,'[10]december-2025'!$C:$C,0,0)</f>
        <v>48700</v>
      </c>
      <c r="CX267">
        <f t="shared" si="663"/>
        <v>8766</v>
      </c>
      <c r="CY267">
        <f t="shared" si="664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 t="shared" si="615"/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665"/>
        <v>200</v>
      </c>
      <c r="DF267">
        <f t="shared" si="666"/>
        <v>59950</v>
      </c>
      <c r="DG267">
        <f>_xlfn.XLOOKUP(B267,'[11]january-2026'!$A:$A,'[11]january-2026'!$C:$C,0,0)</f>
        <v>48700</v>
      </c>
      <c r="DH267">
        <f t="shared" si="667"/>
        <v>8766</v>
      </c>
      <c r="DI267">
        <f t="shared" si="668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16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69"/>
        <v>200</v>
      </c>
      <c r="DP267">
        <f t="shared" si="670"/>
        <v>59950</v>
      </c>
      <c r="DQ267">
        <f>_xlfn.XLOOKUP(B267,'[12]february-2026'!$A:$A,'[12]february-2026'!$C:$C,0,0)</f>
        <v>48700</v>
      </c>
      <c r="DR267">
        <f t="shared" si="671"/>
        <v>8766</v>
      </c>
      <c r="DS267">
        <f t="shared" si="672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617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673"/>
        <v>200</v>
      </c>
      <c r="DZ267">
        <f t="shared" si="674"/>
        <v>59950</v>
      </c>
      <c r="EA267">
        <f>_xlfn.XLOOKUP(B267,'[1]march-2025'!$A:$A,'[1]march-2025'!$J:$J,0,0)</f>
        <v>0</v>
      </c>
      <c r="EB267">
        <f>_xlfn.XLOOKUP(B267,'[2]april-2025'!$A:$A,'[2]april-2025'!$J:$J,0,0)</f>
        <v>0</v>
      </c>
      <c r="EC267">
        <f>_xlfn.XLOOKUP(B267,'[3]may-2025'!$A:$A,'[3]may-2025'!$J:$J,0,0)</f>
        <v>0</v>
      </c>
      <c r="ED267">
        <f>_xlfn.XLOOKUP(B267,'[4]june-2025'!$A:$A,'[4]june-2025'!$J:$J,0,0)</f>
        <v>0</v>
      </c>
      <c r="EE267">
        <f>_xlfn.XLOOKUP(B267,'[5]july-2025'!$A:$A,'[5]july-2025'!$J:$J,0,0)</f>
        <v>0</v>
      </c>
      <c r="EF267">
        <f>_xlfn.XLOOKUP(B267,'[6]august-2025'!$A:$A,'[6]august-2025'!$J:$J,0,0)</f>
        <v>0</v>
      </c>
      <c r="EG267">
        <f>_xlfn.XLOOKUP(B267,'[7]september-2025'!$A:$A,'[7]september-2025'!$J:$J,0,0)</f>
        <v>0</v>
      </c>
      <c r="EH267">
        <f>_xlfn.XLOOKUP(B267,'[8]october-2025'!$A:$A,'[8]october-2025'!$J:$J,0,0)</f>
        <v>0</v>
      </c>
      <c r="EI267">
        <f>_xlfn.XLOOKUP(C267,'[9]november-2025'!$A:$A,'[9]november-2025'!$J:$J,0,0)</f>
        <v>0</v>
      </c>
      <c r="EJ267">
        <f>_xlfn.XLOOKUP(B267,'[10]december-2025'!$A:$A,'[10]december-2025'!$J:$J,0,0)</f>
        <v>0</v>
      </c>
      <c r="EK267">
        <f>_xlfn.XLOOKUP(B267,'[11]january-2026'!$A:$A,'[11]january-2026'!$J:$J,0,0)</f>
        <v>0</v>
      </c>
      <c r="EL267">
        <f>_xlfn.XLOOKUP(B267,'[12]february-2026'!$A:$A,'[12]february-2026'!$J:$J,0,0)</f>
        <v>0</v>
      </c>
      <c r="EM267">
        <f t="shared" si="628"/>
        <v>0</v>
      </c>
      <c r="EN267">
        <f t="shared" si="618"/>
        <v>768148</v>
      </c>
      <c r="EO267">
        <f t="shared" si="619"/>
        <v>2400</v>
      </c>
      <c r="EP267">
        <f t="shared" si="675"/>
        <v>50000</v>
      </c>
      <c r="EQ267">
        <v>0</v>
      </c>
      <c r="ER267">
        <f t="shared" si="629"/>
        <v>715748</v>
      </c>
      <c r="ES267">
        <f t="shared" si="620"/>
        <v>48000</v>
      </c>
      <c r="ET267">
        <f t="shared" si="621"/>
        <v>720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676"/>
        <v>48720</v>
      </c>
      <c r="FF267">
        <f t="shared" si="677"/>
        <v>48720</v>
      </c>
      <c r="FG267">
        <f t="shared" si="678"/>
        <v>667028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622"/>
        <v>0</v>
      </c>
      <c r="FP267">
        <f t="shared" si="679"/>
        <v>667028</v>
      </c>
      <c r="FQ267">
        <f t="shared" si="680"/>
        <v>12500</v>
      </c>
      <c r="FR267">
        <f t="shared" si="681"/>
        <v>33406</v>
      </c>
      <c r="FS267">
        <f t="shared" si="682"/>
        <v>45906</v>
      </c>
      <c r="FT267">
        <f t="shared" si="683"/>
        <v>45906</v>
      </c>
      <c r="FU267">
        <f t="shared" si="684"/>
        <v>1836.24</v>
      </c>
      <c r="FV267">
        <f t="shared" si="685"/>
        <v>47742</v>
      </c>
      <c r="FW267">
        <v>0</v>
      </c>
      <c r="FX267">
        <f t="shared" si="686"/>
        <v>47742</v>
      </c>
      <c r="FY267" t="b">
        <f t="shared" si="687"/>
        <v>1</v>
      </c>
      <c r="FZ267">
        <f t="shared" ca="1" si="688"/>
        <v>932</v>
      </c>
      <c r="GA267">
        <f t="shared" ca="1" si="689"/>
        <v>769080</v>
      </c>
      <c r="GB267">
        <f t="shared" si="690"/>
        <v>75000</v>
      </c>
      <c r="GC267">
        <f t="shared" ca="1" si="691"/>
        <v>694080</v>
      </c>
      <c r="GD267">
        <f t="shared" ca="1" si="692"/>
        <v>0</v>
      </c>
      <c r="GE267">
        <f t="shared" ca="1" si="693"/>
        <v>0</v>
      </c>
      <c r="GF267">
        <f t="shared" ca="1" si="694"/>
        <v>0</v>
      </c>
      <c r="GG267">
        <f t="shared" ca="1" si="695"/>
        <v>0</v>
      </c>
      <c r="GH267">
        <f t="shared" ca="1" si="696"/>
        <v>0</v>
      </c>
      <c r="GI267">
        <f t="shared" ca="1" si="697"/>
        <v>0</v>
      </c>
      <c r="GJ267">
        <f t="shared" ca="1" si="623"/>
        <v>0</v>
      </c>
      <c r="GK267">
        <f t="shared" ca="1" si="698"/>
        <v>0</v>
      </c>
      <c r="GL267">
        <f t="shared" ca="1" si="699"/>
        <v>0</v>
      </c>
      <c r="GM267">
        <f t="shared" ca="1" si="700"/>
        <v>0</v>
      </c>
      <c r="GN267">
        <f t="shared" ca="1" si="701"/>
        <v>294080</v>
      </c>
      <c r="GO267">
        <f t="shared" ca="1" si="702"/>
        <v>14704</v>
      </c>
      <c r="GP267">
        <f t="shared" ca="1" si="703"/>
        <v>14704</v>
      </c>
      <c r="GQ267">
        <f t="shared" ca="1" si="704"/>
        <v>0</v>
      </c>
      <c r="GR267">
        <f t="shared" ca="1" si="705"/>
        <v>0</v>
      </c>
      <c r="GS267">
        <f t="shared" ca="1" si="706"/>
        <v>14704</v>
      </c>
      <c r="GT267">
        <f t="shared" ca="1" si="707"/>
        <v>0</v>
      </c>
      <c r="GU267" t="b">
        <f t="shared" ca="1" si="708"/>
        <v>0</v>
      </c>
      <c r="GV267">
        <f t="shared" ca="1" si="709"/>
        <v>0</v>
      </c>
      <c r="GW267">
        <f t="shared" ca="1" si="710"/>
        <v>14704</v>
      </c>
      <c r="GX267">
        <f t="shared" ca="1" si="711"/>
        <v>0</v>
      </c>
      <c r="GY267">
        <f t="shared" ca="1" si="712"/>
        <v>0</v>
      </c>
      <c r="GZ267">
        <f t="shared" ca="1" si="713"/>
        <v>0</v>
      </c>
    </row>
    <row r="268" spans="1:208" x14ac:dyDescent="0.3">
      <c r="A268">
        <f>_xlfn.AGGREGATE(3,5,$B$2:B268)</f>
        <v>267</v>
      </c>
      <c r="B268" t="s">
        <v>636</v>
      </c>
      <c r="C268" t="s">
        <v>637</v>
      </c>
      <c r="D268" t="s">
        <v>818</v>
      </c>
      <c r="E268" t="s">
        <v>830</v>
      </c>
      <c r="F268" t="s">
        <v>956</v>
      </c>
      <c r="G268" t="s">
        <v>881</v>
      </c>
      <c r="H268">
        <f t="shared" si="715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630"/>
        <v>3780.0000000000005</v>
      </c>
      <c r="L268">
        <f t="shared" si="631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608"/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714"/>
        <v>150</v>
      </c>
      <c r="S268">
        <f t="shared" si="624"/>
        <v>32370</v>
      </c>
      <c r="T268">
        <f>_xlfn.XLOOKUP(B268,'[2]april-2025'!$A:$A,'[2]april-2025'!$C:$C,0,0)</f>
        <v>27000</v>
      </c>
      <c r="U268">
        <f t="shared" si="632"/>
        <v>4860</v>
      </c>
      <c r="V268">
        <f t="shared" si="633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625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634"/>
        <v>150</v>
      </c>
      <c r="AC268">
        <f t="shared" si="635"/>
        <v>33450</v>
      </c>
      <c r="AD268">
        <f>_xlfn.XLOOKUP(B268,'[3]may-2025'!$A:$A,'[3]may-2025'!$C:$C,0,0)</f>
        <v>31600</v>
      </c>
      <c r="AE268">
        <f t="shared" si="636"/>
        <v>5688</v>
      </c>
      <c r="AF268">
        <f t="shared" si="637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626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638"/>
        <v>200</v>
      </c>
      <c r="AM268">
        <f t="shared" si="639"/>
        <v>39380</v>
      </c>
      <c r="AN268">
        <f>_xlfn.XLOOKUP(B268,'[4]june-2025'!$A:$A,'[4]june-2025'!$C:$C,0,0)</f>
        <v>31600</v>
      </c>
      <c r="AO268">
        <f t="shared" si="640"/>
        <v>5688</v>
      </c>
      <c r="AP268">
        <f t="shared" si="64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627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642"/>
        <v>200</v>
      </c>
      <c r="AW268">
        <f t="shared" si="643"/>
        <v>39380</v>
      </c>
      <c r="AX268">
        <f>_xlfn.XLOOKUP(B268,'[5]july-2025'!$A:$A,'[5]july-2025'!$C:$C,0,0)</f>
        <v>32500</v>
      </c>
      <c r="AY268">
        <f t="shared" si="644"/>
        <v>5850</v>
      </c>
      <c r="AZ268">
        <v>0</v>
      </c>
      <c r="BA268">
        <f t="shared" si="645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609"/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646"/>
        <v>200</v>
      </c>
      <c r="BH268">
        <f t="shared" si="647"/>
        <v>40550</v>
      </c>
      <c r="BI268">
        <f>_xlfn.XLOOKUP(B268,'[6]august-2025'!$A:$A,'[6]august-2025'!$C:$C,0,0)</f>
        <v>32500</v>
      </c>
      <c r="BJ268">
        <f t="shared" si="648"/>
        <v>5850</v>
      </c>
      <c r="BK268">
        <f t="shared" si="649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650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610"/>
        <v>200</v>
      </c>
      <c r="BR268">
        <f t="shared" si="611"/>
        <v>40550</v>
      </c>
      <c r="BS268">
        <f>_xlfn.XLOOKUP(B268,'[7]september-2025'!$A:$A,'[7]september-2025'!$C:$C,0,0)</f>
        <v>32500</v>
      </c>
      <c r="BT268">
        <f t="shared" si="651"/>
        <v>5850</v>
      </c>
      <c r="BU268">
        <f t="shared" si="652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612"/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653"/>
        <v>200</v>
      </c>
      <c r="CB268">
        <f t="shared" si="654"/>
        <v>40550</v>
      </c>
      <c r="CC268">
        <f>_xlfn.XLOOKUP(B268,'[8]october-2025'!$A:$A,'[8]october-2025'!$C:$C,0,0)</f>
        <v>32500</v>
      </c>
      <c r="CD268">
        <f t="shared" si="655"/>
        <v>5850</v>
      </c>
      <c r="CE268">
        <f t="shared" si="656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613"/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657"/>
        <v>200</v>
      </c>
      <c r="CL268">
        <f t="shared" si="658"/>
        <v>40550</v>
      </c>
      <c r="CM268">
        <f>_xlfn.XLOOKUP(B268,'[9]november-2025'!$A:$A,'[9]november-2025'!$C:$C,0,0)</f>
        <v>32500</v>
      </c>
      <c r="CN268">
        <f t="shared" si="659"/>
        <v>5850</v>
      </c>
      <c r="CO268">
        <f t="shared" si="660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614"/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661"/>
        <v>200</v>
      </c>
      <c r="CV268">
        <f t="shared" si="662"/>
        <v>40550</v>
      </c>
      <c r="CW268">
        <f>_xlfn.XLOOKUP(B268,'[10]december-2025'!$A:$A,'[10]december-2025'!$C:$C,0,0)</f>
        <v>32500</v>
      </c>
      <c r="CX268">
        <f t="shared" si="663"/>
        <v>5850</v>
      </c>
      <c r="CY268">
        <f t="shared" si="664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615"/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665"/>
        <v>200</v>
      </c>
      <c r="DF268">
        <f t="shared" si="666"/>
        <v>40550</v>
      </c>
      <c r="DG268">
        <f>_xlfn.XLOOKUP(B268,'[11]january-2026'!$A:$A,'[11]january-2026'!$C:$C,0,0)</f>
        <v>32500</v>
      </c>
      <c r="DH268">
        <f t="shared" si="667"/>
        <v>5850</v>
      </c>
      <c r="DI268">
        <f t="shared" si="668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16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69"/>
        <v>200</v>
      </c>
      <c r="DP268">
        <f t="shared" si="670"/>
        <v>40550</v>
      </c>
      <c r="DQ268">
        <f>_xlfn.XLOOKUP(B268,'[12]february-2026'!$A:$A,'[12]february-2026'!$C:$C,0,0)</f>
        <v>32500</v>
      </c>
      <c r="DR268">
        <f t="shared" si="671"/>
        <v>5850</v>
      </c>
      <c r="DS268">
        <f t="shared" si="672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617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673"/>
        <v>200</v>
      </c>
      <c r="DZ268">
        <f t="shared" si="674"/>
        <v>40550</v>
      </c>
      <c r="EA268">
        <f>_xlfn.XLOOKUP(B268,'[1]march-2025'!$A:$A,'[1]march-2025'!$J:$J,0,0)</f>
        <v>0</v>
      </c>
      <c r="EB268">
        <f>_xlfn.XLOOKUP(B268,'[2]april-2025'!$A:$A,'[2]april-2025'!$J:$J,0,0)</f>
        <v>0</v>
      </c>
      <c r="EC268">
        <f>_xlfn.XLOOKUP(B268,'[3]may-2025'!$A:$A,'[3]may-2025'!$J:$J,0,0)</f>
        <v>0</v>
      </c>
      <c r="ED268">
        <f>_xlfn.XLOOKUP(B268,'[4]june-2025'!$A:$A,'[4]june-2025'!$J:$J,0,0)</f>
        <v>0</v>
      </c>
      <c r="EE268">
        <f>_xlfn.XLOOKUP(B268,'[5]july-2025'!$A:$A,'[5]july-2025'!$J:$J,0,0)</f>
        <v>0</v>
      </c>
      <c r="EF268">
        <f>_xlfn.XLOOKUP(B268,'[6]august-2025'!$A:$A,'[6]august-2025'!$J:$J,0,0)</f>
        <v>0</v>
      </c>
      <c r="EG268">
        <f>_xlfn.XLOOKUP(B268,'[7]september-2025'!$A:$A,'[7]september-2025'!$J:$J,0,0)</f>
        <v>0</v>
      </c>
      <c r="EH268">
        <f>_xlfn.XLOOKUP(B268,'[8]october-2025'!$A:$A,'[8]october-2025'!$J:$J,0,0)</f>
        <v>0</v>
      </c>
      <c r="EI268">
        <f>_xlfn.XLOOKUP(C268,'[9]november-2025'!$A:$A,'[9]november-2025'!$J:$J,0,0)</f>
        <v>0</v>
      </c>
      <c r="EJ268">
        <f>_xlfn.XLOOKUP(B268,'[10]december-2025'!$A:$A,'[10]december-2025'!$J:$J,0,0)</f>
        <v>0</v>
      </c>
      <c r="EK268">
        <f>_xlfn.XLOOKUP(B268,'[11]january-2026'!$A:$A,'[11]january-2026'!$J:$J,0,0)</f>
        <v>0</v>
      </c>
      <c r="EL268">
        <f>_xlfn.XLOOKUP(B268,'[12]february-2026'!$A:$A,'[12]february-2026'!$J:$J,0,0)</f>
        <v>0</v>
      </c>
      <c r="EM268">
        <f t="shared" si="628"/>
        <v>0</v>
      </c>
      <c r="EN268">
        <f t="shared" si="618"/>
        <v>502080</v>
      </c>
      <c r="EO268">
        <f t="shared" si="619"/>
        <v>2300</v>
      </c>
      <c r="EP268">
        <f t="shared" si="675"/>
        <v>50000</v>
      </c>
      <c r="EQ268">
        <v>0</v>
      </c>
      <c r="ER268">
        <f t="shared" si="629"/>
        <v>449780</v>
      </c>
      <c r="ES268">
        <f t="shared" si="620"/>
        <v>24000</v>
      </c>
      <c r="ET268">
        <f t="shared" si="621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676"/>
        <v>24000</v>
      </c>
      <c r="FF268">
        <f t="shared" si="677"/>
        <v>24000</v>
      </c>
      <c r="FG268">
        <f t="shared" si="678"/>
        <v>425780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622"/>
        <v>0</v>
      </c>
      <c r="FP268">
        <f t="shared" si="679"/>
        <v>425780</v>
      </c>
      <c r="FQ268">
        <f t="shared" si="680"/>
        <v>8789</v>
      </c>
      <c r="FR268">
        <f t="shared" si="681"/>
        <v>0</v>
      </c>
      <c r="FS268">
        <f t="shared" si="682"/>
        <v>8789</v>
      </c>
      <c r="FT268">
        <f t="shared" si="683"/>
        <v>0</v>
      </c>
      <c r="FU268">
        <f t="shared" si="684"/>
        <v>0</v>
      </c>
      <c r="FV268">
        <f t="shared" si="685"/>
        <v>0</v>
      </c>
      <c r="FW268">
        <v>0</v>
      </c>
      <c r="FX268">
        <f t="shared" si="686"/>
        <v>0</v>
      </c>
      <c r="FY268" t="b">
        <f t="shared" si="687"/>
        <v>1</v>
      </c>
      <c r="FZ268">
        <f t="shared" ca="1" si="688"/>
        <v>553</v>
      </c>
      <c r="GA268">
        <f t="shared" ca="1" si="689"/>
        <v>502633</v>
      </c>
      <c r="GB268">
        <f t="shared" si="690"/>
        <v>75000</v>
      </c>
      <c r="GC268">
        <f t="shared" ca="1" si="691"/>
        <v>427633</v>
      </c>
      <c r="GD268">
        <f t="shared" ca="1" si="692"/>
        <v>0</v>
      </c>
      <c r="GE268">
        <f t="shared" ca="1" si="693"/>
        <v>0</v>
      </c>
      <c r="GF268">
        <f t="shared" ca="1" si="694"/>
        <v>0</v>
      </c>
      <c r="GG268">
        <f t="shared" ca="1" si="695"/>
        <v>0</v>
      </c>
      <c r="GH268">
        <f t="shared" ca="1" si="696"/>
        <v>0</v>
      </c>
      <c r="GI268">
        <f t="shared" ca="1" si="697"/>
        <v>0</v>
      </c>
      <c r="GJ268">
        <f t="shared" ca="1" si="623"/>
        <v>0</v>
      </c>
      <c r="GK268">
        <f t="shared" ca="1" si="698"/>
        <v>0</v>
      </c>
      <c r="GL268">
        <f t="shared" ca="1" si="699"/>
        <v>0</v>
      </c>
      <c r="GM268">
        <f t="shared" ca="1" si="700"/>
        <v>0</v>
      </c>
      <c r="GN268">
        <f t="shared" ca="1" si="701"/>
        <v>27633</v>
      </c>
      <c r="GO268">
        <f t="shared" ca="1" si="702"/>
        <v>1381.65</v>
      </c>
      <c r="GP268">
        <f t="shared" ca="1" si="703"/>
        <v>1382</v>
      </c>
      <c r="GQ268">
        <f t="shared" ca="1" si="704"/>
        <v>0</v>
      </c>
      <c r="GR268">
        <f t="shared" ca="1" si="705"/>
        <v>0</v>
      </c>
      <c r="GS268">
        <f t="shared" ca="1" si="706"/>
        <v>1382</v>
      </c>
      <c r="GT268">
        <f t="shared" ca="1" si="707"/>
        <v>0</v>
      </c>
      <c r="GU268" t="b">
        <f t="shared" ca="1" si="708"/>
        <v>0</v>
      </c>
      <c r="GV268">
        <f t="shared" ca="1" si="709"/>
        <v>0</v>
      </c>
      <c r="GW268">
        <f t="shared" ca="1" si="710"/>
        <v>1382</v>
      </c>
      <c r="GX268">
        <f t="shared" ca="1" si="711"/>
        <v>0</v>
      </c>
      <c r="GY268">
        <f t="shared" ca="1" si="712"/>
        <v>0</v>
      </c>
      <c r="GZ268">
        <f t="shared" ca="1" si="713"/>
        <v>0</v>
      </c>
    </row>
    <row r="269" spans="1:208" x14ac:dyDescent="0.3">
      <c r="A269">
        <f>_xlfn.AGGREGATE(3,5,$B$2:B269)</f>
        <v>268</v>
      </c>
      <c r="B269" t="s">
        <v>638</v>
      </c>
      <c r="C269" t="s">
        <v>639</v>
      </c>
      <c r="D269" t="s">
        <v>818</v>
      </c>
      <c r="E269" t="s">
        <v>830</v>
      </c>
      <c r="F269" t="s">
        <v>956</v>
      </c>
      <c r="G269" t="s">
        <v>888</v>
      </c>
      <c r="H269">
        <f t="shared" si="715"/>
        <v>6800</v>
      </c>
      <c r="I269">
        <f>_xlfn.XLOOKUP(B269,'[1]march-2025'!$A:$A,'[1]march-2025'!$J:$J,0,0)</f>
        <v>0</v>
      </c>
      <c r="J269">
        <f>_xlfn.XLOOKUP(B269,'[1]march-2025'!$A:$A,'[1]march-2025'!$C:$C,0,0)</f>
        <v>28900</v>
      </c>
      <c r="K269">
        <f t="shared" si="630"/>
        <v>4046.0000000000005</v>
      </c>
      <c r="L269">
        <f t="shared" si="631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608"/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714"/>
        <v>150</v>
      </c>
      <c r="S269">
        <f t="shared" si="624"/>
        <v>34764</v>
      </c>
      <c r="T269">
        <f>_xlfn.XLOOKUP(B269,'[2]april-2025'!$A:$A,'[2]april-2025'!$C:$C,0,0)</f>
        <v>28900</v>
      </c>
      <c r="U269">
        <f t="shared" si="632"/>
        <v>5202</v>
      </c>
      <c r="V269">
        <f t="shared" si="633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625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634"/>
        <v>150</v>
      </c>
      <c r="AC269">
        <f t="shared" si="635"/>
        <v>35920</v>
      </c>
      <c r="AD269">
        <f>_xlfn.XLOOKUP(B269,'[3]may-2025'!$A:$A,'[3]may-2025'!$C:$C,0,0)</f>
        <v>28900</v>
      </c>
      <c r="AE269">
        <f t="shared" si="636"/>
        <v>5202</v>
      </c>
      <c r="AF269">
        <f t="shared" si="637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626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638"/>
        <v>150</v>
      </c>
      <c r="AM269">
        <f t="shared" si="639"/>
        <v>35920</v>
      </c>
      <c r="AN269">
        <f>_xlfn.XLOOKUP(B269,'[4]june-2025'!$A:$A,'[4]june-2025'!$C:$C,0,0)</f>
        <v>28900</v>
      </c>
      <c r="AO269">
        <f t="shared" si="640"/>
        <v>5202</v>
      </c>
      <c r="AP269">
        <f t="shared" si="64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627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642"/>
        <v>150</v>
      </c>
      <c r="AW269">
        <f t="shared" si="643"/>
        <v>35920</v>
      </c>
      <c r="AX269">
        <f>_xlfn.XLOOKUP(B269,'[5]july-2025'!$A:$A,'[5]july-2025'!$C:$C,0,0)</f>
        <v>29800</v>
      </c>
      <c r="AY269">
        <f t="shared" si="644"/>
        <v>5364</v>
      </c>
      <c r="AZ269">
        <v>0</v>
      </c>
      <c r="BA269">
        <f t="shared" si="645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609"/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646"/>
        <v>150</v>
      </c>
      <c r="BH269">
        <f t="shared" si="647"/>
        <v>37090</v>
      </c>
      <c r="BI269">
        <f>_xlfn.XLOOKUP(B269,'[6]august-2025'!$A:$A,'[6]august-2025'!$C:$C,0,0)</f>
        <v>29800</v>
      </c>
      <c r="BJ269">
        <f t="shared" si="648"/>
        <v>5364</v>
      </c>
      <c r="BK269">
        <f t="shared" si="649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650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610"/>
        <v>150</v>
      </c>
      <c r="BR269">
        <f t="shared" si="611"/>
        <v>37090</v>
      </c>
      <c r="BS269">
        <f>_xlfn.XLOOKUP(B269,'[7]september-2025'!$A:$A,'[7]september-2025'!$C:$C,0,0)</f>
        <v>29800</v>
      </c>
      <c r="BT269">
        <f t="shared" si="651"/>
        <v>5364</v>
      </c>
      <c r="BU269">
        <f t="shared" si="652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612"/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653"/>
        <v>150</v>
      </c>
      <c r="CB269">
        <f t="shared" si="654"/>
        <v>37090</v>
      </c>
      <c r="CC269">
        <f>_xlfn.XLOOKUP(B269,'[8]october-2025'!$A:$A,'[8]october-2025'!$C:$C,0,0)</f>
        <v>29800</v>
      </c>
      <c r="CD269">
        <f t="shared" si="655"/>
        <v>5364</v>
      </c>
      <c r="CE269">
        <f t="shared" si="656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613"/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657"/>
        <v>150</v>
      </c>
      <c r="CL269">
        <f t="shared" si="658"/>
        <v>37090</v>
      </c>
      <c r="CM269">
        <f>_xlfn.XLOOKUP(B269,'[9]november-2025'!$A:$A,'[9]november-2025'!$C:$C,0,0)</f>
        <v>29800</v>
      </c>
      <c r="CN269">
        <f t="shared" si="659"/>
        <v>5364</v>
      </c>
      <c r="CO269">
        <f t="shared" si="660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614"/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661"/>
        <v>150</v>
      </c>
      <c r="CV269">
        <f t="shared" si="662"/>
        <v>37090</v>
      </c>
      <c r="CW269">
        <f>_xlfn.XLOOKUP(B269,'[10]december-2025'!$A:$A,'[10]december-2025'!$C:$C,0,0)</f>
        <v>29800</v>
      </c>
      <c r="CX269">
        <f t="shared" si="663"/>
        <v>5364</v>
      </c>
      <c r="CY269">
        <f t="shared" si="664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615"/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665"/>
        <v>150</v>
      </c>
      <c r="DF269">
        <f t="shared" si="666"/>
        <v>37090</v>
      </c>
      <c r="DG269">
        <f>_xlfn.XLOOKUP(B269,'[11]january-2026'!$A:$A,'[11]january-2026'!$C:$C,0,0)</f>
        <v>29800</v>
      </c>
      <c r="DH269">
        <f t="shared" si="667"/>
        <v>5364</v>
      </c>
      <c r="DI269">
        <f t="shared" si="668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16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69"/>
        <v>150</v>
      </c>
      <c r="DP269">
        <f t="shared" si="670"/>
        <v>37090</v>
      </c>
      <c r="DQ269">
        <f>_xlfn.XLOOKUP(B269,'[12]february-2026'!$A:$A,'[12]february-2026'!$C:$C,0,0)</f>
        <v>29800</v>
      </c>
      <c r="DR269">
        <f t="shared" si="671"/>
        <v>5364</v>
      </c>
      <c r="DS269">
        <f t="shared" si="672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617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673"/>
        <v>150</v>
      </c>
      <c r="DZ269">
        <f t="shared" si="674"/>
        <v>37090</v>
      </c>
      <c r="EA269">
        <f>_xlfn.XLOOKUP(B269,'[1]march-2025'!$A:$A,'[1]march-2025'!$J:$J,0,0)</f>
        <v>0</v>
      </c>
      <c r="EB269">
        <f>_xlfn.XLOOKUP(B269,'[2]april-2025'!$A:$A,'[2]april-2025'!$J:$J,0,0)</f>
        <v>0</v>
      </c>
      <c r="EC269">
        <f>_xlfn.XLOOKUP(B269,'[3]may-2025'!$A:$A,'[3]may-2025'!$J:$J,0,0)</f>
        <v>60294</v>
      </c>
      <c r="ED269">
        <f>_xlfn.XLOOKUP(B269,'[4]june-2025'!$A:$A,'[4]june-2025'!$J:$J,0,0)</f>
        <v>0</v>
      </c>
      <c r="EE269">
        <f>_xlfn.XLOOKUP(B269,'[5]july-2025'!$A:$A,'[5]july-2025'!$J:$J,0,0)</f>
        <v>0</v>
      </c>
      <c r="EF269">
        <f>_xlfn.XLOOKUP(B269,'[6]august-2025'!$A:$A,'[6]august-2025'!$J:$J,0,0)</f>
        <v>0</v>
      </c>
      <c r="EG269">
        <f>_xlfn.XLOOKUP(B269,'[7]september-2025'!$A:$A,'[7]september-2025'!$J:$J,0,0)</f>
        <v>0</v>
      </c>
      <c r="EH269">
        <f>_xlfn.XLOOKUP(B269,'[8]october-2025'!$A:$A,'[8]october-2025'!$J:$J,0,0)</f>
        <v>0</v>
      </c>
      <c r="EI269">
        <f>_xlfn.XLOOKUP(C269,'[9]november-2025'!$A:$A,'[9]november-2025'!$J:$J,0,0)</f>
        <v>0</v>
      </c>
      <c r="EJ269">
        <f>_xlfn.XLOOKUP(B269,'[10]december-2025'!$A:$A,'[10]december-2025'!$J:$J,0,0)</f>
        <v>0</v>
      </c>
      <c r="EK269">
        <f>_xlfn.XLOOKUP(B269,'[11]january-2026'!$A:$A,'[11]january-2026'!$J:$J,0,0)</f>
        <v>0</v>
      </c>
      <c r="EL269">
        <f>_xlfn.XLOOKUP(B269,'[12]february-2026'!$A:$A,'[12]february-2026'!$J:$J,0,0)</f>
        <v>0</v>
      </c>
      <c r="EM269">
        <f t="shared" si="628"/>
        <v>60294</v>
      </c>
      <c r="EN269">
        <f t="shared" si="618"/>
        <v>471844</v>
      </c>
      <c r="EO269">
        <f t="shared" si="619"/>
        <v>1800</v>
      </c>
      <c r="EP269">
        <f t="shared" si="675"/>
        <v>50000</v>
      </c>
      <c r="EQ269">
        <v>0</v>
      </c>
      <c r="ER269">
        <f t="shared" si="629"/>
        <v>480338</v>
      </c>
      <c r="ES269">
        <f t="shared" si="620"/>
        <v>24000</v>
      </c>
      <c r="ET269">
        <f t="shared" si="621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676"/>
        <v>24000</v>
      </c>
      <c r="FF269">
        <f t="shared" si="677"/>
        <v>24000</v>
      </c>
      <c r="FG269">
        <f t="shared" si="678"/>
        <v>456338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622"/>
        <v>0</v>
      </c>
      <c r="FP269">
        <f t="shared" si="679"/>
        <v>456338</v>
      </c>
      <c r="FQ269">
        <f t="shared" si="680"/>
        <v>10317</v>
      </c>
      <c r="FR269">
        <f t="shared" si="681"/>
        <v>0</v>
      </c>
      <c r="FS269">
        <f t="shared" si="682"/>
        <v>10317</v>
      </c>
      <c r="FT269">
        <f t="shared" si="683"/>
        <v>0</v>
      </c>
      <c r="FU269">
        <f t="shared" si="684"/>
        <v>0</v>
      </c>
      <c r="FV269">
        <f t="shared" si="685"/>
        <v>0</v>
      </c>
      <c r="FW269">
        <v>0</v>
      </c>
      <c r="FX269">
        <f t="shared" si="686"/>
        <v>0</v>
      </c>
      <c r="FY269" t="b">
        <f t="shared" si="687"/>
        <v>0</v>
      </c>
      <c r="FZ269">
        <f t="shared" ca="1" si="688"/>
        <v>2904</v>
      </c>
      <c r="GA269">
        <f t="shared" ca="1" si="689"/>
        <v>474748</v>
      </c>
      <c r="GB269">
        <f t="shared" si="690"/>
        <v>75000</v>
      </c>
      <c r="GC269">
        <f t="shared" ca="1" si="691"/>
        <v>399748</v>
      </c>
      <c r="GD269">
        <f t="shared" ca="1" si="692"/>
        <v>0</v>
      </c>
      <c r="GE269">
        <f t="shared" ca="1" si="693"/>
        <v>0</v>
      </c>
      <c r="GF269">
        <f t="shared" ca="1" si="694"/>
        <v>0</v>
      </c>
      <c r="GG269">
        <f t="shared" ca="1" si="695"/>
        <v>0</v>
      </c>
      <c r="GH269">
        <f t="shared" ca="1" si="696"/>
        <v>0</v>
      </c>
      <c r="GI269">
        <f t="shared" ca="1" si="697"/>
        <v>0</v>
      </c>
      <c r="GJ269">
        <f t="shared" ca="1" si="623"/>
        <v>0</v>
      </c>
      <c r="GK269">
        <f t="shared" ca="1" si="698"/>
        <v>0</v>
      </c>
      <c r="GL269">
        <f t="shared" ca="1" si="699"/>
        <v>0</v>
      </c>
      <c r="GM269">
        <f t="shared" ca="1" si="700"/>
        <v>0</v>
      </c>
      <c r="GN269">
        <f t="shared" ca="1" si="701"/>
        <v>0</v>
      </c>
      <c r="GO269">
        <f t="shared" ca="1" si="702"/>
        <v>0</v>
      </c>
      <c r="GP269">
        <f t="shared" ca="1" si="703"/>
        <v>0</v>
      </c>
      <c r="GQ269">
        <f t="shared" ca="1" si="704"/>
        <v>0</v>
      </c>
      <c r="GR269">
        <f t="shared" ca="1" si="705"/>
        <v>0</v>
      </c>
      <c r="GS269">
        <f t="shared" ca="1" si="706"/>
        <v>0</v>
      </c>
      <c r="GT269">
        <f t="shared" ca="1" si="707"/>
        <v>0</v>
      </c>
      <c r="GU269" t="b">
        <f t="shared" ca="1" si="708"/>
        <v>0</v>
      </c>
      <c r="GV269">
        <f t="shared" ca="1" si="709"/>
        <v>0</v>
      </c>
      <c r="GW269">
        <f t="shared" ca="1" si="710"/>
        <v>0</v>
      </c>
      <c r="GX269">
        <f t="shared" ca="1" si="711"/>
        <v>0</v>
      </c>
      <c r="GY269">
        <f t="shared" ca="1" si="712"/>
        <v>0</v>
      </c>
      <c r="GZ269">
        <f t="shared" ca="1" si="713"/>
        <v>0</v>
      </c>
    </row>
    <row r="270" spans="1:208" x14ac:dyDescent="0.3">
      <c r="A270">
        <f>_xlfn.AGGREGATE(3,5,$B$2:B270)</f>
        <v>269</v>
      </c>
      <c r="B270" t="s">
        <v>868</v>
      </c>
      <c r="C270" t="s">
        <v>869</v>
      </c>
      <c r="D270" t="s">
        <v>818</v>
      </c>
      <c r="E270" t="s">
        <v>831</v>
      </c>
      <c r="F270" t="s">
        <v>957</v>
      </c>
      <c r="G270" t="s">
        <v>955</v>
      </c>
      <c r="H270">
        <f t="shared" si="715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630"/>
        <v>0</v>
      </c>
      <c r="L270">
        <f t="shared" si="631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 t="shared" si="608"/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714"/>
        <v>0</v>
      </c>
      <c r="S270">
        <f t="shared" si="624"/>
        <v>0</v>
      </c>
      <c r="T270">
        <f>_xlfn.XLOOKUP(B270,'[2]april-2025'!$A:$A,'[2]april-2025'!$C:$C,0,0)</f>
        <v>0</v>
      </c>
      <c r="U270">
        <f t="shared" si="632"/>
        <v>0</v>
      </c>
      <c r="V270">
        <f t="shared" si="633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625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634"/>
        <v>0</v>
      </c>
      <c r="AC270">
        <f t="shared" si="635"/>
        <v>0</v>
      </c>
      <c r="AD270">
        <f>_xlfn.XLOOKUP(B270,'[3]may-2025'!$A:$A,'[3]may-2025'!$C:$C,0,0)</f>
        <v>24700</v>
      </c>
      <c r="AE270">
        <f t="shared" si="636"/>
        <v>4446</v>
      </c>
      <c r="AF270">
        <f t="shared" si="637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626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638"/>
        <v>0</v>
      </c>
      <c r="AM270">
        <f t="shared" si="639"/>
        <v>32110</v>
      </c>
      <c r="AN270">
        <f>_xlfn.XLOOKUP(B270,'[4]june-2025'!$A:$A,'[4]june-2025'!$C:$C,0,0)</f>
        <v>24700</v>
      </c>
      <c r="AO270">
        <f t="shared" si="640"/>
        <v>4446</v>
      </c>
      <c r="AP270">
        <f t="shared" si="64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627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642"/>
        <v>0</v>
      </c>
      <c r="AW270">
        <f t="shared" si="643"/>
        <v>32110</v>
      </c>
      <c r="AX270">
        <f>_xlfn.XLOOKUP(B270,'[5]july-2025'!$A:$A,'[5]july-2025'!$C:$C,0,0)</f>
        <v>25400</v>
      </c>
      <c r="AY270">
        <f t="shared" si="644"/>
        <v>4572</v>
      </c>
      <c r="AZ270">
        <v>0</v>
      </c>
      <c r="BA270">
        <f t="shared" si="645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 t="shared" si="609"/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646"/>
        <v>0</v>
      </c>
      <c r="BH270">
        <f t="shared" si="647"/>
        <v>33020</v>
      </c>
      <c r="BI270">
        <f>_xlfn.XLOOKUP(B270,'[6]august-2025'!$A:$A,'[6]august-2025'!$C:$C,0,0)</f>
        <v>25400</v>
      </c>
      <c r="BJ270">
        <f t="shared" si="648"/>
        <v>4572</v>
      </c>
      <c r="BK270">
        <f t="shared" si="649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650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 t="shared" si="610"/>
        <v>0</v>
      </c>
      <c r="BR270">
        <f t="shared" si="611"/>
        <v>31020</v>
      </c>
      <c r="BS270">
        <f>_xlfn.XLOOKUP(B270,'[7]september-2025'!$A:$A,'[7]september-2025'!$C:$C,0,0)</f>
        <v>25400</v>
      </c>
      <c r="BT270">
        <f t="shared" si="651"/>
        <v>4572</v>
      </c>
      <c r="BU270">
        <f t="shared" si="652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 t="shared" si="612"/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653"/>
        <v>0</v>
      </c>
      <c r="CB270">
        <f t="shared" si="654"/>
        <v>31020</v>
      </c>
      <c r="CC270">
        <f>_xlfn.XLOOKUP(B270,'[8]october-2025'!$A:$A,'[8]october-2025'!$C:$C,0,0)</f>
        <v>25400</v>
      </c>
      <c r="CD270">
        <f t="shared" si="655"/>
        <v>4572</v>
      </c>
      <c r="CE270">
        <f t="shared" si="656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 t="shared" si="613"/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657"/>
        <v>0</v>
      </c>
      <c r="CL270">
        <f t="shared" si="658"/>
        <v>31020</v>
      </c>
      <c r="CM270">
        <f>_xlfn.XLOOKUP(B270,'[9]november-2025'!$A:$A,'[9]november-2025'!$C:$C,0,0)</f>
        <v>25400</v>
      </c>
      <c r="CN270">
        <f t="shared" si="659"/>
        <v>4572</v>
      </c>
      <c r="CO270">
        <f t="shared" si="660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 t="shared" si="614"/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661"/>
        <v>0</v>
      </c>
      <c r="CV270">
        <f t="shared" si="662"/>
        <v>31020</v>
      </c>
      <c r="CW270">
        <f>_xlfn.XLOOKUP(B270,'[10]december-2025'!$A:$A,'[10]december-2025'!$C:$C,0,0)</f>
        <v>25400</v>
      </c>
      <c r="CX270">
        <f t="shared" si="663"/>
        <v>4572</v>
      </c>
      <c r="CY270">
        <f t="shared" si="664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 t="shared" si="615"/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665"/>
        <v>0</v>
      </c>
      <c r="DF270">
        <f t="shared" si="666"/>
        <v>31020</v>
      </c>
      <c r="DG270">
        <f>_xlfn.XLOOKUP(B270,'[11]january-2026'!$A:$A,'[11]january-2026'!$C:$C,0,0)</f>
        <v>25400</v>
      </c>
      <c r="DH270">
        <f t="shared" si="667"/>
        <v>4572</v>
      </c>
      <c r="DI270">
        <f t="shared" si="668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16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69"/>
        <v>0</v>
      </c>
      <c r="DP270">
        <f t="shared" si="670"/>
        <v>31020</v>
      </c>
      <c r="DQ270">
        <f>_xlfn.XLOOKUP(B270,'[12]february-2026'!$A:$A,'[12]february-2026'!$C:$C,0,0)</f>
        <v>25400</v>
      </c>
      <c r="DR270">
        <f t="shared" si="671"/>
        <v>4572</v>
      </c>
      <c r="DS270">
        <f t="shared" si="672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617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673"/>
        <v>0</v>
      </c>
      <c r="DZ270">
        <f t="shared" si="674"/>
        <v>31020</v>
      </c>
      <c r="EA270">
        <f>_xlfn.XLOOKUP(B270,'[1]march-2025'!$A:$A,'[1]march-2025'!$J:$J,0,0)</f>
        <v>0</v>
      </c>
      <c r="EB270">
        <f>_xlfn.XLOOKUP(B270,'[2]april-2025'!$A:$A,'[2]april-2025'!$J:$J,0,0)</f>
        <v>0</v>
      </c>
      <c r="EC270">
        <f>_xlfn.XLOOKUP(B270,'[3]may-2025'!$A:$A,'[3]may-2025'!$J:$J,0,0)</f>
        <v>0</v>
      </c>
      <c r="ED270">
        <f>_xlfn.XLOOKUP(B270,'[4]june-2025'!$A:$A,'[4]june-2025'!$J:$J,0,0)</f>
        <v>0</v>
      </c>
      <c r="EE270">
        <f>_xlfn.XLOOKUP(B270,'[5]july-2025'!$A:$A,'[5]july-2025'!$J:$J,0,0)</f>
        <v>0</v>
      </c>
      <c r="EF270">
        <f>_xlfn.XLOOKUP(B270,'[6]august-2025'!$A:$A,'[6]august-2025'!$J:$J,0,0)</f>
        <v>0</v>
      </c>
      <c r="EG270">
        <f>_xlfn.XLOOKUP(B270,'[7]september-2025'!$A:$A,'[7]september-2025'!$J:$J,0,0)</f>
        <v>0</v>
      </c>
      <c r="EH270">
        <f>_xlfn.XLOOKUP(B270,'[8]october-2025'!$A:$A,'[8]october-2025'!$J:$J,0,0)</f>
        <v>0</v>
      </c>
      <c r="EI270">
        <f>_xlfn.XLOOKUP(C270,'[9]november-2025'!$A:$A,'[9]november-2025'!$J:$J,0,0)</f>
        <v>0</v>
      </c>
      <c r="EJ270">
        <f>_xlfn.XLOOKUP(B270,'[10]december-2025'!$A:$A,'[10]december-2025'!$J:$J,0,0)</f>
        <v>0</v>
      </c>
      <c r="EK270">
        <f>_xlfn.XLOOKUP(B270,'[11]january-2026'!$A:$A,'[11]january-2026'!$J:$J,0,0)</f>
        <v>0</v>
      </c>
      <c r="EL270">
        <f>_xlfn.XLOOKUP(B270,'[12]february-2026'!$A:$A,'[12]february-2026'!$J:$J,0,0)</f>
        <v>0</v>
      </c>
      <c r="EM270">
        <f t="shared" si="628"/>
        <v>0</v>
      </c>
      <c r="EN270">
        <f t="shared" si="618"/>
        <v>335180</v>
      </c>
      <c r="EO270">
        <f t="shared" si="619"/>
        <v>0</v>
      </c>
      <c r="EP270">
        <f t="shared" si="675"/>
        <v>50000</v>
      </c>
      <c r="EQ270">
        <v>0</v>
      </c>
      <c r="ER270">
        <f t="shared" si="629"/>
        <v>285180</v>
      </c>
      <c r="ES270">
        <f t="shared" si="620"/>
        <v>14000</v>
      </c>
      <c r="ET270">
        <f t="shared" si="621"/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676"/>
        <v>14000</v>
      </c>
      <c r="FF270">
        <f t="shared" si="677"/>
        <v>14000</v>
      </c>
      <c r="FG270">
        <f t="shared" si="678"/>
        <v>271180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622"/>
        <v>50000</v>
      </c>
      <c r="FP270">
        <f t="shared" si="679"/>
        <v>221180</v>
      </c>
      <c r="FQ270">
        <f t="shared" si="680"/>
        <v>-1441</v>
      </c>
      <c r="FR270">
        <f t="shared" si="681"/>
        <v>0</v>
      </c>
      <c r="FS270">
        <f t="shared" si="682"/>
        <v>-1441</v>
      </c>
      <c r="FT270">
        <f t="shared" si="683"/>
        <v>0</v>
      </c>
      <c r="FU270">
        <f t="shared" si="684"/>
        <v>0</v>
      </c>
      <c r="FV270">
        <f t="shared" si="685"/>
        <v>0</v>
      </c>
      <c r="FW270">
        <v>0</v>
      </c>
      <c r="FX270">
        <f t="shared" si="686"/>
        <v>0</v>
      </c>
      <c r="FY270" t="b">
        <f t="shared" si="687"/>
        <v>0</v>
      </c>
      <c r="FZ270">
        <f t="shared" ca="1" si="688"/>
        <v>2947</v>
      </c>
      <c r="GA270">
        <f t="shared" ca="1" si="689"/>
        <v>338127</v>
      </c>
      <c r="GB270">
        <f t="shared" si="690"/>
        <v>75000</v>
      </c>
      <c r="GC270">
        <f t="shared" ca="1" si="691"/>
        <v>263127</v>
      </c>
      <c r="GD270">
        <f t="shared" ca="1" si="692"/>
        <v>0</v>
      </c>
      <c r="GE270">
        <f t="shared" ca="1" si="693"/>
        <v>0</v>
      </c>
      <c r="GF270">
        <f t="shared" ca="1" si="694"/>
        <v>0</v>
      </c>
      <c r="GG270">
        <f t="shared" ca="1" si="695"/>
        <v>0</v>
      </c>
      <c r="GH270">
        <f t="shared" ca="1" si="696"/>
        <v>0</v>
      </c>
      <c r="GI270">
        <f t="shared" ca="1" si="697"/>
        <v>0</v>
      </c>
      <c r="GJ270">
        <f t="shared" ca="1" si="623"/>
        <v>0</v>
      </c>
      <c r="GK270">
        <f t="shared" ca="1" si="698"/>
        <v>0</v>
      </c>
      <c r="GL270">
        <f t="shared" ca="1" si="699"/>
        <v>0</v>
      </c>
      <c r="GM270">
        <f t="shared" ca="1" si="700"/>
        <v>0</v>
      </c>
      <c r="GN270">
        <f t="shared" ca="1" si="701"/>
        <v>0</v>
      </c>
      <c r="GO270">
        <f t="shared" ca="1" si="702"/>
        <v>0</v>
      </c>
      <c r="GP270">
        <f t="shared" ca="1" si="703"/>
        <v>0</v>
      </c>
      <c r="GQ270">
        <f t="shared" ca="1" si="704"/>
        <v>0</v>
      </c>
      <c r="GR270">
        <f t="shared" ca="1" si="705"/>
        <v>0</v>
      </c>
      <c r="GS270">
        <f t="shared" ca="1" si="706"/>
        <v>0</v>
      </c>
      <c r="GT270">
        <f t="shared" ca="1" si="707"/>
        <v>0</v>
      </c>
      <c r="GU270" t="b">
        <f t="shared" ca="1" si="708"/>
        <v>0</v>
      </c>
      <c r="GV270">
        <f t="shared" ca="1" si="709"/>
        <v>0</v>
      </c>
      <c r="GW270">
        <f t="shared" ca="1" si="710"/>
        <v>0</v>
      </c>
      <c r="GX270">
        <f t="shared" ca="1" si="711"/>
        <v>0</v>
      </c>
      <c r="GY270">
        <f t="shared" ca="1" si="712"/>
        <v>0</v>
      </c>
      <c r="GZ270">
        <f t="shared" ca="1" si="713"/>
        <v>0</v>
      </c>
    </row>
    <row r="271" spans="1:208" x14ac:dyDescent="0.3">
      <c r="A271">
        <f>_xlfn.AGGREGATE(3,5,$B$2:B271)</f>
        <v>270</v>
      </c>
      <c r="B271" t="s">
        <v>640</v>
      </c>
      <c r="C271" t="s">
        <v>641</v>
      </c>
      <c r="D271" t="s">
        <v>819</v>
      </c>
      <c r="E271" t="s">
        <v>830</v>
      </c>
      <c r="F271" t="s">
        <v>956</v>
      </c>
      <c r="G271" t="s">
        <v>884</v>
      </c>
      <c r="H271">
        <f t="shared" si="715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630"/>
        <v>6818.0000000000009</v>
      </c>
      <c r="L271">
        <f t="shared" si="631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 t="shared" si="608"/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714"/>
        <v>200</v>
      </c>
      <c r="S271">
        <f t="shared" si="624"/>
        <v>56502</v>
      </c>
      <c r="T271">
        <f>_xlfn.XLOOKUP(B271,'[2]april-2025'!$A:$A,'[2]april-2025'!$C:$C,0,0)</f>
        <v>48700</v>
      </c>
      <c r="U271">
        <f t="shared" si="632"/>
        <v>8766</v>
      </c>
      <c r="V271">
        <f t="shared" si="633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625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634"/>
        <v>200</v>
      </c>
      <c r="AC271">
        <f t="shared" si="635"/>
        <v>58450</v>
      </c>
      <c r="AD271">
        <f>_xlfn.XLOOKUP(B271,'[3]may-2025'!$A:$A,'[3]may-2025'!$C:$C,0,0)</f>
        <v>48700</v>
      </c>
      <c r="AE271">
        <f t="shared" si="636"/>
        <v>8766</v>
      </c>
      <c r="AF271">
        <f t="shared" si="637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626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638"/>
        <v>200</v>
      </c>
      <c r="AM271">
        <f t="shared" si="639"/>
        <v>58450</v>
      </c>
      <c r="AN271">
        <f>_xlfn.XLOOKUP(B271,'[4]june-2025'!$A:$A,'[4]june-2025'!$C:$C,0,0)</f>
        <v>48700</v>
      </c>
      <c r="AO271">
        <f t="shared" si="640"/>
        <v>8766</v>
      </c>
      <c r="AP271">
        <f t="shared" si="64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627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642"/>
        <v>200</v>
      </c>
      <c r="AW271">
        <f t="shared" si="643"/>
        <v>58450</v>
      </c>
      <c r="AX271">
        <f>_xlfn.XLOOKUP(B271,'[5]july-2025'!$A:$A,'[5]july-2025'!$C:$C,0,0)</f>
        <v>50200</v>
      </c>
      <c r="AY271">
        <f t="shared" si="644"/>
        <v>9036</v>
      </c>
      <c r="AZ271">
        <v>0</v>
      </c>
      <c r="BA271">
        <f t="shared" si="645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 t="shared" si="609"/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646"/>
        <v>200</v>
      </c>
      <c r="BH271">
        <f t="shared" si="647"/>
        <v>60400</v>
      </c>
      <c r="BI271">
        <f>_xlfn.XLOOKUP(B271,'[6]august-2025'!$A:$A,'[6]august-2025'!$C:$C,0,0)</f>
        <v>50200</v>
      </c>
      <c r="BJ271">
        <f t="shared" si="648"/>
        <v>9036</v>
      </c>
      <c r="BK271">
        <f t="shared" si="649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650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 t="shared" si="610"/>
        <v>200</v>
      </c>
      <c r="BR271">
        <f t="shared" si="611"/>
        <v>60400</v>
      </c>
      <c r="BS271">
        <f>_xlfn.XLOOKUP(B271,'[7]september-2025'!$A:$A,'[7]september-2025'!$C:$C,0,0)</f>
        <v>50200</v>
      </c>
      <c r="BT271">
        <f t="shared" si="651"/>
        <v>9036</v>
      </c>
      <c r="BU271">
        <f t="shared" si="652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 t="shared" si="612"/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653"/>
        <v>200</v>
      </c>
      <c r="CB271">
        <f t="shared" si="654"/>
        <v>60400</v>
      </c>
      <c r="CC271">
        <f>_xlfn.XLOOKUP(B271,'[8]october-2025'!$A:$A,'[8]october-2025'!$C:$C,0,0)</f>
        <v>50200</v>
      </c>
      <c r="CD271">
        <f t="shared" si="655"/>
        <v>9036</v>
      </c>
      <c r="CE271">
        <f t="shared" si="656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 t="shared" si="613"/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657"/>
        <v>200</v>
      </c>
      <c r="CL271">
        <f t="shared" si="658"/>
        <v>60400</v>
      </c>
      <c r="CM271">
        <f>_xlfn.XLOOKUP(B271,'[9]november-2025'!$A:$A,'[9]november-2025'!$C:$C,0,0)</f>
        <v>50200</v>
      </c>
      <c r="CN271">
        <f t="shared" si="659"/>
        <v>9036</v>
      </c>
      <c r="CO271">
        <f t="shared" si="660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 t="shared" si="614"/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661"/>
        <v>200</v>
      </c>
      <c r="CV271">
        <f t="shared" si="662"/>
        <v>60400</v>
      </c>
      <c r="CW271">
        <f>_xlfn.XLOOKUP(B271,'[10]december-2025'!$A:$A,'[10]december-2025'!$C:$C,0,0)</f>
        <v>50200</v>
      </c>
      <c r="CX271">
        <f t="shared" si="663"/>
        <v>9036</v>
      </c>
      <c r="CY271">
        <f t="shared" si="664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 t="shared" si="615"/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665"/>
        <v>200</v>
      </c>
      <c r="DF271">
        <f t="shared" si="666"/>
        <v>60400</v>
      </c>
      <c r="DG271">
        <f>_xlfn.XLOOKUP(B271,'[11]january-2026'!$A:$A,'[11]january-2026'!$C:$C,0,0)</f>
        <v>50200</v>
      </c>
      <c r="DH271">
        <f t="shared" si="667"/>
        <v>9036</v>
      </c>
      <c r="DI271">
        <f t="shared" si="668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16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69"/>
        <v>200</v>
      </c>
      <c r="DP271">
        <f t="shared" si="670"/>
        <v>60400</v>
      </c>
      <c r="DQ271">
        <f>_xlfn.XLOOKUP(B271,'[12]february-2026'!$A:$A,'[12]february-2026'!$C:$C,0,0)</f>
        <v>50200</v>
      </c>
      <c r="DR271">
        <f t="shared" si="671"/>
        <v>9036</v>
      </c>
      <c r="DS271">
        <f t="shared" si="672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617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673"/>
        <v>200</v>
      </c>
      <c r="DZ271">
        <f t="shared" si="674"/>
        <v>60400</v>
      </c>
      <c r="EA271">
        <f>_xlfn.XLOOKUP(B271,'[1]march-2025'!$A:$A,'[1]march-2025'!$J:$J,0,0)</f>
        <v>0</v>
      </c>
      <c r="EB271">
        <f>_xlfn.XLOOKUP(B271,'[2]april-2025'!$A:$A,'[2]april-2025'!$J:$J,0,0)</f>
        <v>0</v>
      </c>
      <c r="EC271">
        <f>_xlfn.XLOOKUP(B271,'[3]may-2025'!$A:$A,'[3]may-2025'!$J:$J,0,0)</f>
        <v>0</v>
      </c>
      <c r="ED271">
        <f>_xlfn.XLOOKUP(B271,'[4]june-2025'!$A:$A,'[4]june-2025'!$J:$J,0,0)</f>
        <v>0</v>
      </c>
      <c r="EE271">
        <f>_xlfn.XLOOKUP(B271,'[5]july-2025'!$A:$A,'[5]july-2025'!$J:$J,0,0)</f>
        <v>0</v>
      </c>
      <c r="EF271">
        <f>_xlfn.XLOOKUP(B271,'[6]august-2025'!$A:$A,'[6]august-2025'!$J:$J,0,0)</f>
        <v>0</v>
      </c>
      <c r="EG271">
        <f>_xlfn.XLOOKUP(B271,'[7]september-2025'!$A:$A,'[7]september-2025'!$J:$J,0,0)</f>
        <v>0</v>
      </c>
      <c r="EH271">
        <f>_xlfn.XLOOKUP(B271,'[8]october-2025'!$A:$A,'[8]october-2025'!$J:$J,0,0)</f>
        <v>0</v>
      </c>
      <c r="EI271">
        <f>_xlfn.XLOOKUP(C271,'[9]november-2025'!$A:$A,'[9]november-2025'!$J:$J,0,0)</f>
        <v>0</v>
      </c>
      <c r="EJ271">
        <f>_xlfn.XLOOKUP(B271,'[10]december-2025'!$A:$A,'[10]december-2025'!$J:$J,0,0)</f>
        <v>0</v>
      </c>
      <c r="EK271">
        <f>_xlfn.XLOOKUP(B271,'[11]january-2026'!$A:$A,'[11]january-2026'!$J:$J,0,0)</f>
        <v>0</v>
      </c>
      <c r="EL271">
        <f>_xlfn.XLOOKUP(B271,'[12]february-2026'!$A:$A,'[12]february-2026'!$J:$J,0,0)</f>
        <v>0</v>
      </c>
      <c r="EM271">
        <f t="shared" si="628"/>
        <v>0</v>
      </c>
      <c r="EN271">
        <f t="shared" si="618"/>
        <v>784972</v>
      </c>
      <c r="EO271">
        <f t="shared" si="619"/>
        <v>2400</v>
      </c>
      <c r="EP271">
        <f t="shared" si="675"/>
        <v>50000</v>
      </c>
      <c r="EQ271">
        <v>0</v>
      </c>
      <c r="ER271">
        <f t="shared" si="629"/>
        <v>732572</v>
      </c>
      <c r="ES271">
        <f t="shared" si="620"/>
        <v>60000</v>
      </c>
      <c r="ET271">
        <f t="shared" si="621"/>
        <v>720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676"/>
        <v>60720</v>
      </c>
      <c r="FF271">
        <f t="shared" si="677"/>
        <v>60720</v>
      </c>
      <c r="FG271">
        <f t="shared" si="678"/>
        <v>671852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622"/>
        <v>0</v>
      </c>
      <c r="FP271">
        <f t="shared" si="679"/>
        <v>671852</v>
      </c>
      <c r="FQ271">
        <f t="shared" si="680"/>
        <v>12500</v>
      </c>
      <c r="FR271">
        <f t="shared" si="681"/>
        <v>34370</v>
      </c>
      <c r="FS271">
        <f t="shared" si="682"/>
        <v>46870</v>
      </c>
      <c r="FT271">
        <f t="shared" si="683"/>
        <v>46870</v>
      </c>
      <c r="FU271">
        <f t="shared" si="684"/>
        <v>1874.8</v>
      </c>
      <c r="FV271">
        <f t="shared" si="685"/>
        <v>48745</v>
      </c>
      <c r="FW271">
        <v>0</v>
      </c>
      <c r="FX271">
        <f t="shared" si="686"/>
        <v>48745</v>
      </c>
      <c r="FY271" t="b">
        <f t="shared" si="687"/>
        <v>1</v>
      </c>
      <c r="FZ271">
        <f t="shared" ca="1" si="688"/>
        <v>879</v>
      </c>
      <c r="GA271">
        <f t="shared" ca="1" si="689"/>
        <v>785851</v>
      </c>
      <c r="GB271">
        <f t="shared" si="690"/>
        <v>75000</v>
      </c>
      <c r="GC271">
        <f t="shared" ca="1" si="691"/>
        <v>710851</v>
      </c>
      <c r="GD271">
        <f t="shared" ca="1" si="692"/>
        <v>0</v>
      </c>
      <c r="GE271">
        <f t="shared" ca="1" si="693"/>
        <v>0</v>
      </c>
      <c r="GF271">
        <f t="shared" ca="1" si="694"/>
        <v>0</v>
      </c>
      <c r="GG271">
        <f t="shared" ca="1" si="695"/>
        <v>0</v>
      </c>
      <c r="GH271">
        <f t="shared" ca="1" si="696"/>
        <v>0</v>
      </c>
      <c r="GI271">
        <f t="shared" ca="1" si="697"/>
        <v>0</v>
      </c>
      <c r="GJ271">
        <f t="shared" ca="1" si="623"/>
        <v>0</v>
      </c>
      <c r="GK271">
        <f t="shared" ca="1" si="698"/>
        <v>0</v>
      </c>
      <c r="GL271">
        <f t="shared" ca="1" si="699"/>
        <v>0</v>
      </c>
      <c r="GM271">
        <f t="shared" ca="1" si="700"/>
        <v>0</v>
      </c>
      <c r="GN271">
        <f t="shared" ca="1" si="701"/>
        <v>310851</v>
      </c>
      <c r="GO271">
        <f t="shared" ca="1" si="702"/>
        <v>15542.550000000001</v>
      </c>
      <c r="GP271">
        <f t="shared" ca="1" si="703"/>
        <v>15543</v>
      </c>
      <c r="GQ271">
        <f t="shared" ca="1" si="704"/>
        <v>0</v>
      </c>
      <c r="GR271">
        <f t="shared" ca="1" si="705"/>
        <v>0</v>
      </c>
      <c r="GS271">
        <f t="shared" ca="1" si="706"/>
        <v>15543</v>
      </c>
      <c r="GT271">
        <f t="shared" ca="1" si="707"/>
        <v>0</v>
      </c>
      <c r="GU271" t="b">
        <f t="shared" ca="1" si="708"/>
        <v>0</v>
      </c>
      <c r="GV271">
        <f t="shared" ca="1" si="709"/>
        <v>0</v>
      </c>
      <c r="GW271">
        <f t="shared" ca="1" si="710"/>
        <v>15543</v>
      </c>
      <c r="GX271">
        <f t="shared" ca="1" si="711"/>
        <v>0</v>
      </c>
      <c r="GY271">
        <f t="shared" ca="1" si="712"/>
        <v>0</v>
      </c>
      <c r="GZ271">
        <f t="shared" ca="1" si="713"/>
        <v>0</v>
      </c>
    </row>
    <row r="272" spans="1:208" x14ac:dyDescent="0.3">
      <c r="A272">
        <f>_xlfn.AGGREGATE(3,5,$B$2:B272)</f>
        <v>271</v>
      </c>
      <c r="B272" t="s">
        <v>642</v>
      </c>
      <c r="C272" t="s">
        <v>643</v>
      </c>
      <c r="D272" t="s">
        <v>819</v>
      </c>
      <c r="E272" t="s">
        <v>830</v>
      </c>
      <c r="F272" t="s">
        <v>956</v>
      </c>
      <c r="G272" t="s">
        <v>879</v>
      </c>
      <c r="H272">
        <f t="shared" si="715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630"/>
        <v>6622.0000000000009</v>
      </c>
      <c r="L272">
        <f t="shared" si="631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608"/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714"/>
        <v>200</v>
      </c>
      <c r="S272">
        <f t="shared" si="624"/>
        <v>47898</v>
      </c>
      <c r="T272">
        <f>_xlfn.XLOOKUP(B272,'[2]april-2025'!$A:$A,'[2]april-2025'!$C:$C,0,0)</f>
        <v>47300</v>
      </c>
      <c r="U272">
        <f t="shared" si="632"/>
        <v>8514</v>
      </c>
      <c r="V272">
        <f t="shared" si="633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625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634"/>
        <v>200</v>
      </c>
      <c r="AC272">
        <f t="shared" si="635"/>
        <v>49790</v>
      </c>
      <c r="AD272">
        <f>_xlfn.XLOOKUP(B272,'[3]may-2025'!$A:$A,'[3]may-2025'!$C:$C,0,0)</f>
        <v>47300</v>
      </c>
      <c r="AE272">
        <f t="shared" si="636"/>
        <v>8514</v>
      </c>
      <c r="AF272">
        <f t="shared" si="637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626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638"/>
        <v>200</v>
      </c>
      <c r="AM272">
        <f t="shared" si="639"/>
        <v>49790</v>
      </c>
      <c r="AN272">
        <f>_xlfn.XLOOKUP(B272,'[4]june-2025'!$A:$A,'[4]june-2025'!$C:$C,0,0)</f>
        <v>47300</v>
      </c>
      <c r="AO272">
        <f t="shared" si="640"/>
        <v>8514</v>
      </c>
      <c r="AP272">
        <f t="shared" si="64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627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642"/>
        <v>200</v>
      </c>
      <c r="AW272">
        <f t="shared" si="643"/>
        <v>49790</v>
      </c>
      <c r="AX272">
        <f>_xlfn.XLOOKUP(B272,'[5]july-2025'!$A:$A,'[5]july-2025'!$C:$C,0,0)</f>
        <v>48700</v>
      </c>
      <c r="AY272">
        <f t="shared" si="644"/>
        <v>8766</v>
      </c>
      <c r="AZ272">
        <v>0</v>
      </c>
      <c r="BA272">
        <f t="shared" si="645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609"/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646"/>
        <v>200</v>
      </c>
      <c r="BH272">
        <f t="shared" si="647"/>
        <v>51610</v>
      </c>
      <c r="BI272">
        <f>_xlfn.XLOOKUP(B272,'[6]august-2025'!$A:$A,'[6]august-2025'!$C:$C,0,0)</f>
        <v>48700</v>
      </c>
      <c r="BJ272">
        <f t="shared" si="648"/>
        <v>8766</v>
      </c>
      <c r="BK272">
        <f t="shared" si="649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650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 t="shared" si="610"/>
        <v>200</v>
      </c>
      <c r="BR272">
        <f t="shared" si="611"/>
        <v>51610</v>
      </c>
      <c r="BS272">
        <f>_xlfn.XLOOKUP(B272,'[7]september-2025'!$A:$A,'[7]september-2025'!$C:$C,0,0)</f>
        <v>48700</v>
      </c>
      <c r="BT272">
        <f t="shared" si="651"/>
        <v>8766</v>
      </c>
      <c r="BU272">
        <f t="shared" si="652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612"/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653"/>
        <v>200</v>
      </c>
      <c r="CB272">
        <f t="shared" si="654"/>
        <v>51610</v>
      </c>
      <c r="CC272">
        <f>_xlfn.XLOOKUP(B272,'[8]october-2025'!$A:$A,'[8]october-2025'!$C:$C,0,0)</f>
        <v>48700</v>
      </c>
      <c r="CD272">
        <f t="shared" si="655"/>
        <v>8766</v>
      </c>
      <c r="CE272">
        <f t="shared" si="656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613"/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657"/>
        <v>200</v>
      </c>
      <c r="CL272">
        <f t="shared" si="658"/>
        <v>51610</v>
      </c>
      <c r="CM272">
        <f>_xlfn.XLOOKUP(B272,'[9]november-2025'!$A:$A,'[9]november-2025'!$C:$C,0,0)</f>
        <v>48700</v>
      </c>
      <c r="CN272">
        <f t="shared" si="659"/>
        <v>8766</v>
      </c>
      <c r="CO272">
        <f t="shared" si="660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614"/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661"/>
        <v>200</v>
      </c>
      <c r="CV272">
        <f t="shared" si="662"/>
        <v>51610</v>
      </c>
      <c r="CW272">
        <f>_xlfn.XLOOKUP(B272,'[10]december-2025'!$A:$A,'[10]december-2025'!$C:$C,0,0)</f>
        <v>48700</v>
      </c>
      <c r="CX272">
        <f t="shared" si="663"/>
        <v>8766</v>
      </c>
      <c r="CY272">
        <f t="shared" si="664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615"/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665"/>
        <v>200</v>
      </c>
      <c r="DF272">
        <f t="shared" si="666"/>
        <v>51610</v>
      </c>
      <c r="DG272">
        <f>_xlfn.XLOOKUP(B272,'[11]january-2026'!$A:$A,'[11]january-2026'!$C:$C,0,0)</f>
        <v>48700</v>
      </c>
      <c r="DH272">
        <f t="shared" si="667"/>
        <v>8766</v>
      </c>
      <c r="DI272">
        <f t="shared" si="668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16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69"/>
        <v>200</v>
      </c>
      <c r="DP272">
        <f t="shared" si="670"/>
        <v>63610</v>
      </c>
      <c r="DQ272">
        <f>_xlfn.XLOOKUP(B272,'[12]february-2026'!$A:$A,'[12]february-2026'!$C:$C,0,0)</f>
        <v>48700</v>
      </c>
      <c r="DR272">
        <f t="shared" si="671"/>
        <v>8766</v>
      </c>
      <c r="DS272">
        <f t="shared" si="672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617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673"/>
        <v>200</v>
      </c>
      <c r="DZ272">
        <f t="shared" si="674"/>
        <v>51610</v>
      </c>
      <c r="EA272">
        <f>_xlfn.XLOOKUP(B272,'[1]march-2025'!$A:$A,'[1]march-2025'!$J:$J,0,0)</f>
        <v>0</v>
      </c>
      <c r="EB272">
        <f>_xlfn.XLOOKUP(B272,'[2]april-2025'!$A:$A,'[2]april-2025'!$J:$J,0,0)</f>
        <v>0</v>
      </c>
      <c r="EC272">
        <f>_xlfn.XLOOKUP(B272,'[3]may-2025'!$A:$A,'[3]may-2025'!$J:$J,0,0)</f>
        <v>0</v>
      </c>
      <c r="ED272">
        <f>_xlfn.XLOOKUP(B272,'[4]june-2025'!$A:$A,'[4]june-2025'!$J:$J,0,0)</f>
        <v>0</v>
      </c>
      <c r="EE272">
        <f>_xlfn.XLOOKUP(B272,'[5]july-2025'!$A:$A,'[5]july-2025'!$J:$J,0,0)</f>
        <v>0</v>
      </c>
      <c r="EF272">
        <f>_xlfn.XLOOKUP(B272,'[6]august-2025'!$A:$A,'[6]august-2025'!$J:$J,0,0)</f>
        <v>0</v>
      </c>
      <c r="EG272">
        <f>_xlfn.XLOOKUP(B272,'[7]september-2025'!$A:$A,'[7]september-2025'!$J:$J,0,0)</f>
        <v>0</v>
      </c>
      <c r="EH272">
        <f>_xlfn.XLOOKUP(B272,'[8]october-2025'!$A:$A,'[8]october-2025'!$J:$J,0,0)</f>
        <v>0</v>
      </c>
      <c r="EI272">
        <f>_xlfn.XLOOKUP(C272,'[9]november-2025'!$A:$A,'[9]november-2025'!$J:$J,0,0)</f>
        <v>0</v>
      </c>
      <c r="EJ272">
        <f>_xlfn.XLOOKUP(B272,'[10]december-2025'!$A:$A,'[10]december-2025'!$J:$J,0,0)</f>
        <v>0</v>
      </c>
      <c r="EK272">
        <f>_xlfn.XLOOKUP(B272,'[11]january-2026'!$A:$A,'[11]january-2026'!$J:$J,0,0)</f>
        <v>0</v>
      </c>
      <c r="EL272">
        <f>_xlfn.XLOOKUP(B272,'[12]february-2026'!$A:$A,'[12]february-2026'!$J:$J,0,0)</f>
        <v>0</v>
      </c>
      <c r="EM272">
        <f t="shared" si="628"/>
        <v>0</v>
      </c>
      <c r="EN272">
        <f t="shared" si="618"/>
        <v>763348</v>
      </c>
      <c r="EO272">
        <f t="shared" si="619"/>
        <v>2400</v>
      </c>
      <c r="EP272">
        <f t="shared" si="675"/>
        <v>50000</v>
      </c>
      <c r="EQ272">
        <v>0</v>
      </c>
      <c r="ER272">
        <f t="shared" si="629"/>
        <v>710948</v>
      </c>
      <c r="ES272">
        <f t="shared" si="620"/>
        <v>132000</v>
      </c>
      <c r="ET272">
        <f t="shared" si="621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676"/>
        <v>132000</v>
      </c>
      <c r="FF272">
        <f t="shared" si="677"/>
        <v>132000</v>
      </c>
      <c r="FG272">
        <f t="shared" si="678"/>
        <v>578948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622"/>
        <v>0</v>
      </c>
      <c r="FP272">
        <f t="shared" si="679"/>
        <v>578948</v>
      </c>
      <c r="FQ272">
        <f t="shared" si="680"/>
        <v>12500</v>
      </c>
      <c r="FR272">
        <f t="shared" si="681"/>
        <v>15790</v>
      </c>
      <c r="FS272">
        <f t="shared" si="682"/>
        <v>28290</v>
      </c>
      <c r="FT272">
        <f t="shared" si="683"/>
        <v>28290</v>
      </c>
      <c r="FU272">
        <f t="shared" si="684"/>
        <v>1131.6000000000001</v>
      </c>
      <c r="FV272">
        <f t="shared" si="685"/>
        <v>29422</v>
      </c>
      <c r="FW272">
        <v>0</v>
      </c>
      <c r="FX272">
        <f t="shared" si="686"/>
        <v>29422</v>
      </c>
      <c r="FY272" t="b">
        <f t="shared" si="687"/>
        <v>1</v>
      </c>
      <c r="FZ272">
        <f t="shared" ca="1" si="688"/>
        <v>870</v>
      </c>
      <c r="GA272">
        <f t="shared" ca="1" si="689"/>
        <v>764218</v>
      </c>
      <c r="GB272">
        <f t="shared" si="690"/>
        <v>75000</v>
      </c>
      <c r="GC272">
        <f t="shared" ca="1" si="691"/>
        <v>689218</v>
      </c>
      <c r="GD272">
        <f t="shared" ca="1" si="692"/>
        <v>0</v>
      </c>
      <c r="GE272">
        <f t="shared" ca="1" si="693"/>
        <v>0</v>
      </c>
      <c r="GF272">
        <f t="shared" ca="1" si="694"/>
        <v>0</v>
      </c>
      <c r="GG272">
        <f t="shared" ca="1" si="695"/>
        <v>0</v>
      </c>
      <c r="GH272">
        <f t="shared" ca="1" si="696"/>
        <v>0</v>
      </c>
      <c r="GI272">
        <f t="shared" ca="1" si="697"/>
        <v>0</v>
      </c>
      <c r="GJ272">
        <f t="shared" ca="1" si="623"/>
        <v>0</v>
      </c>
      <c r="GK272">
        <f t="shared" ca="1" si="698"/>
        <v>0</v>
      </c>
      <c r="GL272">
        <f t="shared" ca="1" si="699"/>
        <v>0</v>
      </c>
      <c r="GM272">
        <f t="shared" ca="1" si="700"/>
        <v>0</v>
      </c>
      <c r="GN272">
        <f t="shared" ca="1" si="701"/>
        <v>289218</v>
      </c>
      <c r="GO272">
        <f t="shared" ca="1" si="702"/>
        <v>14460.900000000001</v>
      </c>
      <c r="GP272">
        <f t="shared" ca="1" si="703"/>
        <v>14461</v>
      </c>
      <c r="GQ272">
        <f t="shared" ca="1" si="704"/>
        <v>0</v>
      </c>
      <c r="GR272">
        <f t="shared" ca="1" si="705"/>
        <v>0</v>
      </c>
      <c r="GS272">
        <f t="shared" ca="1" si="706"/>
        <v>14461</v>
      </c>
      <c r="GT272">
        <f t="shared" ca="1" si="707"/>
        <v>0</v>
      </c>
      <c r="GU272" t="b">
        <f t="shared" ca="1" si="708"/>
        <v>0</v>
      </c>
      <c r="GV272">
        <f t="shared" ca="1" si="709"/>
        <v>0</v>
      </c>
      <c r="GW272">
        <f t="shared" ca="1" si="710"/>
        <v>14461</v>
      </c>
      <c r="GX272">
        <f t="shared" ca="1" si="711"/>
        <v>0</v>
      </c>
      <c r="GY272">
        <f t="shared" ca="1" si="712"/>
        <v>0</v>
      </c>
      <c r="GZ272">
        <f t="shared" ca="1" si="713"/>
        <v>0</v>
      </c>
    </row>
    <row r="273" spans="1:208" x14ac:dyDescent="0.3">
      <c r="A273">
        <f>_xlfn.AGGREGATE(3,5,$B$2:B273)</f>
        <v>272</v>
      </c>
      <c r="B273" t="s">
        <v>644</v>
      </c>
      <c r="C273" t="s">
        <v>645</v>
      </c>
      <c r="D273" t="s">
        <v>820</v>
      </c>
      <c r="E273" t="s">
        <v>831</v>
      </c>
      <c r="F273" t="s">
        <v>956</v>
      </c>
      <c r="G273" t="s">
        <v>879</v>
      </c>
      <c r="H273">
        <f t="shared" si="715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630"/>
        <v>7238.0000000000009</v>
      </c>
      <c r="L273">
        <f t="shared" si="631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608"/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714"/>
        <v>200</v>
      </c>
      <c r="S273">
        <f t="shared" si="624"/>
        <v>57782</v>
      </c>
      <c r="T273">
        <f>_xlfn.XLOOKUP(B273,'[2]april-2025'!$A:$A,'[2]april-2025'!$C:$C,0,0)</f>
        <v>51700</v>
      </c>
      <c r="U273">
        <f t="shared" si="632"/>
        <v>9306</v>
      </c>
      <c r="V273">
        <f t="shared" si="633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625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634"/>
        <v>200</v>
      </c>
      <c r="AC273">
        <f t="shared" si="635"/>
        <v>59850</v>
      </c>
      <c r="AD273">
        <f>_xlfn.XLOOKUP(B273,'[3]may-2025'!$A:$A,'[3]may-2025'!$C:$C,0,0)</f>
        <v>51700</v>
      </c>
      <c r="AE273">
        <f t="shared" si="636"/>
        <v>9306</v>
      </c>
      <c r="AF273">
        <f t="shared" si="637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626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638"/>
        <v>200</v>
      </c>
      <c r="AM273">
        <f t="shared" si="639"/>
        <v>59850</v>
      </c>
      <c r="AN273">
        <f>_xlfn.XLOOKUP(B273,'[4]june-2025'!$A:$A,'[4]june-2025'!$C:$C,0,0)</f>
        <v>51700</v>
      </c>
      <c r="AO273">
        <f t="shared" si="640"/>
        <v>9306</v>
      </c>
      <c r="AP273">
        <f t="shared" si="64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627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642"/>
        <v>200</v>
      </c>
      <c r="AW273">
        <f t="shared" si="643"/>
        <v>59850</v>
      </c>
      <c r="AX273">
        <f>_xlfn.XLOOKUP(B273,'[5]july-2025'!$A:$A,'[5]july-2025'!$C:$C,0,0)</f>
        <v>53300</v>
      </c>
      <c r="AY273">
        <f t="shared" si="644"/>
        <v>9594</v>
      </c>
      <c r="AZ273">
        <v>0</v>
      </c>
      <c r="BA273">
        <f t="shared" si="645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609"/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646"/>
        <v>200</v>
      </c>
      <c r="BH273">
        <f t="shared" si="647"/>
        <v>61930</v>
      </c>
      <c r="BI273">
        <f>_xlfn.XLOOKUP(B273,'[6]august-2025'!$A:$A,'[6]august-2025'!$C:$C,0,0)</f>
        <v>53300</v>
      </c>
      <c r="BJ273">
        <f t="shared" si="648"/>
        <v>9594</v>
      </c>
      <c r="BK273">
        <f t="shared" si="649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650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 t="shared" si="610"/>
        <v>200</v>
      </c>
      <c r="BR273">
        <f t="shared" si="611"/>
        <v>61930</v>
      </c>
      <c r="BS273">
        <f>_xlfn.XLOOKUP(B273,'[7]september-2025'!$A:$A,'[7]september-2025'!$C:$C,0,0)</f>
        <v>53300</v>
      </c>
      <c r="BT273">
        <f t="shared" si="651"/>
        <v>9594</v>
      </c>
      <c r="BU273">
        <f t="shared" si="652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612"/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653"/>
        <v>200</v>
      </c>
      <c r="CB273">
        <f t="shared" si="654"/>
        <v>61930</v>
      </c>
      <c r="CC273">
        <f>_xlfn.XLOOKUP(B273,'[8]october-2025'!$A:$A,'[8]october-2025'!$C:$C,0,0)</f>
        <v>53300</v>
      </c>
      <c r="CD273">
        <f t="shared" si="655"/>
        <v>9594</v>
      </c>
      <c r="CE273">
        <f t="shared" si="656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613"/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657"/>
        <v>200</v>
      </c>
      <c r="CL273">
        <f t="shared" si="658"/>
        <v>61930</v>
      </c>
      <c r="CM273">
        <f>_xlfn.XLOOKUP(B273,'[9]november-2025'!$A:$A,'[9]november-2025'!$C:$C,0,0)</f>
        <v>53300</v>
      </c>
      <c r="CN273">
        <f t="shared" si="659"/>
        <v>9594</v>
      </c>
      <c r="CO273">
        <f t="shared" si="660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614"/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661"/>
        <v>200</v>
      </c>
      <c r="CV273">
        <f t="shared" si="662"/>
        <v>61930</v>
      </c>
      <c r="CW273">
        <f>_xlfn.XLOOKUP(B273,'[10]december-2025'!$A:$A,'[10]december-2025'!$C:$C,0,0)</f>
        <v>53300</v>
      </c>
      <c r="CX273">
        <f t="shared" si="663"/>
        <v>9594</v>
      </c>
      <c r="CY273">
        <f t="shared" si="664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615"/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665"/>
        <v>200</v>
      </c>
      <c r="DF273">
        <f t="shared" si="666"/>
        <v>61930</v>
      </c>
      <c r="DG273">
        <f>_xlfn.XLOOKUP(B273,'[11]january-2026'!$A:$A,'[11]january-2026'!$C:$C,0,0)</f>
        <v>53300</v>
      </c>
      <c r="DH273">
        <f t="shared" si="667"/>
        <v>9594</v>
      </c>
      <c r="DI273">
        <f t="shared" si="668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16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69"/>
        <v>200</v>
      </c>
      <c r="DP273">
        <f t="shared" si="670"/>
        <v>61930</v>
      </c>
      <c r="DQ273">
        <f>_xlfn.XLOOKUP(B273,'[12]february-2026'!$A:$A,'[12]february-2026'!$C:$C,0,0)</f>
        <v>53300</v>
      </c>
      <c r="DR273">
        <f t="shared" si="671"/>
        <v>9594</v>
      </c>
      <c r="DS273">
        <f t="shared" si="672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617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673"/>
        <v>200</v>
      </c>
      <c r="DZ273">
        <f t="shared" si="674"/>
        <v>61930</v>
      </c>
      <c r="EA273">
        <f>_xlfn.XLOOKUP(B273,'[1]march-2025'!$A:$A,'[1]march-2025'!$J:$J,0,0)</f>
        <v>0</v>
      </c>
      <c r="EB273">
        <f>_xlfn.XLOOKUP(B273,'[2]april-2025'!$A:$A,'[2]april-2025'!$J:$J,0,0)</f>
        <v>0</v>
      </c>
      <c r="EC273">
        <f>_xlfn.XLOOKUP(B273,'[3]may-2025'!$A:$A,'[3]may-2025'!$J:$J,0,0)</f>
        <v>0</v>
      </c>
      <c r="ED273">
        <f>_xlfn.XLOOKUP(B273,'[4]june-2025'!$A:$A,'[4]june-2025'!$J:$J,0,0)</f>
        <v>0</v>
      </c>
      <c r="EE273">
        <f>_xlfn.XLOOKUP(B273,'[5]july-2025'!$A:$A,'[5]july-2025'!$J:$J,0,0)</f>
        <v>0</v>
      </c>
      <c r="EF273">
        <f>_xlfn.XLOOKUP(B273,'[6]august-2025'!$A:$A,'[6]august-2025'!$J:$J,0,0)</f>
        <v>0</v>
      </c>
      <c r="EG273">
        <f>_xlfn.XLOOKUP(B273,'[7]september-2025'!$A:$A,'[7]september-2025'!$J:$J,0,0)</f>
        <v>0</v>
      </c>
      <c r="EH273">
        <f>_xlfn.XLOOKUP(B273,'[8]october-2025'!$A:$A,'[8]october-2025'!$J:$J,0,0)</f>
        <v>0</v>
      </c>
      <c r="EI273">
        <f>_xlfn.XLOOKUP(C273,'[9]november-2025'!$A:$A,'[9]november-2025'!$J:$J,0,0)</f>
        <v>0</v>
      </c>
      <c r="EJ273">
        <f>_xlfn.XLOOKUP(B273,'[10]december-2025'!$A:$A,'[10]december-2025'!$J:$J,0,0)</f>
        <v>0</v>
      </c>
      <c r="EK273">
        <f>_xlfn.XLOOKUP(B273,'[11]january-2026'!$A:$A,'[11]january-2026'!$J:$J,0,0)</f>
        <v>0</v>
      </c>
      <c r="EL273">
        <f>_xlfn.XLOOKUP(B273,'[12]february-2026'!$A:$A,'[12]february-2026'!$J:$J,0,0)</f>
        <v>0</v>
      </c>
      <c r="EM273">
        <f t="shared" si="628"/>
        <v>0</v>
      </c>
      <c r="EN273">
        <f t="shared" si="618"/>
        <v>838692</v>
      </c>
      <c r="EO273">
        <f t="shared" si="619"/>
        <v>2400</v>
      </c>
      <c r="EP273">
        <f t="shared" si="675"/>
        <v>50000</v>
      </c>
      <c r="EQ273">
        <v>0</v>
      </c>
      <c r="ER273">
        <f t="shared" si="629"/>
        <v>786292</v>
      </c>
      <c r="ES273">
        <f t="shared" si="620"/>
        <v>96000</v>
      </c>
      <c r="ET273">
        <f t="shared" si="621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676"/>
        <v>96720</v>
      </c>
      <c r="FF273">
        <f t="shared" si="677"/>
        <v>96720</v>
      </c>
      <c r="FG273">
        <f t="shared" si="678"/>
        <v>689572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622"/>
        <v>0</v>
      </c>
      <c r="FP273">
        <f t="shared" si="679"/>
        <v>689572</v>
      </c>
      <c r="FQ273">
        <f t="shared" si="680"/>
        <v>12500</v>
      </c>
      <c r="FR273">
        <f t="shared" si="681"/>
        <v>37914</v>
      </c>
      <c r="FS273">
        <f t="shared" si="682"/>
        <v>50414</v>
      </c>
      <c r="FT273">
        <f t="shared" si="683"/>
        <v>50414</v>
      </c>
      <c r="FU273">
        <f t="shared" si="684"/>
        <v>2016.56</v>
      </c>
      <c r="FV273">
        <f t="shared" si="685"/>
        <v>52431</v>
      </c>
      <c r="FW273">
        <v>0</v>
      </c>
      <c r="FX273">
        <f t="shared" si="686"/>
        <v>52431</v>
      </c>
      <c r="FY273" t="b">
        <f t="shared" si="687"/>
        <v>1</v>
      </c>
      <c r="FZ273">
        <f t="shared" ca="1" si="688"/>
        <v>730</v>
      </c>
      <c r="GA273">
        <f t="shared" ca="1" si="689"/>
        <v>839422</v>
      </c>
      <c r="GB273">
        <f t="shared" si="690"/>
        <v>75000</v>
      </c>
      <c r="GC273">
        <f t="shared" ca="1" si="691"/>
        <v>764422</v>
      </c>
      <c r="GD273">
        <f t="shared" ca="1" si="692"/>
        <v>0</v>
      </c>
      <c r="GE273">
        <f t="shared" ca="1" si="693"/>
        <v>0</v>
      </c>
      <c r="GF273">
        <f t="shared" ca="1" si="694"/>
        <v>0</v>
      </c>
      <c r="GG273">
        <f t="shared" ca="1" si="695"/>
        <v>0</v>
      </c>
      <c r="GH273">
        <f t="shared" ca="1" si="696"/>
        <v>0</v>
      </c>
      <c r="GI273">
        <f t="shared" ca="1" si="697"/>
        <v>0</v>
      </c>
      <c r="GJ273">
        <f t="shared" ca="1" si="623"/>
        <v>0</v>
      </c>
      <c r="GK273">
        <f t="shared" ca="1" si="698"/>
        <v>0</v>
      </c>
      <c r="GL273">
        <f t="shared" ca="1" si="699"/>
        <v>0</v>
      </c>
      <c r="GM273">
        <f t="shared" ca="1" si="700"/>
        <v>0</v>
      </c>
      <c r="GN273">
        <f t="shared" ca="1" si="701"/>
        <v>364422</v>
      </c>
      <c r="GO273">
        <f t="shared" ca="1" si="702"/>
        <v>18221.100000000002</v>
      </c>
      <c r="GP273">
        <f t="shared" ca="1" si="703"/>
        <v>18221</v>
      </c>
      <c r="GQ273">
        <f t="shared" ca="1" si="704"/>
        <v>0</v>
      </c>
      <c r="GR273">
        <f t="shared" ca="1" si="705"/>
        <v>0</v>
      </c>
      <c r="GS273">
        <f t="shared" ca="1" si="706"/>
        <v>18221</v>
      </c>
      <c r="GT273">
        <f t="shared" ca="1" si="707"/>
        <v>0</v>
      </c>
      <c r="GU273" t="b">
        <f t="shared" ca="1" si="708"/>
        <v>0</v>
      </c>
      <c r="GV273">
        <f t="shared" ca="1" si="709"/>
        <v>0</v>
      </c>
      <c r="GW273">
        <f t="shared" ca="1" si="710"/>
        <v>18221</v>
      </c>
      <c r="GX273">
        <f t="shared" ca="1" si="711"/>
        <v>0</v>
      </c>
      <c r="GY273">
        <f t="shared" ca="1" si="712"/>
        <v>0</v>
      </c>
      <c r="GZ273">
        <f t="shared" ca="1" si="713"/>
        <v>0</v>
      </c>
    </row>
    <row r="274" spans="1:208" x14ac:dyDescent="0.3">
      <c r="A274">
        <f>_xlfn.AGGREGATE(3,5,$B$2:B274)</f>
        <v>273</v>
      </c>
      <c r="B274" t="s">
        <v>646</v>
      </c>
      <c r="C274" t="s">
        <v>647</v>
      </c>
      <c r="D274" t="s">
        <v>820</v>
      </c>
      <c r="E274" t="s">
        <v>831</v>
      </c>
      <c r="F274" t="s">
        <v>956</v>
      </c>
      <c r="G274" t="s">
        <v>887</v>
      </c>
      <c r="H274">
        <f t="shared" si="715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630"/>
        <v>5278.0000000000009</v>
      </c>
      <c r="L274">
        <f t="shared" si="631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608"/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714"/>
        <v>200</v>
      </c>
      <c r="S274">
        <f t="shared" si="624"/>
        <v>42802</v>
      </c>
      <c r="T274">
        <f>_xlfn.XLOOKUP(B274,'[2]april-2025'!$A:$A,'[2]april-2025'!$C:$C,0,0)</f>
        <v>37700</v>
      </c>
      <c r="U274">
        <f t="shared" si="632"/>
        <v>6786</v>
      </c>
      <c r="V274">
        <f t="shared" si="633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625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634"/>
        <v>200</v>
      </c>
      <c r="AC274">
        <f t="shared" si="635"/>
        <v>44310</v>
      </c>
      <c r="AD274">
        <f>_xlfn.XLOOKUP(B274,'[3]may-2025'!$A:$A,'[3]may-2025'!$C:$C,0,0)</f>
        <v>37700</v>
      </c>
      <c r="AE274">
        <f t="shared" si="636"/>
        <v>6786</v>
      </c>
      <c r="AF274">
        <f t="shared" si="637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626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638"/>
        <v>200</v>
      </c>
      <c r="AM274">
        <f t="shared" si="639"/>
        <v>44310</v>
      </c>
      <c r="AN274">
        <f>_xlfn.XLOOKUP(B274,'[4]june-2025'!$A:$A,'[4]june-2025'!$C:$C,0,0)</f>
        <v>37700</v>
      </c>
      <c r="AO274">
        <f t="shared" si="640"/>
        <v>6786</v>
      </c>
      <c r="AP274">
        <f t="shared" si="64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627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642"/>
        <v>200</v>
      </c>
      <c r="AW274">
        <f t="shared" si="643"/>
        <v>44310</v>
      </c>
      <c r="AX274">
        <f>_xlfn.XLOOKUP(B274,'[5]july-2025'!$A:$A,'[5]july-2025'!$C:$C,0,0)</f>
        <v>38800</v>
      </c>
      <c r="AY274">
        <f t="shared" si="644"/>
        <v>6984</v>
      </c>
      <c r="AZ274">
        <v>0</v>
      </c>
      <c r="BA274">
        <f t="shared" si="645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609"/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646"/>
        <v>200</v>
      </c>
      <c r="BH274">
        <f t="shared" si="647"/>
        <v>45740</v>
      </c>
      <c r="BI274">
        <f>_xlfn.XLOOKUP(B274,'[6]august-2025'!$A:$A,'[6]august-2025'!$C:$C,0,0)</f>
        <v>38800</v>
      </c>
      <c r="BJ274">
        <f t="shared" si="648"/>
        <v>6984</v>
      </c>
      <c r="BK274">
        <f t="shared" si="649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650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 t="shared" si="610"/>
        <v>200</v>
      </c>
      <c r="BR274">
        <f t="shared" si="611"/>
        <v>45740</v>
      </c>
      <c r="BS274">
        <f>_xlfn.XLOOKUP(B274,'[7]september-2025'!$A:$A,'[7]september-2025'!$C:$C,0,0)</f>
        <v>38800</v>
      </c>
      <c r="BT274">
        <f t="shared" si="651"/>
        <v>6984</v>
      </c>
      <c r="BU274">
        <f t="shared" si="652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612"/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653"/>
        <v>200</v>
      </c>
      <c r="CB274">
        <f t="shared" si="654"/>
        <v>45740</v>
      </c>
      <c r="CC274">
        <f>_xlfn.XLOOKUP(B274,'[8]october-2025'!$A:$A,'[8]october-2025'!$C:$C,0,0)</f>
        <v>38800</v>
      </c>
      <c r="CD274">
        <f t="shared" si="655"/>
        <v>6984</v>
      </c>
      <c r="CE274">
        <f t="shared" si="656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613"/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657"/>
        <v>200</v>
      </c>
      <c r="CL274">
        <f t="shared" si="658"/>
        <v>45740</v>
      </c>
      <c r="CM274">
        <f>_xlfn.XLOOKUP(B274,'[9]november-2025'!$A:$A,'[9]november-2025'!$C:$C,0,0)</f>
        <v>38800</v>
      </c>
      <c r="CN274">
        <f t="shared" si="659"/>
        <v>6984</v>
      </c>
      <c r="CO274">
        <f t="shared" si="660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614"/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661"/>
        <v>200</v>
      </c>
      <c r="CV274">
        <f t="shared" si="662"/>
        <v>45740</v>
      </c>
      <c r="CW274">
        <f>_xlfn.XLOOKUP(B274,'[10]december-2025'!$A:$A,'[10]december-2025'!$C:$C,0,0)</f>
        <v>38800</v>
      </c>
      <c r="CX274">
        <f t="shared" si="663"/>
        <v>6984</v>
      </c>
      <c r="CY274">
        <f t="shared" si="664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615"/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665"/>
        <v>200</v>
      </c>
      <c r="DF274">
        <f t="shared" si="666"/>
        <v>45740</v>
      </c>
      <c r="DG274">
        <f>_xlfn.XLOOKUP(B274,'[11]january-2026'!$A:$A,'[11]january-2026'!$C:$C,0,0)</f>
        <v>38800</v>
      </c>
      <c r="DH274">
        <f t="shared" si="667"/>
        <v>6984</v>
      </c>
      <c r="DI274">
        <f t="shared" si="668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16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69"/>
        <v>200</v>
      </c>
      <c r="DP274">
        <f t="shared" si="670"/>
        <v>45740</v>
      </c>
      <c r="DQ274">
        <f>_xlfn.XLOOKUP(B274,'[12]february-2026'!$A:$A,'[12]february-2026'!$C:$C,0,0)</f>
        <v>38800</v>
      </c>
      <c r="DR274">
        <f t="shared" si="671"/>
        <v>6984</v>
      </c>
      <c r="DS274">
        <f t="shared" si="672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617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673"/>
        <v>200</v>
      </c>
      <c r="DZ274">
        <f t="shared" si="674"/>
        <v>45740</v>
      </c>
      <c r="EA274">
        <f>_xlfn.XLOOKUP(B274,'[1]march-2025'!$A:$A,'[1]march-2025'!$J:$J,0,0)</f>
        <v>0</v>
      </c>
      <c r="EB274">
        <f>_xlfn.XLOOKUP(B274,'[2]april-2025'!$A:$A,'[2]april-2025'!$J:$J,0,0)</f>
        <v>0</v>
      </c>
      <c r="EC274">
        <f>_xlfn.XLOOKUP(B274,'[3]may-2025'!$A:$A,'[3]may-2025'!$J:$J,0,0)</f>
        <v>0</v>
      </c>
      <c r="ED274">
        <f>_xlfn.XLOOKUP(B274,'[4]june-2025'!$A:$A,'[4]june-2025'!$J:$J,0,0)</f>
        <v>0</v>
      </c>
      <c r="EE274">
        <f>_xlfn.XLOOKUP(B274,'[5]july-2025'!$A:$A,'[5]july-2025'!$J:$J,0,0)</f>
        <v>0</v>
      </c>
      <c r="EF274">
        <f>_xlfn.XLOOKUP(B274,'[6]august-2025'!$A:$A,'[6]august-2025'!$J:$J,0,0)</f>
        <v>0</v>
      </c>
      <c r="EG274">
        <f>_xlfn.XLOOKUP(B274,'[7]september-2025'!$A:$A,'[7]september-2025'!$J:$J,0,0)</f>
        <v>0</v>
      </c>
      <c r="EH274">
        <f>_xlfn.XLOOKUP(B274,'[8]october-2025'!$A:$A,'[8]october-2025'!$J:$J,0,0)</f>
        <v>0</v>
      </c>
      <c r="EI274">
        <f>_xlfn.XLOOKUP(C274,'[9]november-2025'!$A:$A,'[9]november-2025'!$J:$J,0,0)</f>
        <v>0</v>
      </c>
      <c r="EJ274">
        <f>_xlfn.XLOOKUP(B274,'[10]december-2025'!$A:$A,'[10]december-2025'!$J:$J,0,0)</f>
        <v>0</v>
      </c>
      <c r="EK274">
        <f>_xlfn.XLOOKUP(B274,'[11]january-2026'!$A:$A,'[11]january-2026'!$J:$J,0,0)</f>
        <v>0</v>
      </c>
      <c r="EL274">
        <f>_xlfn.XLOOKUP(B274,'[12]february-2026'!$A:$A,'[12]february-2026'!$J:$J,0,0)</f>
        <v>0</v>
      </c>
      <c r="EM274">
        <f t="shared" si="628"/>
        <v>0</v>
      </c>
      <c r="EN274">
        <f t="shared" si="618"/>
        <v>610852</v>
      </c>
      <c r="EO274">
        <f t="shared" si="619"/>
        <v>2400</v>
      </c>
      <c r="EP274">
        <f t="shared" si="675"/>
        <v>50000</v>
      </c>
      <c r="EQ274">
        <v>0</v>
      </c>
      <c r="ER274">
        <f t="shared" si="629"/>
        <v>558452</v>
      </c>
      <c r="ES274">
        <f t="shared" si="620"/>
        <v>60000</v>
      </c>
      <c r="ET274">
        <f t="shared" si="621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676"/>
        <v>60000</v>
      </c>
      <c r="FF274">
        <f t="shared" si="677"/>
        <v>60000</v>
      </c>
      <c r="FG274">
        <f t="shared" si="678"/>
        <v>498452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622"/>
        <v>0</v>
      </c>
      <c r="FP274">
        <f t="shared" si="679"/>
        <v>498452</v>
      </c>
      <c r="FQ274">
        <f t="shared" si="680"/>
        <v>12423</v>
      </c>
      <c r="FR274">
        <f t="shared" si="681"/>
        <v>0</v>
      </c>
      <c r="FS274">
        <f t="shared" si="682"/>
        <v>12423</v>
      </c>
      <c r="FT274">
        <f t="shared" si="683"/>
        <v>0</v>
      </c>
      <c r="FU274">
        <f t="shared" si="684"/>
        <v>0</v>
      </c>
      <c r="FV274">
        <f t="shared" si="685"/>
        <v>0</v>
      </c>
      <c r="FW274">
        <v>0</v>
      </c>
      <c r="FX274">
        <f t="shared" si="686"/>
        <v>0</v>
      </c>
      <c r="FY274" t="b">
        <f t="shared" si="687"/>
        <v>1</v>
      </c>
      <c r="FZ274">
        <f t="shared" ca="1" si="688"/>
        <v>544</v>
      </c>
      <c r="GA274">
        <f t="shared" ca="1" si="689"/>
        <v>611396</v>
      </c>
      <c r="GB274">
        <f t="shared" si="690"/>
        <v>75000</v>
      </c>
      <c r="GC274">
        <f t="shared" ca="1" si="691"/>
        <v>536396</v>
      </c>
      <c r="GD274">
        <f t="shared" ca="1" si="692"/>
        <v>0</v>
      </c>
      <c r="GE274">
        <f t="shared" ca="1" si="693"/>
        <v>0</v>
      </c>
      <c r="GF274">
        <f t="shared" ca="1" si="694"/>
        <v>0</v>
      </c>
      <c r="GG274">
        <f t="shared" ca="1" si="695"/>
        <v>0</v>
      </c>
      <c r="GH274">
        <f t="shared" ca="1" si="696"/>
        <v>0</v>
      </c>
      <c r="GI274">
        <f t="shared" ca="1" si="697"/>
        <v>0</v>
      </c>
      <c r="GJ274">
        <f t="shared" ca="1" si="623"/>
        <v>0</v>
      </c>
      <c r="GK274">
        <f t="shared" ca="1" si="698"/>
        <v>0</v>
      </c>
      <c r="GL274">
        <f t="shared" ca="1" si="699"/>
        <v>0</v>
      </c>
      <c r="GM274">
        <f t="shared" ca="1" si="700"/>
        <v>0</v>
      </c>
      <c r="GN274">
        <f t="shared" ca="1" si="701"/>
        <v>136396</v>
      </c>
      <c r="GO274">
        <f t="shared" ca="1" si="702"/>
        <v>6819.8</v>
      </c>
      <c r="GP274">
        <f t="shared" ca="1" si="703"/>
        <v>6820</v>
      </c>
      <c r="GQ274">
        <f t="shared" ca="1" si="704"/>
        <v>0</v>
      </c>
      <c r="GR274">
        <f t="shared" ca="1" si="705"/>
        <v>0</v>
      </c>
      <c r="GS274">
        <f t="shared" ca="1" si="706"/>
        <v>6820</v>
      </c>
      <c r="GT274">
        <f t="shared" ca="1" si="707"/>
        <v>0</v>
      </c>
      <c r="GU274" t="b">
        <f t="shared" ca="1" si="708"/>
        <v>0</v>
      </c>
      <c r="GV274">
        <f t="shared" ca="1" si="709"/>
        <v>0</v>
      </c>
      <c r="GW274">
        <f t="shared" ca="1" si="710"/>
        <v>6820</v>
      </c>
      <c r="GX274">
        <f t="shared" ca="1" si="711"/>
        <v>0</v>
      </c>
      <c r="GY274">
        <f t="shared" ca="1" si="712"/>
        <v>0</v>
      </c>
      <c r="GZ274">
        <f t="shared" ca="1" si="713"/>
        <v>0</v>
      </c>
    </row>
    <row r="275" spans="1:208" x14ac:dyDescent="0.3">
      <c r="A275">
        <f>_xlfn.AGGREGATE(3,5,$B$2:B275)</f>
        <v>274</v>
      </c>
      <c r="B275" t="s">
        <v>648</v>
      </c>
      <c r="C275" t="s">
        <v>649</v>
      </c>
      <c r="D275" t="s">
        <v>821</v>
      </c>
      <c r="E275" t="s">
        <v>830</v>
      </c>
      <c r="F275" t="s">
        <v>956</v>
      </c>
      <c r="G275" t="s">
        <v>879</v>
      </c>
      <c r="H275">
        <f t="shared" si="715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630"/>
        <v>7238.0000000000009</v>
      </c>
      <c r="L275">
        <f t="shared" si="631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 t="shared" si="608"/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714"/>
        <v>200</v>
      </c>
      <c r="S275">
        <f t="shared" si="624"/>
        <v>61842</v>
      </c>
      <c r="T275">
        <f>_xlfn.XLOOKUP(B275,'[2]april-2025'!$A:$A,'[2]april-2025'!$C:$C,0,0)</f>
        <v>51700</v>
      </c>
      <c r="U275">
        <f t="shared" si="632"/>
        <v>9306</v>
      </c>
      <c r="V275">
        <f t="shared" si="633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625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634"/>
        <v>200</v>
      </c>
      <c r="AC275">
        <f t="shared" si="635"/>
        <v>63910</v>
      </c>
      <c r="AD275">
        <f>_xlfn.XLOOKUP(B275,'[3]may-2025'!$A:$A,'[3]may-2025'!$C:$C,0,0)</f>
        <v>51700</v>
      </c>
      <c r="AE275">
        <f t="shared" si="636"/>
        <v>9306</v>
      </c>
      <c r="AF275">
        <f t="shared" si="637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626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638"/>
        <v>200</v>
      </c>
      <c r="AM275">
        <f t="shared" si="639"/>
        <v>63910</v>
      </c>
      <c r="AN275">
        <f>_xlfn.XLOOKUP(B275,'[4]june-2025'!$A:$A,'[4]june-2025'!$C:$C,0,0)</f>
        <v>51700</v>
      </c>
      <c r="AO275">
        <f t="shared" si="640"/>
        <v>9306</v>
      </c>
      <c r="AP275">
        <f t="shared" si="64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627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642"/>
        <v>200</v>
      </c>
      <c r="AW275">
        <f t="shared" si="643"/>
        <v>63910</v>
      </c>
      <c r="AX275">
        <f>_xlfn.XLOOKUP(B275,'[5]july-2025'!$A:$A,'[5]july-2025'!$C:$C,0,0)</f>
        <v>53300</v>
      </c>
      <c r="AY275">
        <f t="shared" si="644"/>
        <v>9594</v>
      </c>
      <c r="AZ275">
        <v>0</v>
      </c>
      <c r="BA275">
        <f t="shared" si="645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 t="shared" si="609"/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646"/>
        <v>200</v>
      </c>
      <c r="BH275">
        <f t="shared" si="647"/>
        <v>65990</v>
      </c>
      <c r="BI275">
        <f>_xlfn.XLOOKUP(B275,'[6]august-2025'!$A:$A,'[6]august-2025'!$C:$C,0,0)</f>
        <v>53300</v>
      </c>
      <c r="BJ275">
        <f t="shared" si="648"/>
        <v>9594</v>
      </c>
      <c r="BK275">
        <f t="shared" si="649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650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 t="shared" si="610"/>
        <v>200</v>
      </c>
      <c r="BR275">
        <f t="shared" si="611"/>
        <v>65990</v>
      </c>
      <c r="BS275">
        <f>_xlfn.XLOOKUP(B275,'[7]september-2025'!$A:$A,'[7]september-2025'!$C:$C,0,0)</f>
        <v>53300</v>
      </c>
      <c r="BT275">
        <f t="shared" si="651"/>
        <v>9594</v>
      </c>
      <c r="BU275">
        <f t="shared" si="652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 t="shared" si="612"/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653"/>
        <v>200</v>
      </c>
      <c r="CB275">
        <f t="shared" si="654"/>
        <v>65990</v>
      </c>
      <c r="CC275">
        <f>_xlfn.XLOOKUP(B275,'[8]october-2025'!$A:$A,'[8]october-2025'!$C:$C,0,0)</f>
        <v>53300</v>
      </c>
      <c r="CD275">
        <f t="shared" si="655"/>
        <v>9594</v>
      </c>
      <c r="CE275">
        <f t="shared" si="656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 t="shared" si="613"/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657"/>
        <v>200</v>
      </c>
      <c r="CL275">
        <f t="shared" si="658"/>
        <v>65990</v>
      </c>
      <c r="CM275">
        <f>_xlfn.XLOOKUP(B275,'[9]november-2025'!$A:$A,'[9]november-2025'!$C:$C,0,0)</f>
        <v>53300</v>
      </c>
      <c r="CN275">
        <f t="shared" si="659"/>
        <v>9594</v>
      </c>
      <c r="CO275">
        <f t="shared" si="660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 t="shared" si="614"/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661"/>
        <v>200</v>
      </c>
      <c r="CV275">
        <f t="shared" si="662"/>
        <v>65990</v>
      </c>
      <c r="CW275">
        <f>_xlfn.XLOOKUP(B275,'[10]december-2025'!$A:$A,'[10]december-2025'!$C:$C,0,0)</f>
        <v>53300</v>
      </c>
      <c r="CX275">
        <f t="shared" si="663"/>
        <v>9594</v>
      </c>
      <c r="CY275">
        <f t="shared" si="664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 t="shared" si="615"/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665"/>
        <v>200</v>
      </c>
      <c r="DF275">
        <f t="shared" si="666"/>
        <v>65990</v>
      </c>
      <c r="DG275">
        <f>_xlfn.XLOOKUP(B275,'[11]january-2026'!$A:$A,'[11]january-2026'!$C:$C,0,0)</f>
        <v>53300</v>
      </c>
      <c r="DH275">
        <f t="shared" si="667"/>
        <v>9594</v>
      </c>
      <c r="DI275">
        <f t="shared" si="668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16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69"/>
        <v>200</v>
      </c>
      <c r="DP275">
        <f t="shared" si="670"/>
        <v>65990</v>
      </c>
      <c r="DQ275">
        <f>_xlfn.XLOOKUP(B275,'[12]february-2026'!$A:$A,'[12]february-2026'!$C:$C,0,0)</f>
        <v>53300</v>
      </c>
      <c r="DR275">
        <f t="shared" si="671"/>
        <v>9594</v>
      </c>
      <c r="DS275">
        <f t="shared" si="672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617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673"/>
        <v>200</v>
      </c>
      <c r="DZ275">
        <f t="shared" si="674"/>
        <v>65990</v>
      </c>
      <c r="EA275">
        <f>_xlfn.XLOOKUP(B275,'[1]march-2025'!$A:$A,'[1]march-2025'!$J:$J,0,0)</f>
        <v>0</v>
      </c>
      <c r="EB275">
        <f>_xlfn.XLOOKUP(B275,'[2]april-2025'!$A:$A,'[2]april-2025'!$J:$J,0,0)</f>
        <v>0</v>
      </c>
      <c r="EC275">
        <f>_xlfn.XLOOKUP(B275,'[3]may-2025'!$A:$A,'[3]may-2025'!$J:$J,0,0)</f>
        <v>0</v>
      </c>
      <c r="ED275">
        <f>_xlfn.XLOOKUP(B275,'[4]june-2025'!$A:$A,'[4]june-2025'!$J:$J,0,0)</f>
        <v>0</v>
      </c>
      <c r="EE275">
        <f>_xlfn.XLOOKUP(B275,'[5]july-2025'!$A:$A,'[5]july-2025'!$J:$J,0,0)</f>
        <v>0</v>
      </c>
      <c r="EF275">
        <f>_xlfn.XLOOKUP(B275,'[6]august-2025'!$A:$A,'[6]august-2025'!$J:$J,0,0)</f>
        <v>0</v>
      </c>
      <c r="EG275">
        <f>_xlfn.XLOOKUP(B275,'[7]september-2025'!$A:$A,'[7]september-2025'!$J:$J,0,0)</f>
        <v>0</v>
      </c>
      <c r="EH275">
        <f>_xlfn.XLOOKUP(B275,'[8]october-2025'!$A:$A,'[8]october-2025'!$J:$J,0,0)</f>
        <v>0</v>
      </c>
      <c r="EI275">
        <f>_xlfn.XLOOKUP(C275,'[9]november-2025'!$A:$A,'[9]november-2025'!$J:$J,0,0)</f>
        <v>0</v>
      </c>
      <c r="EJ275">
        <f>_xlfn.XLOOKUP(B275,'[10]december-2025'!$A:$A,'[10]december-2025'!$J:$J,0,0)</f>
        <v>0</v>
      </c>
      <c r="EK275">
        <f>_xlfn.XLOOKUP(B275,'[11]january-2026'!$A:$A,'[11]january-2026'!$J:$J,0,0)</f>
        <v>0</v>
      </c>
      <c r="EL275">
        <f>_xlfn.XLOOKUP(B275,'[12]february-2026'!$A:$A,'[12]february-2026'!$J:$J,0,0)</f>
        <v>0</v>
      </c>
      <c r="EM275">
        <f t="shared" si="628"/>
        <v>0</v>
      </c>
      <c r="EN275">
        <f t="shared" si="618"/>
        <v>838692</v>
      </c>
      <c r="EO275">
        <f t="shared" si="619"/>
        <v>2400</v>
      </c>
      <c r="EP275">
        <f t="shared" si="675"/>
        <v>50000</v>
      </c>
      <c r="EQ275">
        <v>0</v>
      </c>
      <c r="ER275">
        <f t="shared" si="629"/>
        <v>786292</v>
      </c>
      <c r="ES275">
        <f t="shared" si="620"/>
        <v>48000</v>
      </c>
      <c r="ET275">
        <f t="shared" si="621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676"/>
        <v>48000</v>
      </c>
      <c r="FF275">
        <f t="shared" si="677"/>
        <v>48000</v>
      </c>
      <c r="FG275">
        <f t="shared" si="678"/>
        <v>738292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622"/>
        <v>0</v>
      </c>
      <c r="FP275">
        <f t="shared" si="679"/>
        <v>738292</v>
      </c>
      <c r="FQ275">
        <f t="shared" si="680"/>
        <v>12500</v>
      </c>
      <c r="FR275">
        <f t="shared" si="681"/>
        <v>47658</v>
      </c>
      <c r="FS275">
        <f t="shared" si="682"/>
        <v>60158</v>
      </c>
      <c r="FT275">
        <f t="shared" si="683"/>
        <v>60158</v>
      </c>
      <c r="FU275">
        <f t="shared" si="684"/>
        <v>2406.3200000000002</v>
      </c>
      <c r="FV275">
        <f t="shared" si="685"/>
        <v>62564</v>
      </c>
      <c r="FW275">
        <v>0</v>
      </c>
      <c r="FX275">
        <f t="shared" si="686"/>
        <v>62564</v>
      </c>
      <c r="FY275" t="b">
        <f t="shared" si="687"/>
        <v>1</v>
      </c>
      <c r="FZ275">
        <f t="shared" ca="1" si="688"/>
        <v>602</v>
      </c>
      <c r="GA275">
        <f t="shared" ca="1" si="689"/>
        <v>839294</v>
      </c>
      <c r="GB275">
        <f t="shared" si="690"/>
        <v>75000</v>
      </c>
      <c r="GC275">
        <f t="shared" ca="1" si="691"/>
        <v>764294</v>
      </c>
      <c r="GD275">
        <f t="shared" ca="1" si="692"/>
        <v>0</v>
      </c>
      <c r="GE275">
        <f t="shared" ca="1" si="693"/>
        <v>0</v>
      </c>
      <c r="GF275">
        <f t="shared" ca="1" si="694"/>
        <v>0</v>
      </c>
      <c r="GG275">
        <f t="shared" ca="1" si="695"/>
        <v>0</v>
      </c>
      <c r="GH275">
        <f t="shared" ca="1" si="696"/>
        <v>0</v>
      </c>
      <c r="GI275">
        <f t="shared" ca="1" si="697"/>
        <v>0</v>
      </c>
      <c r="GJ275">
        <f t="shared" ca="1" si="623"/>
        <v>0</v>
      </c>
      <c r="GK275">
        <f t="shared" ca="1" si="698"/>
        <v>0</v>
      </c>
      <c r="GL275">
        <f t="shared" ca="1" si="699"/>
        <v>0</v>
      </c>
      <c r="GM275">
        <f t="shared" ca="1" si="700"/>
        <v>0</v>
      </c>
      <c r="GN275">
        <f t="shared" ca="1" si="701"/>
        <v>364294</v>
      </c>
      <c r="GO275">
        <f t="shared" ca="1" si="702"/>
        <v>18214.7</v>
      </c>
      <c r="GP275">
        <f t="shared" ca="1" si="703"/>
        <v>18215</v>
      </c>
      <c r="GQ275">
        <f t="shared" ca="1" si="704"/>
        <v>0</v>
      </c>
      <c r="GR275">
        <f t="shared" ca="1" si="705"/>
        <v>0</v>
      </c>
      <c r="GS275">
        <f t="shared" ca="1" si="706"/>
        <v>18215</v>
      </c>
      <c r="GT275">
        <f t="shared" ca="1" si="707"/>
        <v>0</v>
      </c>
      <c r="GU275" t="b">
        <f t="shared" ca="1" si="708"/>
        <v>0</v>
      </c>
      <c r="GV275">
        <f t="shared" ca="1" si="709"/>
        <v>0</v>
      </c>
      <c r="GW275">
        <f t="shared" ca="1" si="710"/>
        <v>18215</v>
      </c>
      <c r="GX275">
        <f t="shared" ca="1" si="711"/>
        <v>0</v>
      </c>
      <c r="GY275">
        <f t="shared" ca="1" si="712"/>
        <v>0</v>
      </c>
      <c r="GZ275">
        <f t="shared" ca="1" si="713"/>
        <v>0</v>
      </c>
    </row>
    <row r="276" spans="1:208" x14ac:dyDescent="0.3">
      <c r="A276">
        <f>_xlfn.AGGREGATE(3,5,$B$2:B276)</f>
        <v>275</v>
      </c>
      <c r="B276" t="s">
        <v>650</v>
      </c>
      <c r="C276" t="s">
        <v>651</v>
      </c>
      <c r="D276" t="s">
        <v>821</v>
      </c>
      <c r="E276" t="s">
        <v>830</v>
      </c>
      <c r="F276" t="s">
        <v>956</v>
      </c>
      <c r="G276" t="s">
        <v>876</v>
      </c>
      <c r="H276">
        <f t="shared" si="715"/>
        <v>6800</v>
      </c>
      <c r="I276">
        <f>_xlfn.XLOOKUP(B276,'[1]march-2025'!$A:$A,'[1]march-2025'!$J:$J,0,0)</f>
        <v>41373</v>
      </c>
      <c r="J276">
        <f>_xlfn.XLOOKUP(B276,'[1]march-2025'!$A:$A,'[1]march-2025'!$C:$C,0,0)</f>
        <v>29800</v>
      </c>
      <c r="K276">
        <f t="shared" si="630"/>
        <v>4172</v>
      </c>
      <c r="L276">
        <f t="shared" si="631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608"/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714"/>
        <v>150</v>
      </c>
      <c r="S276">
        <f t="shared" si="624"/>
        <v>35898</v>
      </c>
      <c r="T276">
        <f>_xlfn.XLOOKUP(B276,'[2]april-2025'!$A:$A,'[2]april-2025'!$C:$C,0,0)</f>
        <v>29800</v>
      </c>
      <c r="U276">
        <f t="shared" si="632"/>
        <v>5364</v>
      </c>
      <c r="V276">
        <f t="shared" si="633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625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634"/>
        <v>150</v>
      </c>
      <c r="AC276">
        <f t="shared" si="635"/>
        <v>37090</v>
      </c>
      <c r="AD276">
        <f>_xlfn.XLOOKUP(B276,'[3]may-2025'!$A:$A,'[3]may-2025'!$C:$C,0,0)</f>
        <v>29800</v>
      </c>
      <c r="AE276">
        <f t="shared" si="636"/>
        <v>5364</v>
      </c>
      <c r="AF276">
        <f t="shared" si="637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626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638"/>
        <v>150</v>
      </c>
      <c r="AM276">
        <f t="shared" si="639"/>
        <v>37090</v>
      </c>
      <c r="AN276">
        <f>_xlfn.XLOOKUP(B276,'[4]june-2025'!$A:$A,'[4]june-2025'!$C:$C,0,0)</f>
        <v>29800</v>
      </c>
      <c r="AO276">
        <f t="shared" si="640"/>
        <v>5364</v>
      </c>
      <c r="AP276">
        <f t="shared" si="64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627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642"/>
        <v>150</v>
      </c>
      <c r="AW276">
        <f t="shared" si="643"/>
        <v>37090</v>
      </c>
      <c r="AX276">
        <f>_xlfn.XLOOKUP(B276,'[5]july-2025'!$A:$A,'[5]july-2025'!$C:$C,0,0)</f>
        <v>30700</v>
      </c>
      <c r="AY276">
        <f t="shared" si="644"/>
        <v>5526</v>
      </c>
      <c r="AZ276">
        <v>0</v>
      </c>
      <c r="BA276">
        <f t="shared" si="645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609"/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646"/>
        <v>200</v>
      </c>
      <c r="BH276">
        <f t="shared" si="647"/>
        <v>38210</v>
      </c>
      <c r="BI276">
        <f>_xlfn.XLOOKUP(B276,'[6]august-2025'!$A:$A,'[6]august-2025'!$C:$C,0,0)</f>
        <v>30700</v>
      </c>
      <c r="BJ276">
        <f t="shared" si="648"/>
        <v>5526</v>
      </c>
      <c r="BK276">
        <f t="shared" si="649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650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 t="shared" si="610"/>
        <v>200</v>
      </c>
      <c r="BR276">
        <f t="shared" si="611"/>
        <v>38210</v>
      </c>
      <c r="BS276">
        <f>_xlfn.XLOOKUP(B276,'[7]september-2025'!$A:$A,'[7]september-2025'!$C:$C,0,0)</f>
        <v>30700</v>
      </c>
      <c r="BT276">
        <f t="shared" si="651"/>
        <v>5526</v>
      </c>
      <c r="BU276">
        <f t="shared" si="652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612"/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653"/>
        <v>200</v>
      </c>
      <c r="CB276">
        <f t="shared" si="654"/>
        <v>38210</v>
      </c>
      <c r="CC276">
        <f>_xlfn.XLOOKUP(B276,'[8]october-2025'!$A:$A,'[8]october-2025'!$C:$C,0,0)</f>
        <v>30700</v>
      </c>
      <c r="CD276">
        <f t="shared" si="655"/>
        <v>5526</v>
      </c>
      <c r="CE276">
        <f t="shared" si="656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613"/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657"/>
        <v>200</v>
      </c>
      <c r="CL276">
        <f t="shared" si="658"/>
        <v>38210</v>
      </c>
      <c r="CM276">
        <f>_xlfn.XLOOKUP(B276,'[9]november-2025'!$A:$A,'[9]november-2025'!$C:$C,0,0)</f>
        <v>30700</v>
      </c>
      <c r="CN276">
        <f t="shared" si="659"/>
        <v>5526</v>
      </c>
      <c r="CO276">
        <f t="shared" si="660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614"/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661"/>
        <v>200</v>
      </c>
      <c r="CV276">
        <f t="shared" si="662"/>
        <v>38210</v>
      </c>
      <c r="CW276">
        <f>_xlfn.XLOOKUP(B276,'[10]december-2025'!$A:$A,'[10]december-2025'!$C:$C,0,0)</f>
        <v>30700</v>
      </c>
      <c r="CX276">
        <f t="shared" si="663"/>
        <v>5526</v>
      </c>
      <c r="CY276">
        <f t="shared" si="664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615"/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665"/>
        <v>200</v>
      </c>
      <c r="DF276">
        <f t="shared" si="666"/>
        <v>38210</v>
      </c>
      <c r="DG276">
        <f>_xlfn.XLOOKUP(B276,'[11]january-2026'!$A:$A,'[11]january-2026'!$C:$C,0,0)</f>
        <v>30700</v>
      </c>
      <c r="DH276">
        <f t="shared" si="667"/>
        <v>5526</v>
      </c>
      <c r="DI276">
        <f t="shared" si="668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16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69"/>
        <v>200</v>
      </c>
      <c r="DP276">
        <f t="shared" si="670"/>
        <v>38210</v>
      </c>
      <c r="DQ276">
        <f>_xlfn.XLOOKUP(B276,'[12]february-2026'!$A:$A,'[12]february-2026'!$C:$C,0,0)</f>
        <v>30700</v>
      </c>
      <c r="DR276">
        <f t="shared" si="671"/>
        <v>5526</v>
      </c>
      <c r="DS276">
        <f t="shared" si="672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617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673"/>
        <v>200</v>
      </c>
      <c r="DZ276">
        <f t="shared" si="674"/>
        <v>38210</v>
      </c>
      <c r="EA276">
        <f>_xlfn.XLOOKUP(B276,'[1]march-2025'!$A:$A,'[1]march-2025'!$J:$J,0,0)</f>
        <v>41373</v>
      </c>
      <c r="EB276">
        <f>_xlfn.XLOOKUP(B276,'[2]april-2025'!$A:$A,'[2]april-2025'!$J:$J,0,0)</f>
        <v>0</v>
      </c>
      <c r="EC276">
        <f>_xlfn.XLOOKUP(B276,'[3]may-2025'!$A:$A,'[3]may-2025'!$J:$J,0,0)</f>
        <v>0</v>
      </c>
      <c r="ED276">
        <f>_xlfn.XLOOKUP(B276,'[4]june-2025'!$A:$A,'[4]june-2025'!$J:$J,0,0)</f>
        <v>0</v>
      </c>
      <c r="EE276">
        <f>_xlfn.XLOOKUP(B276,'[5]july-2025'!$A:$A,'[5]july-2025'!$J:$J,0,0)</f>
        <v>0</v>
      </c>
      <c r="EF276">
        <f>_xlfn.XLOOKUP(B276,'[6]august-2025'!$A:$A,'[6]august-2025'!$J:$J,0,0)</f>
        <v>0</v>
      </c>
      <c r="EG276">
        <f>_xlfn.XLOOKUP(B276,'[7]september-2025'!$A:$A,'[7]september-2025'!$J:$J,0,0)</f>
        <v>0</v>
      </c>
      <c r="EH276">
        <f>_xlfn.XLOOKUP(B276,'[8]october-2025'!$A:$A,'[8]october-2025'!$J:$J,0,0)</f>
        <v>0</v>
      </c>
      <c r="EI276">
        <f>_xlfn.XLOOKUP(C276,'[9]november-2025'!$A:$A,'[9]november-2025'!$J:$J,0,0)</f>
        <v>0</v>
      </c>
      <c r="EJ276">
        <f>_xlfn.XLOOKUP(B276,'[10]december-2025'!$A:$A,'[10]december-2025'!$J:$J,0,0)</f>
        <v>0</v>
      </c>
      <c r="EK276">
        <f>_xlfn.XLOOKUP(B276,'[11]january-2026'!$A:$A,'[11]january-2026'!$J:$J,0,0)</f>
        <v>0</v>
      </c>
      <c r="EL276">
        <f>_xlfn.XLOOKUP(B276,'[12]february-2026'!$A:$A,'[12]february-2026'!$J:$J,0,0)</f>
        <v>0</v>
      </c>
      <c r="EM276">
        <f t="shared" si="628"/>
        <v>41373</v>
      </c>
      <c r="EN276">
        <f t="shared" si="618"/>
        <v>527221</v>
      </c>
      <c r="EO276">
        <f t="shared" si="619"/>
        <v>2200</v>
      </c>
      <c r="EP276">
        <f t="shared" si="675"/>
        <v>50000</v>
      </c>
      <c r="EQ276">
        <v>0</v>
      </c>
      <c r="ER276">
        <f t="shared" si="629"/>
        <v>516394</v>
      </c>
      <c r="ES276">
        <f t="shared" si="620"/>
        <v>24000</v>
      </c>
      <c r="ET276">
        <f t="shared" si="621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676"/>
        <v>24000</v>
      </c>
      <c r="FF276">
        <f t="shared" si="677"/>
        <v>24000</v>
      </c>
      <c r="FG276">
        <f t="shared" si="678"/>
        <v>492394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622"/>
        <v>0</v>
      </c>
      <c r="FP276">
        <f t="shared" si="679"/>
        <v>492394</v>
      </c>
      <c r="FQ276">
        <f t="shared" si="680"/>
        <v>12120</v>
      </c>
      <c r="FR276">
        <f t="shared" si="681"/>
        <v>0</v>
      </c>
      <c r="FS276">
        <f t="shared" si="682"/>
        <v>12120</v>
      </c>
      <c r="FT276">
        <f t="shared" si="683"/>
        <v>0</v>
      </c>
      <c r="FU276">
        <f t="shared" si="684"/>
        <v>0</v>
      </c>
      <c r="FV276">
        <f t="shared" si="685"/>
        <v>0</v>
      </c>
      <c r="FW276">
        <v>0</v>
      </c>
      <c r="FX276">
        <f t="shared" si="686"/>
        <v>0</v>
      </c>
      <c r="FY276" t="b">
        <f t="shared" si="687"/>
        <v>1</v>
      </c>
      <c r="FZ276">
        <f t="shared" ca="1" si="688"/>
        <v>864</v>
      </c>
      <c r="GA276">
        <f t="shared" ca="1" si="689"/>
        <v>528085</v>
      </c>
      <c r="GB276">
        <f t="shared" si="690"/>
        <v>75000</v>
      </c>
      <c r="GC276">
        <f t="shared" ca="1" si="691"/>
        <v>453085</v>
      </c>
      <c r="GD276">
        <f t="shared" ca="1" si="692"/>
        <v>0</v>
      </c>
      <c r="GE276">
        <f t="shared" ca="1" si="693"/>
        <v>0</v>
      </c>
      <c r="GF276">
        <f t="shared" ca="1" si="694"/>
        <v>0</v>
      </c>
      <c r="GG276">
        <f t="shared" ca="1" si="695"/>
        <v>0</v>
      </c>
      <c r="GH276">
        <f t="shared" ca="1" si="696"/>
        <v>0</v>
      </c>
      <c r="GI276">
        <f t="shared" ca="1" si="697"/>
        <v>0</v>
      </c>
      <c r="GJ276">
        <f t="shared" ca="1" si="623"/>
        <v>0</v>
      </c>
      <c r="GK276">
        <f t="shared" ca="1" si="698"/>
        <v>0</v>
      </c>
      <c r="GL276">
        <f t="shared" ca="1" si="699"/>
        <v>0</v>
      </c>
      <c r="GM276">
        <f t="shared" ca="1" si="700"/>
        <v>0</v>
      </c>
      <c r="GN276">
        <f t="shared" ca="1" si="701"/>
        <v>53085</v>
      </c>
      <c r="GO276">
        <f t="shared" ca="1" si="702"/>
        <v>2654.25</v>
      </c>
      <c r="GP276">
        <f t="shared" ca="1" si="703"/>
        <v>2654</v>
      </c>
      <c r="GQ276">
        <f t="shared" ca="1" si="704"/>
        <v>0</v>
      </c>
      <c r="GR276">
        <f t="shared" ca="1" si="705"/>
        <v>0</v>
      </c>
      <c r="GS276">
        <f t="shared" ca="1" si="706"/>
        <v>2654</v>
      </c>
      <c r="GT276">
        <f t="shared" ca="1" si="707"/>
        <v>0</v>
      </c>
      <c r="GU276" t="b">
        <f t="shared" ca="1" si="708"/>
        <v>0</v>
      </c>
      <c r="GV276">
        <f t="shared" ca="1" si="709"/>
        <v>0</v>
      </c>
      <c r="GW276">
        <f t="shared" ca="1" si="710"/>
        <v>2654</v>
      </c>
      <c r="GX276">
        <f t="shared" ca="1" si="711"/>
        <v>0</v>
      </c>
      <c r="GY276">
        <f t="shared" ca="1" si="712"/>
        <v>0</v>
      </c>
      <c r="GZ276">
        <f t="shared" ca="1" si="713"/>
        <v>0</v>
      </c>
    </row>
    <row r="277" spans="1:208" x14ac:dyDescent="0.3">
      <c r="A277">
        <f>_xlfn.AGGREGATE(3,5,$B$2:B277)</f>
        <v>276</v>
      </c>
      <c r="B277" t="s">
        <v>652</v>
      </c>
      <c r="C277" t="s">
        <v>653</v>
      </c>
      <c r="D277" t="s">
        <v>822</v>
      </c>
      <c r="E277" t="s">
        <v>830</v>
      </c>
      <c r="F277" t="s">
        <v>956</v>
      </c>
      <c r="G277" t="s">
        <v>884</v>
      </c>
      <c r="H277">
        <f t="shared" si="715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630"/>
        <v>6622.0000000000009</v>
      </c>
      <c r="L277">
        <f t="shared" si="631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 t="shared" si="608"/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714"/>
        <v>200</v>
      </c>
      <c r="S277">
        <f t="shared" si="624"/>
        <v>52738</v>
      </c>
      <c r="T277">
        <f>_xlfn.XLOOKUP(B277,'[2]april-2025'!$A:$A,'[2]april-2025'!$C:$C,0,0)</f>
        <v>47300</v>
      </c>
      <c r="U277">
        <f t="shared" si="632"/>
        <v>8514</v>
      </c>
      <c r="V277">
        <f t="shared" si="633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625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634"/>
        <v>200</v>
      </c>
      <c r="AC277">
        <f t="shared" si="635"/>
        <v>54630</v>
      </c>
      <c r="AD277">
        <f>_xlfn.XLOOKUP(B277,'[3]may-2025'!$A:$A,'[3]may-2025'!$C:$C,0,0)</f>
        <v>47300</v>
      </c>
      <c r="AE277">
        <f t="shared" si="636"/>
        <v>8514</v>
      </c>
      <c r="AF277">
        <f t="shared" si="637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626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638"/>
        <v>200</v>
      </c>
      <c r="AM277">
        <f t="shared" si="639"/>
        <v>54630</v>
      </c>
      <c r="AN277">
        <f>_xlfn.XLOOKUP(B277,'[4]june-2025'!$A:$A,'[4]june-2025'!$C:$C,0,0)</f>
        <v>47300</v>
      </c>
      <c r="AO277">
        <f t="shared" si="640"/>
        <v>8514</v>
      </c>
      <c r="AP277">
        <f t="shared" si="64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627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642"/>
        <v>200</v>
      </c>
      <c r="AW277">
        <f t="shared" si="643"/>
        <v>54630</v>
      </c>
      <c r="AX277">
        <f>_xlfn.XLOOKUP(B277,'[5]july-2025'!$A:$A,'[5]july-2025'!$C:$C,0,0)</f>
        <v>48700</v>
      </c>
      <c r="AY277">
        <f t="shared" si="644"/>
        <v>8766</v>
      </c>
      <c r="AZ277">
        <v>0</v>
      </c>
      <c r="BA277">
        <f t="shared" si="645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 t="shared" si="609"/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646"/>
        <v>200</v>
      </c>
      <c r="BH277">
        <f t="shared" si="647"/>
        <v>56450</v>
      </c>
      <c r="BI277">
        <f>_xlfn.XLOOKUP(B277,'[6]august-2025'!$A:$A,'[6]august-2025'!$C:$C,0,0)</f>
        <v>48700</v>
      </c>
      <c r="BJ277">
        <f t="shared" si="648"/>
        <v>8766</v>
      </c>
      <c r="BK277">
        <f t="shared" si="649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650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 t="shared" si="610"/>
        <v>200</v>
      </c>
      <c r="BR277">
        <f t="shared" si="611"/>
        <v>56450</v>
      </c>
      <c r="BS277">
        <f>_xlfn.XLOOKUP(B277,'[7]september-2025'!$A:$A,'[7]september-2025'!$C:$C,0,0)</f>
        <v>48700</v>
      </c>
      <c r="BT277">
        <f t="shared" si="651"/>
        <v>8766</v>
      </c>
      <c r="BU277">
        <f t="shared" si="652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 t="shared" si="612"/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653"/>
        <v>200</v>
      </c>
      <c r="CB277">
        <f t="shared" si="654"/>
        <v>56450</v>
      </c>
      <c r="CC277">
        <f>_xlfn.XLOOKUP(B277,'[8]october-2025'!$A:$A,'[8]october-2025'!$C:$C,0,0)</f>
        <v>48700</v>
      </c>
      <c r="CD277">
        <f t="shared" si="655"/>
        <v>8766</v>
      </c>
      <c r="CE277">
        <f t="shared" si="656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 t="shared" si="613"/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657"/>
        <v>200</v>
      </c>
      <c r="CL277">
        <f t="shared" si="658"/>
        <v>56450</v>
      </c>
      <c r="CM277">
        <f>_xlfn.XLOOKUP(B277,'[9]november-2025'!$A:$A,'[9]november-2025'!$C:$C,0,0)</f>
        <v>48700</v>
      </c>
      <c r="CN277">
        <f t="shared" si="659"/>
        <v>8766</v>
      </c>
      <c r="CO277">
        <f t="shared" si="660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 t="shared" si="614"/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661"/>
        <v>200</v>
      </c>
      <c r="CV277">
        <f t="shared" si="662"/>
        <v>56450</v>
      </c>
      <c r="CW277">
        <f>_xlfn.XLOOKUP(B277,'[10]december-2025'!$A:$A,'[10]december-2025'!$C:$C,0,0)</f>
        <v>48700</v>
      </c>
      <c r="CX277">
        <f t="shared" si="663"/>
        <v>8766</v>
      </c>
      <c r="CY277">
        <f t="shared" si="664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 t="shared" si="615"/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665"/>
        <v>200</v>
      </c>
      <c r="DF277">
        <f t="shared" si="666"/>
        <v>56450</v>
      </c>
      <c r="DG277">
        <f>_xlfn.XLOOKUP(B277,'[11]january-2026'!$A:$A,'[11]january-2026'!$C:$C,0,0)</f>
        <v>48700</v>
      </c>
      <c r="DH277">
        <f t="shared" si="667"/>
        <v>8766</v>
      </c>
      <c r="DI277">
        <f t="shared" si="668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16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69"/>
        <v>200</v>
      </c>
      <c r="DP277">
        <f t="shared" si="670"/>
        <v>63450</v>
      </c>
      <c r="DQ277">
        <f>_xlfn.XLOOKUP(B277,'[12]february-2026'!$A:$A,'[12]february-2026'!$C:$C,0,0)</f>
        <v>48700</v>
      </c>
      <c r="DR277">
        <f t="shared" si="671"/>
        <v>8766</v>
      </c>
      <c r="DS277">
        <f t="shared" si="672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617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673"/>
        <v>200</v>
      </c>
      <c r="DZ277">
        <f t="shared" si="674"/>
        <v>63450</v>
      </c>
      <c r="EA277">
        <f>_xlfn.XLOOKUP(B277,'[1]march-2025'!$A:$A,'[1]march-2025'!$J:$J,0,0)</f>
        <v>0</v>
      </c>
      <c r="EB277">
        <f>_xlfn.XLOOKUP(B277,'[2]april-2025'!$A:$A,'[2]april-2025'!$J:$J,0,0)</f>
        <v>0</v>
      </c>
      <c r="EC277">
        <f>_xlfn.XLOOKUP(B277,'[3]may-2025'!$A:$A,'[3]may-2025'!$J:$J,0,0)</f>
        <v>0</v>
      </c>
      <c r="ED277">
        <f>_xlfn.XLOOKUP(B277,'[4]june-2025'!$A:$A,'[4]june-2025'!$J:$J,0,0)</f>
        <v>0</v>
      </c>
      <c r="EE277">
        <f>_xlfn.XLOOKUP(B277,'[5]july-2025'!$A:$A,'[5]july-2025'!$J:$J,0,0)</f>
        <v>0</v>
      </c>
      <c r="EF277">
        <f>_xlfn.XLOOKUP(B277,'[6]august-2025'!$A:$A,'[6]august-2025'!$J:$J,0,0)</f>
        <v>0</v>
      </c>
      <c r="EG277">
        <f>_xlfn.XLOOKUP(B277,'[7]september-2025'!$A:$A,'[7]september-2025'!$J:$J,0,0)</f>
        <v>0</v>
      </c>
      <c r="EH277">
        <f>_xlfn.XLOOKUP(B277,'[8]october-2025'!$A:$A,'[8]october-2025'!$J:$J,0,0)</f>
        <v>0</v>
      </c>
      <c r="EI277">
        <f>_xlfn.XLOOKUP(C277,'[9]november-2025'!$A:$A,'[9]november-2025'!$J:$J,0,0)</f>
        <v>0</v>
      </c>
      <c r="EJ277">
        <f>_xlfn.XLOOKUP(B277,'[10]december-2025'!$A:$A,'[10]december-2025'!$J:$J,0,0)</f>
        <v>0</v>
      </c>
      <c r="EK277">
        <f>_xlfn.XLOOKUP(B277,'[11]january-2026'!$A:$A,'[11]january-2026'!$J:$J,0,0)</f>
        <v>0</v>
      </c>
      <c r="EL277">
        <f>_xlfn.XLOOKUP(B277,'[12]february-2026'!$A:$A,'[12]february-2026'!$J:$J,0,0)</f>
        <v>0</v>
      </c>
      <c r="EM277">
        <f t="shared" si="628"/>
        <v>0</v>
      </c>
      <c r="EN277">
        <f t="shared" si="618"/>
        <v>762148</v>
      </c>
      <c r="EO277">
        <f t="shared" si="619"/>
        <v>2400</v>
      </c>
      <c r="EP277">
        <f t="shared" si="675"/>
        <v>50000</v>
      </c>
      <c r="EQ277">
        <v>0</v>
      </c>
      <c r="ER277">
        <f t="shared" si="629"/>
        <v>709748</v>
      </c>
      <c r="ES277">
        <f t="shared" si="620"/>
        <v>70000</v>
      </c>
      <c r="ET277">
        <f t="shared" si="621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676"/>
        <v>70720</v>
      </c>
      <c r="FF277">
        <f t="shared" si="677"/>
        <v>70720</v>
      </c>
      <c r="FG277">
        <f t="shared" si="678"/>
        <v>639028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622"/>
        <v>0</v>
      </c>
      <c r="FP277">
        <f t="shared" si="679"/>
        <v>639028</v>
      </c>
      <c r="FQ277">
        <f t="shared" si="680"/>
        <v>12500</v>
      </c>
      <c r="FR277">
        <f t="shared" si="681"/>
        <v>27806</v>
      </c>
      <c r="FS277">
        <f t="shared" si="682"/>
        <v>40306</v>
      </c>
      <c r="FT277">
        <f t="shared" si="683"/>
        <v>40306</v>
      </c>
      <c r="FU277">
        <f t="shared" si="684"/>
        <v>1612.24</v>
      </c>
      <c r="FV277">
        <f t="shared" si="685"/>
        <v>41918</v>
      </c>
      <c r="FW277">
        <v>0</v>
      </c>
      <c r="FX277">
        <f t="shared" si="686"/>
        <v>41918</v>
      </c>
      <c r="FY277" t="b">
        <f t="shared" si="687"/>
        <v>1</v>
      </c>
      <c r="FZ277">
        <f t="shared" ca="1" si="688"/>
        <v>575</v>
      </c>
      <c r="GA277">
        <f t="shared" ca="1" si="689"/>
        <v>762723</v>
      </c>
      <c r="GB277">
        <f t="shared" si="690"/>
        <v>75000</v>
      </c>
      <c r="GC277">
        <f t="shared" ca="1" si="691"/>
        <v>687723</v>
      </c>
      <c r="GD277">
        <f t="shared" ca="1" si="692"/>
        <v>0</v>
      </c>
      <c r="GE277">
        <f t="shared" ca="1" si="693"/>
        <v>0</v>
      </c>
      <c r="GF277">
        <f t="shared" ca="1" si="694"/>
        <v>0</v>
      </c>
      <c r="GG277">
        <f t="shared" ca="1" si="695"/>
        <v>0</v>
      </c>
      <c r="GH277">
        <f t="shared" ca="1" si="696"/>
        <v>0</v>
      </c>
      <c r="GI277">
        <f t="shared" ca="1" si="697"/>
        <v>0</v>
      </c>
      <c r="GJ277">
        <f t="shared" ca="1" si="623"/>
        <v>0</v>
      </c>
      <c r="GK277">
        <f t="shared" ca="1" si="698"/>
        <v>0</v>
      </c>
      <c r="GL277">
        <f t="shared" ca="1" si="699"/>
        <v>0</v>
      </c>
      <c r="GM277">
        <f t="shared" ca="1" si="700"/>
        <v>0</v>
      </c>
      <c r="GN277">
        <f t="shared" ca="1" si="701"/>
        <v>287723</v>
      </c>
      <c r="GO277">
        <f t="shared" ca="1" si="702"/>
        <v>14386.150000000001</v>
      </c>
      <c r="GP277">
        <f t="shared" ca="1" si="703"/>
        <v>14386</v>
      </c>
      <c r="GQ277">
        <f t="shared" ca="1" si="704"/>
        <v>0</v>
      </c>
      <c r="GR277">
        <f t="shared" ca="1" si="705"/>
        <v>0</v>
      </c>
      <c r="GS277">
        <f t="shared" ca="1" si="706"/>
        <v>14386</v>
      </c>
      <c r="GT277">
        <f t="shared" ca="1" si="707"/>
        <v>0</v>
      </c>
      <c r="GU277" t="b">
        <f t="shared" ca="1" si="708"/>
        <v>0</v>
      </c>
      <c r="GV277">
        <f t="shared" ca="1" si="709"/>
        <v>0</v>
      </c>
      <c r="GW277">
        <f t="shared" ca="1" si="710"/>
        <v>14386</v>
      </c>
      <c r="GX277">
        <f t="shared" ca="1" si="711"/>
        <v>0</v>
      </c>
      <c r="GY277">
        <f t="shared" ca="1" si="712"/>
        <v>0</v>
      </c>
      <c r="GZ277">
        <f t="shared" ca="1" si="713"/>
        <v>0</v>
      </c>
    </row>
    <row r="278" spans="1:208" x14ac:dyDescent="0.3">
      <c r="A278">
        <f>_xlfn.AGGREGATE(3,5,$B$2:B278)</f>
        <v>277</v>
      </c>
      <c r="B278" t="s">
        <v>654</v>
      </c>
      <c r="C278" t="s">
        <v>655</v>
      </c>
      <c r="D278" t="s">
        <v>822</v>
      </c>
      <c r="E278" t="s">
        <v>831</v>
      </c>
      <c r="F278" t="s">
        <v>956</v>
      </c>
      <c r="G278" t="s">
        <v>884</v>
      </c>
      <c r="H278">
        <f t="shared" si="715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630"/>
        <v>7028.0000000000009</v>
      </c>
      <c r="L278">
        <f t="shared" si="631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608"/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714"/>
        <v>200</v>
      </c>
      <c r="S278">
        <f t="shared" si="624"/>
        <v>58552</v>
      </c>
      <c r="T278">
        <f>_xlfn.XLOOKUP(B278,'[2]april-2025'!$A:$A,'[2]april-2025'!$C:$C,0,0)</f>
        <v>50200</v>
      </c>
      <c r="U278">
        <f t="shared" si="632"/>
        <v>9036</v>
      </c>
      <c r="V278">
        <f t="shared" si="633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625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634"/>
        <v>200</v>
      </c>
      <c r="AC278">
        <f t="shared" si="635"/>
        <v>60560</v>
      </c>
      <c r="AD278">
        <f>_xlfn.XLOOKUP(B278,'[3]may-2025'!$A:$A,'[3]may-2025'!$C:$C,0,0)</f>
        <v>50200</v>
      </c>
      <c r="AE278">
        <f t="shared" si="636"/>
        <v>9036</v>
      </c>
      <c r="AF278">
        <f t="shared" si="637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626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638"/>
        <v>200</v>
      </c>
      <c r="AM278">
        <f t="shared" si="639"/>
        <v>60560</v>
      </c>
      <c r="AN278">
        <f>_xlfn.XLOOKUP(B278,'[4]june-2025'!$A:$A,'[4]june-2025'!$C:$C,0,0)</f>
        <v>50200</v>
      </c>
      <c r="AO278">
        <f t="shared" si="640"/>
        <v>9036</v>
      </c>
      <c r="AP278">
        <f t="shared" si="64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627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642"/>
        <v>200</v>
      </c>
      <c r="AW278">
        <f t="shared" si="643"/>
        <v>60560</v>
      </c>
      <c r="AX278">
        <f>_xlfn.XLOOKUP(B278,'[5]july-2025'!$A:$A,'[5]july-2025'!$C:$C,0,0)</f>
        <v>51700</v>
      </c>
      <c r="AY278">
        <f t="shared" si="644"/>
        <v>9306</v>
      </c>
      <c r="AZ278">
        <v>0</v>
      </c>
      <c r="BA278">
        <f t="shared" si="645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609"/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646"/>
        <v>200</v>
      </c>
      <c r="BH278">
        <f t="shared" si="647"/>
        <v>62510</v>
      </c>
      <c r="BI278">
        <f>_xlfn.XLOOKUP(B278,'[6]august-2025'!$A:$A,'[6]august-2025'!$C:$C,0,0)</f>
        <v>51700</v>
      </c>
      <c r="BJ278">
        <f t="shared" si="648"/>
        <v>9306</v>
      </c>
      <c r="BK278">
        <f t="shared" si="649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650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610"/>
        <v>200</v>
      </c>
      <c r="BR278">
        <f t="shared" si="611"/>
        <v>62510</v>
      </c>
      <c r="BS278">
        <f>_xlfn.XLOOKUP(B278,'[7]september-2025'!$A:$A,'[7]september-2025'!$C:$C,0,0)</f>
        <v>51700</v>
      </c>
      <c r="BT278">
        <f t="shared" si="651"/>
        <v>9306</v>
      </c>
      <c r="BU278">
        <f t="shared" si="652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612"/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653"/>
        <v>200</v>
      </c>
      <c r="CB278">
        <f t="shared" si="654"/>
        <v>62510</v>
      </c>
      <c r="CC278">
        <f>_xlfn.XLOOKUP(B278,'[8]october-2025'!$A:$A,'[8]october-2025'!$C:$C,0,0)</f>
        <v>51700</v>
      </c>
      <c r="CD278">
        <f t="shared" si="655"/>
        <v>9306</v>
      </c>
      <c r="CE278">
        <f t="shared" si="656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613"/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657"/>
        <v>200</v>
      </c>
      <c r="CL278">
        <f t="shared" si="658"/>
        <v>62510</v>
      </c>
      <c r="CM278">
        <f>_xlfn.XLOOKUP(B278,'[9]november-2025'!$A:$A,'[9]november-2025'!$C:$C,0,0)</f>
        <v>51700</v>
      </c>
      <c r="CN278">
        <f t="shared" si="659"/>
        <v>9306</v>
      </c>
      <c r="CO278">
        <f t="shared" si="660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614"/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661"/>
        <v>200</v>
      </c>
      <c r="CV278">
        <f t="shared" si="662"/>
        <v>62510</v>
      </c>
      <c r="CW278">
        <f>_xlfn.XLOOKUP(B278,'[10]december-2025'!$A:$A,'[10]december-2025'!$C:$C,0,0)</f>
        <v>51700</v>
      </c>
      <c r="CX278">
        <f t="shared" si="663"/>
        <v>9306</v>
      </c>
      <c r="CY278">
        <f t="shared" si="664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615"/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665"/>
        <v>200</v>
      </c>
      <c r="DF278">
        <f t="shared" si="666"/>
        <v>62510</v>
      </c>
      <c r="DG278">
        <f>_xlfn.XLOOKUP(B278,'[11]january-2026'!$A:$A,'[11]january-2026'!$C:$C,0,0)</f>
        <v>51700</v>
      </c>
      <c r="DH278">
        <f t="shared" si="667"/>
        <v>9306</v>
      </c>
      <c r="DI278">
        <f t="shared" si="668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16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69"/>
        <v>200</v>
      </c>
      <c r="DP278">
        <f t="shared" si="670"/>
        <v>62510</v>
      </c>
      <c r="DQ278">
        <f>_xlfn.XLOOKUP(B278,'[12]february-2026'!$A:$A,'[12]february-2026'!$C:$C,0,0)</f>
        <v>51700</v>
      </c>
      <c r="DR278">
        <f t="shared" si="671"/>
        <v>9306</v>
      </c>
      <c r="DS278">
        <f t="shared" si="672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617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673"/>
        <v>200</v>
      </c>
      <c r="DZ278">
        <f t="shared" si="674"/>
        <v>62510</v>
      </c>
      <c r="EA278">
        <f>_xlfn.XLOOKUP(B278,'[1]march-2025'!$A:$A,'[1]march-2025'!$J:$J,0,0)</f>
        <v>0</v>
      </c>
      <c r="EB278">
        <f>_xlfn.XLOOKUP(B278,'[2]april-2025'!$A:$A,'[2]april-2025'!$J:$J,0,0)</f>
        <v>0</v>
      </c>
      <c r="EC278">
        <f>_xlfn.XLOOKUP(B278,'[3]may-2025'!$A:$A,'[3]may-2025'!$J:$J,0,0)</f>
        <v>0</v>
      </c>
      <c r="ED278">
        <f>_xlfn.XLOOKUP(B278,'[4]june-2025'!$A:$A,'[4]june-2025'!$J:$J,0,0)</f>
        <v>0</v>
      </c>
      <c r="EE278">
        <f>_xlfn.XLOOKUP(B278,'[5]july-2025'!$A:$A,'[5]july-2025'!$J:$J,0,0)</f>
        <v>0</v>
      </c>
      <c r="EF278">
        <f>_xlfn.XLOOKUP(B278,'[6]august-2025'!$A:$A,'[6]august-2025'!$J:$J,0,0)</f>
        <v>0</v>
      </c>
      <c r="EG278">
        <f>_xlfn.XLOOKUP(B278,'[7]september-2025'!$A:$A,'[7]september-2025'!$J:$J,0,0)</f>
        <v>0</v>
      </c>
      <c r="EH278">
        <f>_xlfn.XLOOKUP(B278,'[8]october-2025'!$A:$A,'[8]october-2025'!$J:$J,0,0)</f>
        <v>0</v>
      </c>
      <c r="EI278">
        <f>_xlfn.XLOOKUP(C278,'[9]november-2025'!$A:$A,'[9]november-2025'!$J:$J,0,0)</f>
        <v>0</v>
      </c>
      <c r="EJ278">
        <f>_xlfn.XLOOKUP(B278,'[10]december-2025'!$A:$A,'[10]december-2025'!$J:$J,0,0)</f>
        <v>0</v>
      </c>
      <c r="EK278">
        <f>_xlfn.XLOOKUP(B278,'[11]january-2026'!$A:$A,'[11]january-2026'!$J:$J,0,0)</f>
        <v>0</v>
      </c>
      <c r="EL278">
        <f>_xlfn.XLOOKUP(B278,'[12]february-2026'!$A:$A,'[12]february-2026'!$J:$J,0,0)</f>
        <v>0</v>
      </c>
      <c r="EM278">
        <f t="shared" si="628"/>
        <v>0</v>
      </c>
      <c r="EN278">
        <f t="shared" si="618"/>
        <v>809512</v>
      </c>
      <c r="EO278">
        <f t="shared" si="619"/>
        <v>2400</v>
      </c>
      <c r="EP278">
        <f t="shared" si="675"/>
        <v>50000</v>
      </c>
      <c r="EQ278">
        <v>0</v>
      </c>
      <c r="ER278">
        <f t="shared" si="629"/>
        <v>757112</v>
      </c>
      <c r="ES278">
        <f t="shared" si="620"/>
        <v>60000</v>
      </c>
      <c r="ET278">
        <f t="shared" si="621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676"/>
        <v>60000</v>
      </c>
      <c r="FF278">
        <f t="shared" si="677"/>
        <v>60000</v>
      </c>
      <c r="FG278">
        <f t="shared" si="678"/>
        <v>697112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622"/>
        <v>0</v>
      </c>
      <c r="FP278">
        <f t="shared" si="679"/>
        <v>697112</v>
      </c>
      <c r="FQ278">
        <f t="shared" si="680"/>
        <v>12500</v>
      </c>
      <c r="FR278">
        <f t="shared" si="681"/>
        <v>39422</v>
      </c>
      <c r="FS278">
        <f t="shared" si="682"/>
        <v>51922</v>
      </c>
      <c r="FT278">
        <f t="shared" si="683"/>
        <v>51922</v>
      </c>
      <c r="FU278">
        <f t="shared" si="684"/>
        <v>2076.88</v>
      </c>
      <c r="FV278">
        <f t="shared" si="685"/>
        <v>53999</v>
      </c>
      <c r="FW278">
        <v>0</v>
      </c>
      <c r="FX278">
        <f t="shared" si="686"/>
        <v>53999</v>
      </c>
      <c r="FY278" t="b">
        <f t="shared" si="687"/>
        <v>1</v>
      </c>
      <c r="FZ278">
        <f t="shared" ca="1" si="688"/>
        <v>584</v>
      </c>
      <c r="GA278">
        <f t="shared" ca="1" si="689"/>
        <v>810096</v>
      </c>
      <c r="GB278">
        <f t="shared" si="690"/>
        <v>75000</v>
      </c>
      <c r="GC278">
        <f t="shared" ca="1" si="691"/>
        <v>735096</v>
      </c>
      <c r="GD278">
        <f t="shared" ca="1" si="692"/>
        <v>0</v>
      </c>
      <c r="GE278">
        <f t="shared" ca="1" si="693"/>
        <v>0</v>
      </c>
      <c r="GF278">
        <f t="shared" ca="1" si="694"/>
        <v>0</v>
      </c>
      <c r="GG278">
        <f t="shared" ca="1" si="695"/>
        <v>0</v>
      </c>
      <c r="GH278">
        <f t="shared" ca="1" si="696"/>
        <v>0</v>
      </c>
      <c r="GI278">
        <f t="shared" ca="1" si="697"/>
        <v>0</v>
      </c>
      <c r="GJ278">
        <f t="shared" ca="1" si="623"/>
        <v>0</v>
      </c>
      <c r="GK278">
        <f t="shared" ca="1" si="698"/>
        <v>0</v>
      </c>
      <c r="GL278">
        <f t="shared" ca="1" si="699"/>
        <v>0</v>
      </c>
      <c r="GM278">
        <f t="shared" ca="1" si="700"/>
        <v>0</v>
      </c>
      <c r="GN278">
        <f t="shared" ca="1" si="701"/>
        <v>335096</v>
      </c>
      <c r="GO278">
        <f t="shared" ca="1" si="702"/>
        <v>16754.8</v>
      </c>
      <c r="GP278">
        <f t="shared" ca="1" si="703"/>
        <v>16755</v>
      </c>
      <c r="GQ278">
        <f t="shared" ca="1" si="704"/>
        <v>0</v>
      </c>
      <c r="GR278">
        <f t="shared" ca="1" si="705"/>
        <v>0</v>
      </c>
      <c r="GS278">
        <f t="shared" ca="1" si="706"/>
        <v>16755</v>
      </c>
      <c r="GT278">
        <f t="shared" ca="1" si="707"/>
        <v>0</v>
      </c>
      <c r="GU278" t="b">
        <f t="shared" ca="1" si="708"/>
        <v>0</v>
      </c>
      <c r="GV278">
        <f t="shared" ca="1" si="709"/>
        <v>0</v>
      </c>
      <c r="GW278">
        <f t="shared" ca="1" si="710"/>
        <v>16755</v>
      </c>
      <c r="GX278">
        <f t="shared" ca="1" si="711"/>
        <v>0</v>
      </c>
      <c r="GY278">
        <f t="shared" ca="1" si="712"/>
        <v>0</v>
      </c>
      <c r="GZ278">
        <f t="shared" ca="1" si="713"/>
        <v>0</v>
      </c>
    </row>
    <row r="279" spans="1:208" x14ac:dyDescent="0.3">
      <c r="A279">
        <f>_xlfn.AGGREGATE(3,5,$B$2:B279)</f>
        <v>278</v>
      </c>
      <c r="B279" t="s">
        <v>656</v>
      </c>
      <c r="C279" t="s">
        <v>657</v>
      </c>
      <c r="D279" t="s">
        <v>822</v>
      </c>
      <c r="E279" t="s">
        <v>830</v>
      </c>
      <c r="F279" t="s">
        <v>956</v>
      </c>
      <c r="G279" t="s">
        <v>885</v>
      </c>
      <c r="H279">
        <f t="shared" si="715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630"/>
        <v>4690</v>
      </c>
      <c r="L279">
        <f t="shared" si="631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608"/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714"/>
        <v>200</v>
      </c>
      <c r="S279">
        <f t="shared" si="624"/>
        <v>37510</v>
      </c>
      <c r="T279">
        <f>_xlfn.XLOOKUP(B279,'[2]april-2025'!$A:$A,'[2]april-2025'!$C:$C,0,0)</f>
        <v>33500</v>
      </c>
      <c r="U279">
        <f t="shared" si="632"/>
        <v>6030</v>
      </c>
      <c r="V279">
        <f t="shared" si="633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625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634"/>
        <v>200</v>
      </c>
      <c r="AC279">
        <f t="shared" si="635"/>
        <v>38850</v>
      </c>
      <c r="AD279">
        <f>_xlfn.XLOOKUP(B279,'[3]may-2025'!$A:$A,'[3]may-2025'!$C:$C,0,0)</f>
        <v>33500</v>
      </c>
      <c r="AE279">
        <f t="shared" si="636"/>
        <v>6030</v>
      </c>
      <c r="AF279">
        <f t="shared" si="637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626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638"/>
        <v>200</v>
      </c>
      <c r="AM279">
        <f t="shared" si="639"/>
        <v>38850</v>
      </c>
      <c r="AN279">
        <f>_xlfn.XLOOKUP(B279,'[4]june-2025'!$A:$A,'[4]june-2025'!$C:$C,0,0)</f>
        <v>33500</v>
      </c>
      <c r="AO279">
        <f t="shared" si="640"/>
        <v>6030</v>
      </c>
      <c r="AP279">
        <f t="shared" si="64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627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642"/>
        <v>200</v>
      </c>
      <c r="AW279">
        <f t="shared" si="643"/>
        <v>38850</v>
      </c>
      <c r="AX279">
        <f>_xlfn.XLOOKUP(B279,'[5]july-2025'!$A:$A,'[5]july-2025'!$C:$C,0,0)</f>
        <v>34500</v>
      </c>
      <c r="AY279">
        <f t="shared" si="644"/>
        <v>6210</v>
      </c>
      <c r="AZ279">
        <v>0</v>
      </c>
      <c r="BA279">
        <f t="shared" si="645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609"/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646"/>
        <v>200</v>
      </c>
      <c r="BH279">
        <f t="shared" si="647"/>
        <v>40150</v>
      </c>
      <c r="BI279">
        <f>_xlfn.XLOOKUP(B279,'[6]august-2025'!$A:$A,'[6]august-2025'!$C:$C,0,0)</f>
        <v>34500</v>
      </c>
      <c r="BJ279">
        <f t="shared" si="648"/>
        <v>6210</v>
      </c>
      <c r="BK279">
        <f t="shared" si="649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650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 t="shared" si="610"/>
        <v>200</v>
      </c>
      <c r="BR279">
        <f t="shared" si="611"/>
        <v>40150</v>
      </c>
      <c r="BS279">
        <f>_xlfn.XLOOKUP(B279,'[7]september-2025'!$A:$A,'[7]september-2025'!$C:$C,0,0)</f>
        <v>34500</v>
      </c>
      <c r="BT279">
        <f t="shared" si="651"/>
        <v>6210</v>
      </c>
      <c r="BU279">
        <f t="shared" si="652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612"/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653"/>
        <v>200</v>
      </c>
      <c r="CB279">
        <f t="shared" si="654"/>
        <v>40150</v>
      </c>
      <c r="CC279">
        <f>_xlfn.XLOOKUP(B279,'[8]october-2025'!$A:$A,'[8]october-2025'!$C:$C,0,0)</f>
        <v>34500</v>
      </c>
      <c r="CD279">
        <f t="shared" si="655"/>
        <v>6210</v>
      </c>
      <c r="CE279">
        <f t="shared" si="656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613"/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657"/>
        <v>200</v>
      </c>
      <c r="CL279">
        <f t="shared" si="658"/>
        <v>40150</v>
      </c>
      <c r="CM279">
        <f>_xlfn.XLOOKUP(B279,'[9]november-2025'!$A:$A,'[9]november-2025'!$C:$C,0,0)</f>
        <v>34500</v>
      </c>
      <c r="CN279">
        <f t="shared" si="659"/>
        <v>6210</v>
      </c>
      <c r="CO279">
        <f t="shared" si="660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614"/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661"/>
        <v>200</v>
      </c>
      <c r="CV279">
        <f t="shared" si="662"/>
        <v>40150</v>
      </c>
      <c r="CW279">
        <f>_xlfn.XLOOKUP(B279,'[10]december-2025'!$A:$A,'[10]december-2025'!$C:$C,0,0)</f>
        <v>34500</v>
      </c>
      <c r="CX279">
        <f t="shared" si="663"/>
        <v>6210</v>
      </c>
      <c r="CY279">
        <f t="shared" si="664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615"/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665"/>
        <v>200</v>
      </c>
      <c r="DF279">
        <f t="shared" si="666"/>
        <v>40150</v>
      </c>
      <c r="DG279">
        <f>_xlfn.XLOOKUP(B279,'[11]january-2026'!$A:$A,'[11]january-2026'!$C:$C,0,0)</f>
        <v>34500</v>
      </c>
      <c r="DH279">
        <f t="shared" si="667"/>
        <v>6210</v>
      </c>
      <c r="DI279">
        <f t="shared" si="668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16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69"/>
        <v>200</v>
      </c>
      <c r="DP279">
        <f t="shared" si="670"/>
        <v>40150</v>
      </c>
      <c r="DQ279">
        <f>_xlfn.XLOOKUP(B279,'[12]february-2026'!$A:$A,'[12]february-2026'!$C:$C,0,0)</f>
        <v>34500</v>
      </c>
      <c r="DR279">
        <f t="shared" si="671"/>
        <v>6210</v>
      </c>
      <c r="DS279">
        <f t="shared" si="672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617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673"/>
        <v>200</v>
      </c>
      <c r="DZ279">
        <f t="shared" si="674"/>
        <v>40150</v>
      </c>
      <c r="EA279">
        <f>_xlfn.XLOOKUP(B279,'[1]march-2025'!$A:$A,'[1]march-2025'!$J:$J,0,0)</f>
        <v>0</v>
      </c>
      <c r="EB279">
        <f>_xlfn.XLOOKUP(B279,'[2]april-2025'!$A:$A,'[2]april-2025'!$J:$J,0,0)</f>
        <v>0</v>
      </c>
      <c r="EC279">
        <f>_xlfn.XLOOKUP(B279,'[3]may-2025'!$A:$A,'[3]may-2025'!$J:$J,0,0)</f>
        <v>0</v>
      </c>
      <c r="ED279">
        <f>_xlfn.XLOOKUP(B279,'[4]june-2025'!$A:$A,'[4]june-2025'!$J:$J,0,0)</f>
        <v>0</v>
      </c>
      <c r="EE279">
        <f>_xlfn.XLOOKUP(B279,'[5]july-2025'!$A:$A,'[5]july-2025'!$J:$J,0,0)</f>
        <v>0</v>
      </c>
      <c r="EF279">
        <f>_xlfn.XLOOKUP(B279,'[6]august-2025'!$A:$A,'[6]august-2025'!$J:$J,0,0)</f>
        <v>0</v>
      </c>
      <c r="EG279">
        <f>_xlfn.XLOOKUP(B279,'[7]september-2025'!$A:$A,'[7]september-2025'!$J:$J,0,0)</f>
        <v>0</v>
      </c>
      <c r="EH279">
        <f>_xlfn.XLOOKUP(B279,'[8]october-2025'!$A:$A,'[8]october-2025'!$J:$J,0,0)</f>
        <v>0</v>
      </c>
      <c r="EI279">
        <f>_xlfn.XLOOKUP(C279,'[9]november-2025'!$A:$A,'[9]november-2025'!$J:$J,0,0)</f>
        <v>0</v>
      </c>
      <c r="EJ279">
        <f>_xlfn.XLOOKUP(B279,'[10]december-2025'!$A:$A,'[10]december-2025'!$J:$J,0,0)</f>
        <v>0</v>
      </c>
      <c r="EK279">
        <f>_xlfn.XLOOKUP(B279,'[11]january-2026'!$A:$A,'[11]january-2026'!$J:$J,0,0)</f>
        <v>0</v>
      </c>
      <c r="EL279">
        <f>_xlfn.XLOOKUP(B279,'[12]february-2026'!$A:$A,'[12]february-2026'!$J:$J,0,0)</f>
        <v>0</v>
      </c>
      <c r="EM279">
        <f t="shared" si="628"/>
        <v>0</v>
      </c>
      <c r="EN279">
        <f t="shared" si="618"/>
        <v>544460</v>
      </c>
      <c r="EO279">
        <f t="shared" si="619"/>
        <v>2400</v>
      </c>
      <c r="EP279">
        <f t="shared" si="675"/>
        <v>50000</v>
      </c>
      <c r="EQ279">
        <v>0</v>
      </c>
      <c r="ER279">
        <f t="shared" si="629"/>
        <v>492060</v>
      </c>
      <c r="ES279">
        <f t="shared" si="620"/>
        <v>60000</v>
      </c>
      <c r="ET279">
        <f t="shared" si="621"/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676"/>
        <v>60000</v>
      </c>
      <c r="FF279">
        <f t="shared" si="677"/>
        <v>60000</v>
      </c>
      <c r="FG279">
        <f t="shared" si="678"/>
        <v>432060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622"/>
        <v>0</v>
      </c>
      <c r="FP279">
        <f t="shared" si="679"/>
        <v>432060</v>
      </c>
      <c r="FQ279">
        <f t="shared" si="680"/>
        <v>9103</v>
      </c>
      <c r="FR279">
        <f t="shared" si="681"/>
        <v>0</v>
      </c>
      <c r="FS279">
        <f t="shared" si="682"/>
        <v>9103</v>
      </c>
      <c r="FT279">
        <f t="shared" si="683"/>
        <v>0</v>
      </c>
      <c r="FU279">
        <f t="shared" si="684"/>
        <v>0</v>
      </c>
      <c r="FV279">
        <f t="shared" si="685"/>
        <v>0</v>
      </c>
      <c r="FW279">
        <v>0</v>
      </c>
      <c r="FX279">
        <f t="shared" si="686"/>
        <v>0</v>
      </c>
      <c r="FY279" t="b">
        <f t="shared" si="687"/>
        <v>1</v>
      </c>
      <c r="FZ279">
        <f t="shared" ca="1" si="688"/>
        <v>576</v>
      </c>
      <c r="GA279">
        <f t="shared" ca="1" si="689"/>
        <v>545036</v>
      </c>
      <c r="GB279">
        <f t="shared" si="690"/>
        <v>75000</v>
      </c>
      <c r="GC279">
        <f t="shared" ca="1" si="691"/>
        <v>470036</v>
      </c>
      <c r="GD279">
        <f t="shared" ca="1" si="692"/>
        <v>0</v>
      </c>
      <c r="GE279">
        <f t="shared" ca="1" si="693"/>
        <v>0</v>
      </c>
      <c r="GF279">
        <f t="shared" ca="1" si="694"/>
        <v>0</v>
      </c>
      <c r="GG279">
        <f t="shared" ca="1" si="695"/>
        <v>0</v>
      </c>
      <c r="GH279">
        <f t="shared" ca="1" si="696"/>
        <v>0</v>
      </c>
      <c r="GI279">
        <f t="shared" ca="1" si="697"/>
        <v>0</v>
      </c>
      <c r="GJ279">
        <f t="shared" ca="1" si="623"/>
        <v>0</v>
      </c>
      <c r="GK279">
        <f t="shared" ca="1" si="698"/>
        <v>0</v>
      </c>
      <c r="GL279">
        <f t="shared" ca="1" si="699"/>
        <v>0</v>
      </c>
      <c r="GM279">
        <f t="shared" ca="1" si="700"/>
        <v>0</v>
      </c>
      <c r="GN279">
        <f t="shared" ca="1" si="701"/>
        <v>70036</v>
      </c>
      <c r="GO279">
        <f t="shared" ca="1" si="702"/>
        <v>3501.8</v>
      </c>
      <c r="GP279">
        <f t="shared" ca="1" si="703"/>
        <v>3502</v>
      </c>
      <c r="GQ279">
        <f t="shared" ca="1" si="704"/>
        <v>0</v>
      </c>
      <c r="GR279">
        <f t="shared" ca="1" si="705"/>
        <v>0</v>
      </c>
      <c r="GS279">
        <f t="shared" ca="1" si="706"/>
        <v>3502</v>
      </c>
      <c r="GT279">
        <f t="shared" ca="1" si="707"/>
        <v>0</v>
      </c>
      <c r="GU279" t="b">
        <f t="shared" ca="1" si="708"/>
        <v>0</v>
      </c>
      <c r="GV279">
        <f t="shared" ca="1" si="709"/>
        <v>0</v>
      </c>
      <c r="GW279">
        <f t="shared" ca="1" si="710"/>
        <v>3502</v>
      </c>
      <c r="GX279">
        <f t="shared" ca="1" si="711"/>
        <v>0</v>
      </c>
      <c r="GY279">
        <f t="shared" ca="1" si="712"/>
        <v>0</v>
      </c>
      <c r="GZ279">
        <f t="shared" ca="1" si="713"/>
        <v>0</v>
      </c>
    </row>
    <row r="280" spans="1:208" x14ac:dyDescent="0.3">
      <c r="A280">
        <f>_xlfn.AGGREGATE(3,5,$B$2:B280)</f>
        <v>279</v>
      </c>
      <c r="B280" t="s">
        <v>658</v>
      </c>
      <c r="C280" t="s">
        <v>659</v>
      </c>
      <c r="D280" t="s">
        <v>822</v>
      </c>
      <c r="E280" t="s">
        <v>830</v>
      </c>
      <c r="F280" t="s">
        <v>956</v>
      </c>
      <c r="G280" t="s">
        <v>896</v>
      </c>
      <c r="H280">
        <f t="shared" si="715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630"/>
        <v>4690</v>
      </c>
      <c r="L280">
        <f t="shared" si="631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 t="shared" si="608"/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714"/>
        <v>200</v>
      </c>
      <c r="S280">
        <f t="shared" si="624"/>
        <v>39510</v>
      </c>
      <c r="T280">
        <f>_xlfn.XLOOKUP(B280,'[2]april-2025'!$A:$A,'[2]april-2025'!$C:$C,0,0)</f>
        <v>33500</v>
      </c>
      <c r="U280">
        <f t="shared" si="632"/>
        <v>6030</v>
      </c>
      <c r="V280">
        <f t="shared" si="633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625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634"/>
        <v>200</v>
      </c>
      <c r="AC280">
        <f t="shared" si="635"/>
        <v>40850</v>
      </c>
      <c r="AD280">
        <f>_xlfn.XLOOKUP(B280,'[3]may-2025'!$A:$A,'[3]may-2025'!$C:$C,0,0)</f>
        <v>33500</v>
      </c>
      <c r="AE280">
        <f t="shared" si="636"/>
        <v>6030</v>
      </c>
      <c r="AF280">
        <f t="shared" si="637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626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638"/>
        <v>200</v>
      </c>
      <c r="AM280">
        <f t="shared" si="639"/>
        <v>40850</v>
      </c>
      <c r="AN280">
        <f>_xlfn.XLOOKUP(B280,'[4]june-2025'!$A:$A,'[4]june-2025'!$C:$C,0,0)</f>
        <v>33500</v>
      </c>
      <c r="AO280">
        <f t="shared" si="640"/>
        <v>6030</v>
      </c>
      <c r="AP280">
        <f t="shared" si="64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627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642"/>
        <v>200</v>
      </c>
      <c r="AW280">
        <f t="shared" si="643"/>
        <v>40850</v>
      </c>
      <c r="AX280">
        <f>_xlfn.XLOOKUP(B280,'[5]july-2025'!$A:$A,'[5]july-2025'!$C:$C,0,0)</f>
        <v>34500</v>
      </c>
      <c r="AY280">
        <f t="shared" si="644"/>
        <v>6210</v>
      </c>
      <c r="AZ280">
        <v>0</v>
      </c>
      <c r="BA280">
        <f t="shared" si="645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 t="shared" si="609"/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646"/>
        <v>200</v>
      </c>
      <c r="BH280">
        <f t="shared" si="647"/>
        <v>42150</v>
      </c>
      <c r="BI280">
        <f>_xlfn.XLOOKUP(B280,'[6]august-2025'!$A:$A,'[6]august-2025'!$C:$C,0,0)</f>
        <v>34500</v>
      </c>
      <c r="BJ280">
        <f t="shared" si="648"/>
        <v>6210</v>
      </c>
      <c r="BK280">
        <f t="shared" si="649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650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 t="shared" si="610"/>
        <v>200</v>
      </c>
      <c r="BR280">
        <f t="shared" si="611"/>
        <v>42150</v>
      </c>
      <c r="BS280">
        <f>_xlfn.XLOOKUP(B280,'[7]september-2025'!$A:$A,'[7]september-2025'!$C:$C,0,0)</f>
        <v>34500</v>
      </c>
      <c r="BT280">
        <f t="shared" si="651"/>
        <v>6210</v>
      </c>
      <c r="BU280">
        <f t="shared" si="652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 t="shared" si="612"/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653"/>
        <v>200</v>
      </c>
      <c r="CB280">
        <f t="shared" si="654"/>
        <v>42150</v>
      </c>
      <c r="CC280">
        <f>_xlfn.XLOOKUP(B280,'[8]october-2025'!$A:$A,'[8]october-2025'!$C:$C,0,0)</f>
        <v>34500</v>
      </c>
      <c r="CD280">
        <f t="shared" si="655"/>
        <v>6210</v>
      </c>
      <c r="CE280">
        <f t="shared" si="656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 t="shared" si="613"/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657"/>
        <v>200</v>
      </c>
      <c r="CL280">
        <f t="shared" si="658"/>
        <v>42650</v>
      </c>
      <c r="CM280">
        <f>_xlfn.XLOOKUP(B280,'[9]november-2025'!$A:$A,'[9]november-2025'!$C:$C,0,0)</f>
        <v>34500</v>
      </c>
      <c r="CN280">
        <f t="shared" si="659"/>
        <v>6210</v>
      </c>
      <c r="CO280">
        <f t="shared" si="660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 t="shared" si="614"/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661"/>
        <v>200</v>
      </c>
      <c r="CV280">
        <f t="shared" si="662"/>
        <v>42650</v>
      </c>
      <c r="CW280">
        <f>_xlfn.XLOOKUP(B280,'[10]december-2025'!$A:$A,'[10]december-2025'!$C:$C,0,0)</f>
        <v>34500</v>
      </c>
      <c r="CX280">
        <f t="shared" si="663"/>
        <v>6210</v>
      </c>
      <c r="CY280">
        <f t="shared" si="664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 t="shared" si="615"/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665"/>
        <v>200</v>
      </c>
      <c r="DF280">
        <f t="shared" si="666"/>
        <v>42650</v>
      </c>
      <c r="DG280">
        <f>_xlfn.XLOOKUP(B280,'[11]january-2026'!$A:$A,'[11]january-2026'!$C:$C,0,0)</f>
        <v>34500</v>
      </c>
      <c r="DH280">
        <f t="shared" si="667"/>
        <v>6210</v>
      </c>
      <c r="DI280">
        <f t="shared" si="668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16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69"/>
        <v>200</v>
      </c>
      <c r="DP280">
        <f t="shared" si="670"/>
        <v>42650</v>
      </c>
      <c r="DQ280">
        <f>_xlfn.XLOOKUP(B280,'[12]february-2026'!$A:$A,'[12]february-2026'!$C:$C,0,0)</f>
        <v>34500</v>
      </c>
      <c r="DR280">
        <f t="shared" si="671"/>
        <v>6210</v>
      </c>
      <c r="DS280">
        <f t="shared" si="672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617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673"/>
        <v>200</v>
      </c>
      <c r="DZ280">
        <f t="shared" si="674"/>
        <v>42650</v>
      </c>
      <c r="EA280">
        <f>_xlfn.XLOOKUP(B280,'[1]march-2025'!$A:$A,'[1]march-2025'!$J:$J,0,0)</f>
        <v>0</v>
      </c>
      <c r="EB280">
        <f>_xlfn.XLOOKUP(B280,'[2]april-2025'!$A:$A,'[2]april-2025'!$J:$J,0,0)</f>
        <v>0</v>
      </c>
      <c r="EC280">
        <f>_xlfn.XLOOKUP(B280,'[3]may-2025'!$A:$A,'[3]may-2025'!$J:$J,0,0)</f>
        <v>0</v>
      </c>
      <c r="ED280">
        <f>_xlfn.XLOOKUP(B280,'[4]june-2025'!$A:$A,'[4]june-2025'!$J:$J,0,0)</f>
        <v>0</v>
      </c>
      <c r="EE280">
        <f>_xlfn.XLOOKUP(B280,'[5]july-2025'!$A:$A,'[5]july-2025'!$J:$J,0,0)</f>
        <v>0</v>
      </c>
      <c r="EF280">
        <f>_xlfn.XLOOKUP(B280,'[6]august-2025'!$A:$A,'[6]august-2025'!$J:$J,0,0)</f>
        <v>0</v>
      </c>
      <c r="EG280">
        <f>_xlfn.XLOOKUP(B280,'[7]september-2025'!$A:$A,'[7]september-2025'!$J:$J,0,0)</f>
        <v>0</v>
      </c>
      <c r="EH280">
        <f>_xlfn.XLOOKUP(B280,'[8]october-2025'!$A:$A,'[8]october-2025'!$J:$J,0,0)</f>
        <v>0</v>
      </c>
      <c r="EI280">
        <f>_xlfn.XLOOKUP(C280,'[9]november-2025'!$A:$A,'[9]november-2025'!$J:$J,0,0)</f>
        <v>0</v>
      </c>
      <c r="EJ280">
        <f>_xlfn.XLOOKUP(B280,'[10]december-2025'!$A:$A,'[10]december-2025'!$J:$J,0,0)</f>
        <v>0</v>
      </c>
      <c r="EK280">
        <f>_xlfn.XLOOKUP(B280,'[11]january-2026'!$A:$A,'[11]january-2026'!$J:$J,0,0)</f>
        <v>0</v>
      </c>
      <c r="EL280">
        <f>_xlfn.XLOOKUP(B280,'[12]february-2026'!$A:$A,'[12]february-2026'!$J:$J,0,0)</f>
        <v>0</v>
      </c>
      <c r="EM280">
        <f t="shared" si="628"/>
        <v>0</v>
      </c>
      <c r="EN280">
        <f t="shared" si="618"/>
        <v>544460</v>
      </c>
      <c r="EO280">
        <f t="shared" si="619"/>
        <v>2400</v>
      </c>
      <c r="EP280">
        <f t="shared" si="675"/>
        <v>50000</v>
      </c>
      <c r="EQ280">
        <v>0</v>
      </c>
      <c r="ER280">
        <f t="shared" si="629"/>
        <v>492060</v>
      </c>
      <c r="ES280">
        <f t="shared" si="620"/>
        <v>33500</v>
      </c>
      <c r="ET280">
        <f t="shared" si="621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676"/>
        <v>33500</v>
      </c>
      <c r="FF280">
        <f t="shared" si="677"/>
        <v>33500</v>
      </c>
      <c r="FG280">
        <f t="shared" si="678"/>
        <v>458560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622"/>
        <v>0</v>
      </c>
      <c r="FP280">
        <f t="shared" si="679"/>
        <v>458560</v>
      </c>
      <c r="FQ280">
        <f t="shared" si="680"/>
        <v>10428</v>
      </c>
      <c r="FR280">
        <f t="shared" si="681"/>
        <v>0</v>
      </c>
      <c r="FS280">
        <f t="shared" si="682"/>
        <v>10428</v>
      </c>
      <c r="FT280">
        <f t="shared" si="683"/>
        <v>0</v>
      </c>
      <c r="FU280">
        <f t="shared" si="684"/>
        <v>0</v>
      </c>
      <c r="FV280">
        <f t="shared" si="685"/>
        <v>0</v>
      </c>
      <c r="FW280">
        <v>0</v>
      </c>
      <c r="FX280">
        <f t="shared" si="686"/>
        <v>0</v>
      </c>
      <c r="FY280" t="b">
        <f t="shared" si="687"/>
        <v>1</v>
      </c>
      <c r="FZ280">
        <f t="shared" ca="1" si="688"/>
        <v>827</v>
      </c>
      <c r="GA280">
        <f t="shared" ca="1" si="689"/>
        <v>545287</v>
      </c>
      <c r="GB280">
        <f t="shared" si="690"/>
        <v>75000</v>
      </c>
      <c r="GC280">
        <f t="shared" ca="1" si="691"/>
        <v>470287</v>
      </c>
      <c r="GD280">
        <f t="shared" ca="1" si="692"/>
        <v>0</v>
      </c>
      <c r="GE280">
        <f t="shared" ca="1" si="693"/>
        <v>0</v>
      </c>
      <c r="GF280">
        <f t="shared" ca="1" si="694"/>
        <v>0</v>
      </c>
      <c r="GG280">
        <f t="shared" ca="1" si="695"/>
        <v>0</v>
      </c>
      <c r="GH280">
        <f t="shared" ca="1" si="696"/>
        <v>0</v>
      </c>
      <c r="GI280">
        <f t="shared" ca="1" si="697"/>
        <v>0</v>
      </c>
      <c r="GJ280">
        <f t="shared" ca="1" si="623"/>
        <v>0</v>
      </c>
      <c r="GK280">
        <f t="shared" ca="1" si="698"/>
        <v>0</v>
      </c>
      <c r="GL280">
        <f t="shared" ca="1" si="699"/>
        <v>0</v>
      </c>
      <c r="GM280">
        <f t="shared" ca="1" si="700"/>
        <v>0</v>
      </c>
      <c r="GN280">
        <f t="shared" ca="1" si="701"/>
        <v>70287</v>
      </c>
      <c r="GO280">
        <f t="shared" ca="1" si="702"/>
        <v>3514.3500000000004</v>
      </c>
      <c r="GP280">
        <f t="shared" ca="1" si="703"/>
        <v>3514</v>
      </c>
      <c r="GQ280">
        <f t="shared" ca="1" si="704"/>
        <v>0</v>
      </c>
      <c r="GR280">
        <f t="shared" ca="1" si="705"/>
        <v>0</v>
      </c>
      <c r="GS280">
        <f t="shared" ca="1" si="706"/>
        <v>3514</v>
      </c>
      <c r="GT280">
        <f t="shared" ca="1" si="707"/>
        <v>0</v>
      </c>
      <c r="GU280" t="b">
        <f t="shared" ca="1" si="708"/>
        <v>0</v>
      </c>
      <c r="GV280">
        <f t="shared" ca="1" si="709"/>
        <v>0</v>
      </c>
      <c r="GW280">
        <f t="shared" ca="1" si="710"/>
        <v>3514</v>
      </c>
      <c r="GX280">
        <f t="shared" ca="1" si="711"/>
        <v>0</v>
      </c>
      <c r="GY280">
        <f t="shared" ca="1" si="712"/>
        <v>0</v>
      </c>
      <c r="GZ280">
        <f t="shared" ca="1" si="713"/>
        <v>0</v>
      </c>
    </row>
    <row r="281" spans="1:208" x14ac:dyDescent="0.3">
      <c r="A281">
        <f>_xlfn.AGGREGATE(3,5,$B$2:B281)</f>
        <v>280</v>
      </c>
      <c r="B281" t="s">
        <v>660</v>
      </c>
      <c r="C281" t="s">
        <v>661</v>
      </c>
      <c r="D281" t="s">
        <v>822</v>
      </c>
      <c r="E281" t="s">
        <v>833</v>
      </c>
      <c r="F281" t="s">
        <v>956</v>
      </c>
      <c r="G281" t="s">
        <v>878</v>
      </c>
      <c r="H281">
        <f t="shared" si="715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630"/>
        <v>3780.0000000000005</v>
      </c>
      <c r="L281">
        <f t="shared" si="631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608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714"/>
        <v>150</v>
      </c>
      <c r="S281">
        <f t="shared" si="624"/>
        <v>31870</v>
      </c>
      <c r="T281">
        <f>_xlfn.XLOOKUP(B281,'[2]april-2025'!$A:$A,'[2]april-2025'!$C:$C,0,0)</f>
        <v>27000</v>
      </c>
      <c r="U281">
        <f t="shared" si="632"/>
        <v>4860</v>
      </c>
      <c r="V281">
        <f t="shared" si="633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625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634"/>
        <v>150</v>
      </c>
      <c r="AC281">
        <f t="shared" si="635"/>
        <v>32950</v>
      </c>
      <c r="AD281">
        <f>_xlfn.XLOOKUP(B281,'[3]may-2025'!$A:$A,'[3]may-2025'!$C:$C,0,0)</f>
        <v>31600</v>
      </c>
      <c r="AE281">
        <f t="shared" si="636"/>
        <v>5688</v>
      </c>
      <c r="AF281">
        <f t="shared" si="637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626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638"/>
        <v>200</v>
      </c>
      <c r="AM281">
        <f t="shared" si="639"/>
        <v>38880</v>
      </c>
      <c r="AN281">
        <f>_xlfn.XLOOKUP(B281,'[4]june-2025'!$A:$A,'[4]june-2025'!$C:$C,0,0)</f>
        <v>31600</v>
      </c>
      <c r="AO281">
        <f t="shared" si="640"/>
        <v>5688</v>
      </c>
      <c r="AP281">
        <f t="shared" si="64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627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642"/>
        <v>200</v>
      </c>
      <c r="AW281">
        <f t="shared" si="643"/>
        <v>38880</v>
      </c>
      <c r="AX281">
        <f>_xlfn.XLOOKUP(B281,'[5]july-2025'!$A:$A,'[5]july-2025'!$C:$C,0,0)</f>
        <v>32500</v>
      </c>
      <c r="AY281">
        <f t="shared" si="644"/>
        <v>5850</v>
      </c>
      <c r="AZ281">
        <v>0</v>
      </c>
      <c r="BA281">
        <f t="shared" si="645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609"/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646"/>
        <v>200</v>
      </c>
      <c r="BH281">
        <f t="shared" si="647"/>
        <v>40050</v>
      </c>
      <c r="BI281">
        <f>_xlfn.XLOOKUP(B281,'[6]august-2025'!$A:$A,'[6]august-2025'!$C:$C,0,0)</f>
        <v>32500</v>
      </c>
      <c r="BJ281">
        <f t="shared" si="648"/>
        <v>5850</v>
      </c>
      <c r="BK281">
        <f t="shared" si="649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650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610"/>
        <v>200</v>
      </c>
      <c r="BR281">
        <f t="shared" si="611"/>
        <v>40050</v>
      </c>
      <c r="BS281">
        <f>_xlfn.XLOOKUP(B281,'[7]september-2025'!$A:$A,'[7]september-2025'!$C:$C,0,0)</f>
        <v>32500</v>
      </c>
      <c r="BT281">
        <f t="shared" si="651"/>
        <v>5850</v>
      </c>
      <c r="BU281">
        <f t="shared" si="652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612"/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653"/>
        <v>200</v>
      </c>
      <c r="CB281">
        <f t="shared" si="654"/>
        <v>40050</v>
      </c>
      <c r="CC281">
        <f>_xlfn.XLOOKUP(B281,'[8]october-2025'!$A:$A,'[8]october-2025'!$C:$C,0,0)</f>
        <v>32500</v>
      </c>
      <c r="CD281">
        <f t="shared" si="655"/>
        <v>5850</v>
      </c>
      <c r="CE281">
        <f t="shared" si="656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613"/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657"/>
        <v>200</v>
      </c>
      <c r="CL281">
        <f t="shared" si="658"/>
        <v>40050</v>
      </c>
      <c r="CM281">
        <f>_xlfn.XLOOKUP(B281,'[9]november-2025'!$A:$A,'[9]november-2025'!$C:$C,0,0)</f>
        <v>32500</v>
      </c>
      <c r="CN281">
        <f t="shared" si="659"/>
        <v>5850</v>
      </c>
      <c r="CO281">
        <f t="shared" si="660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614"/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661"/>
        <v>200</v>
      </c>
      <c r="CV281">
        <f t="shared" si="662"/>
        <v>40050</v>
      </c>
      <c r="CW281">
        <f>_xlfn.XLOOKUP(B281,'[10]december-2025'!$A:$A,'[10]december-2025'!$C:$C,0,0)</f>
        <v>32500</v>
      </c>
      <c r="CX281">
        <f t="shared" si="663"/>
        <v>5850</v>
      </c>
      <c r="CY281">
        <f t="shared" si="664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615"/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665"/>
        <v>200</v>
      </c>
      <c r="DF281">
        <f t="shared" si="666"/>
        <v>40050</v>
      </c>
      <c r="DG281">
        <f>_xlfn.XLOOKUP(B281,'[11]january-2026'!$A:$A,'[11]january-2026'!$C:$C,0,0)</f>
        <v>32500</v>
      </c>
      <c r="DH281">
        <f t="shared" si="667"/>
        <v>5850</v>
      </c>
      <c r="DI281">
        <f t="shared" si="668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16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69"/>
        <v>200</v>
      </c>
      <c r="DP281">
        <f t="shared" si="670"/>
        <v>40050</v>
      </c>
      <c r="DQ281">
        <f>_xlfn.XLOOKUP(B281,'[12]february-2026'!$A:$A,'[12]february-2026'!$C:$C,0,0)</f>
        <v>32500</v>
      </c>
      <c r="DR281">
        <f t="shared" si="671"/>
        <v>5850</v>
      </c>
      <c r="DS281">
        <f t="shared" si="672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617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673"/>
        <v>200</v>
      </c>
      <c r="DZ281">
        <f t="shared" si="674"/>
        <v>40050</v>
      </c>
      <c r="EA281">
        <f>_xlfn.XLOOKUP(B281,'[1]march-2025'!$A:$A,'[1]march-2025'!$J:$J,0,0)</f>
        <v>0</v>
      </c>
      <c r="EB281">
        <f>_xlfn.XLOOKUP(B281,'[2]april-2025'!$A:$A,'[2]april-2025'!$J:$J,0,0)</f>
        <v>0</v>
      </c>
      <c r="EC281">
        <f>_xlfn.XLOOKUP(B281,'[3]may-2025'!$A:$A,'[3]may-2025'!$J:$J,0,0)</f>
        <v>0</v>
      </c>
      <c r="ED281">
        <f>_xlfn.XLOOKUP(B281,'[4]june-2025'!$A:$A,'[4]june-2025'!$J:$J,0,0)</f>
        <v>0</v>
      </c>
      <c r="EE281">
        <f>_xlfn.XLOOKUP(B281,'[5]july-2025'!$A:$A,'[5]july-2025'!$J:$J,0,0)</f>
        <v>0</v>
      </c>
      <c r="EF281">
        <f>_xlfn.XLOOKUP(B281,'[6]august-2025'!$A:$A,'[6]august-2025'!$J:$J,0,0)</f>
        <v>0</v>
      </c>
      <c r="EG281">
        <f>_xlfn.XLOOKUP(B281,'[7]september-2025'!$A:$A,'[7]september-2025'!$J:$J,0,0)</f>
        <v>0</v>
      </c>
      <c r="EH281">
        <f>_xlfn.XLOOKUP(B281,'[8]october-2025'!$A:$A,'[8]october-2025'!$J:$J,0,0)</f>
        <v>0</v>
      </c>
      <c r="EI281">
        <f>_xlfn.XLOOKUP(C281,'[9]november-2025'!$A:$A,'[9]november-2025'!$J:$J,0,0)</f>
        <v>0</v>
      </c>
      <c r="EJ281">
        <f>_xlfn.XLOOKUP(B281,'[10]december-2025'!$A:$A,'[10]december-2025'!$J:$J,0,0)</f>
        <v>0</v>
      </c>
      <c r="EK281">
        <f>_xlfn.XLOOKUP(B281,'[11]january-2026'!$A:$A,'[11]january-2026'!$J:$J,0,0)</f>
        <v>0</v>
      </c>
      <c r="EL281">
        <f>_xlfn.XLOOKUP(B281,'[12]february-2026'!$A:$A,'[12]february-2026'!$J:$J,0,0)</f>
        <v>0</v>
      </c>
      <c r="EM281">
        <f t="shared" si="628"/>
        <v>0</v>
      </c>
      <c r="EN281">
        <f t="shared" si="618"/>
        <v>496080</v>
      </c>
      <c r="EO281">
        <f t="shared" si="619"/>
        <v>2300</v>
      </c>
      <c r="EP281">
        <f t="shared" si="675"/>
        <v>50000</v>
      </c>
      <c r="EQ281">
        <v>0</v>
      </c>
      <c r="ER281">
        <f t="shared" si="629"/>
        <v>443780</v>
      </c>
      <c r="ES281">
        <f t="shared" si="620"/>
        <v>24000</v>
      </c>
      <c r="ET281">
        <f t="shared" si="621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676"/>
        <v>24000</v>
      </c>
      <c r="FF281">
        <f t="shared" si="677"/>
        <v>24000</v>
      </c>
      <c r="FG281">
        <f t="shared" si="678"/>
        <v>419780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622"/>
        <v>0</v>
      </c>
      <c r="FP281">
        <f t="shared" si="679"/>
        <v>419780</v>
      </c>
      <c r="FQ281">
        <f t="shared" si="680"/>
        <v>8489</v>
      </c>
      <c r="FR281">
        <f t="shared" si="681"/>
        <v>0</v>
      </c>
      <c r="FS281">
        <f t="shared" si="682"/>
        <v>8489</v>
      </c>
      <c r="FT281">
        <f t="shared" si="683"/>
        <v>0</v>
      </c>
      <c r="FU281">
        <f t="shared" si="684"/>
        <v>0</v>
      </c>
      <c r="FV281">
        <f t="shared" si="685"/>
        <v>0</v>
      </c>
      <c r="FW281">
        <v>0</v>
      </c>
      <c r="FX281">
        <f t="shared" si="686"/>
        <v>0</v>
      </c>
      <c r="FY281" t="b">
        <f t="shared" si="687"/>
        <v>0</v>
      </c>
      <c r="FZ281">
        <f t="shared" ca="1" si="688"/>
        <v>2071</v>
      </c>
      <c r="GA281">
        <f t="shared" ca="1" si="689"/>
        <v>498151</v>
      </c>
      <c r="GB281">
        <f t="shared" si="690"/>
        <v>75000</v>
      </c>
      <c r="GC281">
        <f t="shared" ca="1" si="691"/>
        <v>423151</v>
      </c>
      <c r="GD281">
        <f t="shared" ca="1" si="692"/>
        <v>0</v>
      </c>
      <c r="GE281">
        <f t="shared" ca="1" si="693"/>
        <v>0</v>
      </c>
      <c r="GF281">
        <f t="shared" ca="1" si="694"/>
        <v>0</v>
      </c>
      <c r="GG281">
        <f t="shared" ca="1" si="695"/>
        <v>0</v>
      </c>
      <c r="GH281">
        <f t="shared" ca="1" si="696"/>
        <v>0</v>
      </c>
      <c r="GI281">
        <f t="shared" ca="1" si="697"/>
        <v>0</v>
      </c>
      <c r="GJ281">
        <f t="shared" ca="1" si="623"/>
        <v>0</v>
      </c>
      <c r="GK281">
        <f t="shared" ca="1" si="698"/>
        <v>0</v>
      </c>
      <c r="GL281">
        <f t="shared" ca="1" si="699"/>
        <v>0</v>
      </c>
      <c r="GM281">
        <f t="shared" ca="1" si="700"/>
        <v>0</v>
      </c>
      <c r="GN281">
        <f t="shared" ca="1" si="701"/>
        <v>23151</v>
      </c>
      <c r="GO281">
        <f t="shared" ca="1" si="702"/>
        <v>1157.55</v>
      </c>
      <c r="GP281">
        <f t="shared" ca="1" si="703"/>
        <v>1158</v>
      </c>
      <c r="GQ281">
        <f t="shared" ca="1" si="704"/>
        <v>0</v>
      </c>
      <c r="GR281">
        <f t="shared" ca="1" si="705"/>
        <v>0</v>
      </c>
      <c r="GS281">
        <f t="shared" ca="1" si="706"/>
        <v>1158</v>
      </c>
      <c r="GT281">
        <f t="shared" ca="1" si="707"/>
        <v>0</v>
      </c>
      <c r="GU281" t="b">
        <f t="shared" ca="1" si="708"/>
        <v>0</v>
      </c>
      <c r="GV281">
        <f t="shared" ca="1" si="709"/>
        <v>0</v>
      </c>
      <c r="GW281">
        <f t="shared" ca="1" si="710"/>
        <v>1158</v>
      </c>
      <c r="GX281">
        <f t="shared" ca="1" si="711"/>
        <v>0</v>
      </c>
      <c r="GY281">
        <f t="shared" ca="1" si="712"/>
        <v>0</v>
      </c>
      <c r="GZ281">
        <f t="shared" ca="1" si="713"/>
        <v>0</v>
      </c>
    </row>
    <row r="282" spans="1:208" x14ac:dyDescent="0.3">
      <c r="A282">
        <f>_xlfn.AGGREGATE(3,5,$B$2:B282)</f>
        <v>281</v>
      </c>
      <c r="B282" t="s">
        <v>662</v>
      </c>
      <c r="C282" t="s">
        <v>663</v>
      </c>
      <c r="D282" t="s">
        <v>822</v>
      </c>
      <c r="E282" t="s">
        <v>830</v>
      </c>
      <c r="F282" t="s">
        <v>956</v>
      </c>
      <c r="G282" t="s">
        <v>878</v>
      </c>
      <c r="H282">
        <f t="shared" si="715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630"/>
        <v>3780.0000000000005</v>
      </c>
      <c r="L282">
        <f t="shared" si="631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608"/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714"/>
        <v>150</v>
      </c>
      <c r="S282">
        <f t="shared" si="624"/>
        <v>31870</v>
      </c>
      <c r="T282">
        <f>_xlfn.XLOOKUP(B282,'[2]april-2025'!$A:$A,'[2]april-2025'!$C:$C,0,0)</f>
        <v>27000</v>
      </c>
      <c r="U282">
        <f t="shared" si="632"/>
        <v>4860</v>
      </c>
      <c r="V282">
        <f t="shared" si="633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625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634"/>
        <v>150</v>
      </c>
      <c r="AC282">
        <f t="shared" si="635"/>
        <v>32950</v>
      </c>
      <c r="AD282">
        <f>_xlfn.XLOOKUP(B282,'[3]may-2025'!$A:$A,'[3]may-2025'!$C:$C,0,0)</f>
        <v>27000</v>
      </c>
      <c r="AE282">
        <f t="shared" si="636"/>
        <v>4860</v>
      </c>
      <c r="AF282">
        <f t="shared" si="637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626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638"/>
        <v>150</v>
      </c>
      <c r="AM282">
        <f t="shared" si="639"/>
        <v>32950</v>
      </c>
      <c r="AN282">
        <f>_xlfn.XLOOKUP(B282,'[4]june-2025'!$A:$A,'[4]june-2025'!$C:$C,0,0)</f>
        <v>27000</v>
      </c>
      <c r="AO282">
        <f t="shared" si="640"/>
        <v>4860</v>
      </c>
      <c r="AP282">
        <f t="shared" si="64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627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642"/>
        <v>150</v>
      </c>
      <c r="AW282">
        <f t="shared" si="643"/>
        <v>32950</v>
      </c>
      <c r="AX282">
        <f>_xlfn.XLOOKUP(B282,'[5]july-2025'!$A:$A,'[5]july-2025'!$C:$C,0,0)</f>
        <v>27800</v>
      </c>
      <c r="AY282">
        <f t="shared" si="644"/>
        <v>5004</v>
      </c>
      <c r="AZ282">
        <v>0</v>
      </c>
      <c r="BA282">
        <f t="shared" si="645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609"/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646"/>
        <v>150</v>
      </c>
      <c r="BH282">
        <f t="shared" si="647"/>
        <v>33990</v>
      </c>
      <c r="BI282">
        <f>_xlfn.XLOOKUP(B282,'[6]august-2025'!$A:$A,'[6]august-2025'!$C:$C,0,0)</f>
        <v>27800</v>
      </c>
      <c r="BJ282">
        <f t="shared" si="648"/>
        <v>5004</v>
      </c>
      <c r="BK282">
        <f t="shared" si="649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650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 t="shared" si="610"/>
        <v>150</v>
      </c>
      <c r="BR282">
        <f t="shared" si="611"/>
        <v>33990</v>
      </c>
      <c r="BS282">
        <f>_xlfn.XLOOKUP(B282,'[7]september-2025'!$A:$A,'[7]september-2025'!$C:$C,0,0)</f>
        <v>27800</v>
      </c>
      <c r="BT282">
        <f t="shared" si="651"/>
        <v>5004</v>
      </c>
      <c r="BU282">
        <f t="shared" si="652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612"/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653"/>
        <v>150</v>
      </c>
      <c r="CB282">
        <f t="shared" si="654"/>
        <v>33990</v>
      </c>
      <c r="CC282">
        <f>_xlfn.XLOOKUP(B282,'[8]october-2025'!$A:$A,'[8]october-2025'!$C:$C,0,0)</f>
        <v>27800</v>
      </c>
      <c r="CD282">
        <f t="shared" si="655"/>
        <v>5004</v>
      </c>
      <c r="CE282">
        <f t="shared" si="656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613"/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657"/>
        <v>150</v>
      </c>
      <c r="CL282">
        <f t="shared" si="658"/>
        <v>33990</v>
      </c>
      <c r="CM282">
        <f>_xlfn.XLOOKUP(B282,'[9]november-2025'!$A:$A,'[9]november-2025'!$C:$C,0,0)</f>
        <v>27800</v>
      </c>
      <c r="CN282">
        <f t="shared" si="659"/>
        <v>5004</v>
      </c>
      <c r="CO282">
        <f t="shared" si="660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614"/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661"/>
        <v>150</v>
      </c>
      <c r="CV282">
        <f t="shared" si="662"/>
        <v>33990</v>
      </c>
      <c r="CW282">
        <f>_xlfn.XLOOKUP(B282,'[10]december-2025'!$A:$A,'[10]december-2025'!$C:$C,0,0)</f>
        <v>27800</v>
      </c>
      <c r="CX282">
        <f t="shared" si="663"/>
        <v>5004</v>
      </c>
      <c r="CY282">
        <f t="shared" si="664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615"/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665"/>
        <v>150</v>
      </c>
      <c r="DF282">
        <f t="shared" si="666"/>
        <v>33990</v>
      </c>
      <c r="DG282">
        <f>_xlfn.XLOOKUP(B282,'[11]january-2026'!$A:$A,'[11]january-2026'!$C:$C,0,0)</f>
        <v>27800</v>
      </c>
      <c r="DH282">
        <f t="shared" si="667"/>
        <v>5004</v>
      </c>
      <c r="DI282">
        <f t="shared" si="668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16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69"/>
        <v>150</v>
      </c>
      <c r="DP282">
        <f t="shared" si="670"/>
        <v>33990</v>
      </c>
      <c r="DQ282">
        <f>_xlfn.XLOOKUP(B282,'[12]february-2026'!$A:$A,'[12]february-2026'!$C:$C,0,0)</f>
        <v>27800</v>
      </c>
      <c r="DR282">
        <f t="shared" si="671"/>
        <v>5004</v>
      </c>
      <c r="DS282">
        <f t="shared" si="672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617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673"/>
        <v>150</v>
      </c>
      <c r="DZ282">
        <f t="shared" si="674"/>
        <v>33990</v>
      </c>
      <c r="EA282">
        <f>_xlfn.XLOOKUP(B282,'[1]march-2025'!$A:$A,'[1]march-2025'!$J:$J,0,0)</f>
        <v>0</v>
      </c>
      <c r="EB282">
        <f>_xlfn.XLOOKUP(B282,'[2]april-2025'!$A:$A,'[2]april-2025'!$J:$J,0,0)</f>
        <v>0</v>
      </c>
      <c r="EC282">
        <f>_xlfn.XLOOKUP(B282,'[3]may-2025'!$A:$A,'[3]may-2025'!$J:$J,0,0)</f>
        <v>0</v>
      </c>
      <c r="ED282">
        <f>_xlfn.XLOOKUP(B282,'[4]june-2025'!$A:$A,'[4]june-2025'!$J:$J,0,0)</f>
        <v>0</v>
      </c>
      <c r="EE282">
        <f>_xlfn.XLOOKUP(B282,'[5]july-2025'!$A:$A,'[5]july-2025'!$J:$J,0,0)</f>
        <v>0</v>
      </c>
      <c r="EF282">
        <f>_xlfn.XLOOKUP(B282,'[6]august-2025'!$A:$A,'[6]august-2025'!$J:$J,0,0)</f>
        <v>0</v>
      </c>
      <c r="EG282">
        <f>_xlfn.XLOOKUP(B282,'[7]september-2025'!$A:$A,'[7]september-2025'!$J:$J,0,0)</f>
        <v>0</v>
      </c>
      <c r="EH282">
        <f>_xlfn.XLOOKUP(B282,'[8]october-2025'!$A:$A,'[8]october-2025'!$J:$J,0,0)</f>
        <v>0</v>
      </c>
      <c r="EI282">
        <f>_xlfn.XLOOKUP(C282,'[9]november-2025'!$A:$A,'[9]november-2025'!$J:$J,0,0)</f>
        <v>0</v>
      </c>
      <c r="EJ282">
        <f>_xlfn.XLOOKUP(B282,'[10]december-2025'!$A:$A,'[10]december-2025'!$J:$J,0,0)</f>
        <v>0</v>
      </c>
      <c r="EK282">
        <f>_xlfn.XLOOKUP(B282,'[11]january-2026'!$A:$A,'[11]january-2026'!$J:$J,0,0)</f>
        <v>0</v>
      </c>
      <c r="EL282">
        <f>_xlfn.XLOOKUP(B282,'[12]february-2026'!$A:$A,'[12]february-2026'!$J:$J,0,0)</f>
        <v>0</v>
      </c>
      <c r="EM282">
        <f t="shared" si="628"/>
        <v>0</v>
      </c>
      <c r="EN282">
        <f t="shared" si="618"/>
        <v>435240</v>
      </c>
      <c r="EO282">
        <f t="shared" si="619"/>
        <v>1800</v>
      </c>
      <c r="EP282">
        <f t="shared" si="675"/>
        <v>50000</v>
      </c>
      <c r="EQ282">
        <v>0</v>
      </c>
      <c r="ER282">
        <f t="shared" si="629"/>
        <v>383440</v>
      </c>
      <c r="ES282">
        <f t="shared" si="620"/>
        <v>24000</v>
      </c>
      <c r="ET282">
        <f t="shared" si="621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676"/>
        <v>24000</v>
      </c>
      <c r="FF282">
        <f t="shared" si="677"/>
        <v>24000</v>
      </c>
      <c r="FG282">
        <f t="shared" si="678"/>
        <v>359440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622"/>
        <v>0</v>
      </c>
      <c r="FP282">
        <f t="shared" si="679"/>
        <v>359440</v>
      </c>
      <c r="FQ282">
        <f t="shared" si="680"/>
        <v>5472</v>
      </c>
      <c r="FR282">
        <f t="shared" si="681"/>
        <v>0</v>
      </c>
      <c r="FS282">
        <f t="shared" si="682"/>
        <v>5472</v>
      </c>
      <c r="FT282">
        <f t="shared" si="683"/>
        <v>0</v>
      </c>
      <c r="FU282">
        <f t="shared" si="684"/>
        <v>0</v>
      </c>
      <c r="FV282">
        <f t="shared" si="685"/>
        <v>0</v>
      </c>
      <c r="FW282">
        <v>0</v>
      </c>
      <c r="FX282">
        <f t="shared" si="686"/>
        <v>0</v>
      </c>
      <c r="FY282" t="b">
        <f t="shared" si="687"/>
        <v>0</v>
      </c>
      <c r="FZ282">
        <f t="shared" ca="1" si="688"/>
        <v>2775</v>
      </c>
      <c r="GA282">
        <f t="shared" ca="1" si="689"/>
        <v>438015</v>
      </c>
      <c r="GB282">
        <f t="shared" si="690"/>
        <v>75000</v>
      </c>
      <c r="GC282">
        <f t="shared" ca="1" si="691"/>
        <v>363015</v>
      </c>
      <c r="GD282">
        <f t="shared" ca="1" si="692"/>
        <v>0</v>
      </c>
      <c r="GE282">
        <f t="shared" ca="1" si="693"/>
        <v>0</v>
      </c>
      <c r="GF282">
        <f t="shared" ca="1" si="694"/>
        <v>0</v>
      </c>
      <c r="GG282">
        <f t="shared" ca="1" si="695"/>
        <v>0</v>
      </c>
      <c r="GH282">
        <f t="shared" ca="1" si="696"/>
        <v>0</v>
      </c>
      <c r="GI282">
        <f t="shared" ca="1" si="697"/>
        <v>0</v>
      </c>
      <c r="GJ282">
        <f t="shared" ca="1" si="623"/>
        <v>0</v>
      </c>
      <c r="GK282">
        <f t="shared" ca="1" si="698"/>
        <v>0</v>
      </c>
      <c r="GL282">
        <f t="shared" ca="1" si="699"/>
        <v>0</v>
      </c>
      <c r="GM282">
        <f t="shared" ca="1" si="700"/>
        <v>0</v>
      </c>
      <c r="GN282">
        <f t="shared" ca="1" si="701"/>
        <v>0</v>
      </c>
      <c r="GO282">
        <f t="shared" ca="1" si="702"/>
        <v>0</v>
      </c>
      <c r="GP282">
        <f t="shared" ca="1" si="703"/>
        <v>0</v>
      </c>
      <c r="GQ282">
        <f t="shared" ca="1" si="704"/>
        <v>0</v>
      </c>
      <c r="GR282">
        <f t="shared" ca="1" si="705"/>
        <v>0</v>
      </c>
      <c r="GS282">
        <f t="shared" ca="1" si="706"/>
        <v>0</v>
      </c>
      <c r="GT282">
        <f t="shared" ca="1" si="707"/>
        <v>0</v>
      </c>
      <c r="GU282" t="b">
        <f t="shared" ca="1" si="708"/>
        <v>0</v>
      </c>
      <c r="GV282">
        <f t="shared" ca="1" si="709"/>
        <v>0</v>
      </c>
      <c r="GW282">
        <f t="shared" ca="1" si="710"/>
        <v>0</v>
      </c>
      <c r="GX282">
        <f t="shared" ca="1" si="711"/>
        <v>0</v>
      </c>
      <c r="GY282">
        <f t="shared" ca="1" si="712"/>
        <v>0</v>
      </c>
      <c r="GZ282">
        <f t="shared" ca="1" si="713"/>
        <v>0</v>
      </c>
    </row>
    <row r="283" spans="1:208" x14ac:dyDescent="0.3">
      <c r="A283">
        <f>_xlfn.AGGREGATE(3,5,$B$2:B283)</f>
        <v>282</v>
      </c>
      <c r="B283" t="s">
        <v>664</v>
      </c>
      <c r="C283" t="s">
        <v>665</v>
      </c>
      <c r="D283" t="s">
        <v>823</v>
      </c>
      <c r="E283" t="s">
        <v>831</v>
      </c>
      <c r="F283" t="s">
        <v>956</v>
      </c>
      <c r="G283" t="s">
        <v>879</v>
      </c>
      <c r="H283">
        <f t="shared" si="715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630"/>
        <v>6622.0000000000009</v>
      </c>
      <c r="L283">
        <f t="shared" si="631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 t="shared" si="608"/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714"/>
        <v>200</v>
      </c>
      <c r="S283">
        <f t="shared" si="624"/>
        <v>56298</v>
      </c>
      <c r="T283">
        <f>_xlfn.XLOOKUP(B283,'[2]april-2025'!$A:$A,'[2]april-2025'!$C:$C,0,0)</f>
        <v>47300</v>
      </c>
      <c r="U283">
        <f t="shared" si="632"/>
        <v>8514</v>
      </c>
      <c r="V283">
        <f t="shared" si="633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625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634"/>
        <v>200</v>
      </c>
      <c r="AC283">
        <f t="shared" si="635"/>
        <v>58190</v>
      </c>
      <c r="AD283">
        <f>_xlfn.XLOOKUP(B283,'[3]may-2025'!$A:$A,'[3]may-2025'!$C:$C,0,0)</f>
        <v>47300</v>
      </c>
      <c r="AE283">
        <f t="shared" si="636"/>
        <v>8514</v>
      </c>
      <c r="AF283">
        <f t="shared" si="637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626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638"/>
        <v>200</v>
      </c>
      <c r="AM283">
        <f t="shared" si="639"/>
        <v>58190</v>
      </c>
      <c r="AN283">
        <f>_xlfn.XLOOKUP(B283,'[4]june-2025'!$A:$A,'[4]june-2025'!$C:$C,0,0)</f>
        <v>47300</v>
      </c>
      <c r="AO283">
        <f t="shared" si="640"/>
        <v>8514</v>
      </c>
      <c r="AP283">
        <f t="shared" si="64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627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642"/>
        <v>200</v>
      </c>
      <c r="AW283">
        <f t="shared" si="643"/>
        <v>58190</v>
      </c>
      <c r="AX283">
        <f>_xlfn.XLOOKUP(B283,'[5]july-2025'!$A:$A,'[5]july-2025'!$C:$C,0,0)</f>
        <v>48700</v>
      </c>
      <c r="AY283">
        <f t="shared" si="644"/>
        <v>8766</v>
      </c>
      <c r="AZ283">
        <v>0</v>
      </c>
      <c r="BA283">
        <f t="shared" si="645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 t="shared" si="609"/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646"/>
        <v>200</v>
      </c>
      <c r="BH283">
        <f t="shared" si="647"/>
        <v>60010</v>
      </c>
      <c r="BI283">
        <f>_xlfn.XLOOKUP(B283,'[6]august-2025'!$A:$A,'[6]august-2025'!$C:$C,0,0)</f>
        <v>48700</v>
      </c>
      <c r="BJ283">
        <f t="shared" si="648"/>
        <v>8766</v>
      </c>
      <c r="BK283">
        <f t="shared" si="649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650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 t="shared" si="610"/>
        <v>200</v>
      </c>
      <c r="BR283">
        <f t="shared" si="611"/>
        <v>60010</v>
      </c>
      <c r="BS283">
        <f>_xlfn.XLOOKUP(B283,'[7]september-2025'!$A:$A,'[7]september-2025'!$C:$C,0,0)</f>
        <v>48700</v>
      </c>
      <c r="BT283">
        <f t="shared" si="651"/>
        <v>8766</v>
      </c>
      <c r="BU283">
        <f t="shared" si="652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 t="shared" si="612"/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653"/>
        <v>200</v>
      </c>
      <c r="CB283">
        <f t="shared" si="654"/>
        <v>60010</v>
      </c>
      <c r="CC283">
        <f>_xlfn.XLOOKUP(B283,'[8]october-2025'!$A:$A,'[8]october-2025'!$C:$C,0,0)</f>
        <v>48700</v>
      </c>
      <c r="CD283">
        <f t="shared" si="655"/>
        <v>8766</v>
      </c>
      <c r="CE283">
        <f t="shared" si="656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 t="shared" si="613"/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657"/>
        <v>200</v>
      </c>
      <c r="CL283">
        <f t="shared" si="658"/>
        <v>60010</v>
      </c>
      <c r="CM283">
        <f>_xlfn.XLOOKUP(B283,'[9]november-2025'!$A:$A,'[9]november-2025'!$C:$C,0,0)</f>
        <v>48700</v>
      </c>
      <c r="CN283">
        <f t="shared" si="659"/>
        <v>8766</v>
      </c>
      <c r="CO283">
        <f t="shared" si="660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 t="shared" si="614"/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661"/>
        <v>200</v>
      </c>
      <c r="CV283">
        <f t="shared" si="662"/>
        <v>60010</v>
      </c>
      <c r="CW283">
        <f>_xlfn.XLOOKUP(B283,'[10]december-2025'!$A:$A,'[10]december-2025'!$C:$C,0,0)</f>
        <v>48700</v>
      </c>
      <c r="CX283">
        <f t="shared" si="663"/>
        <v>8766</v>
      </c>
      <c r="CY283">
        <f t="shared" si="664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 t="shared" si="615"/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665"/>
        <v>200</v>
      </c>
      <c r="DF283">
        <f t="shared" si="666"/>
        <v>60010</v>
      </c>
      <c r="DG283">
        <f>_xlfn.XLOOKUP(B283,'[11]january-2026'!$A:$A,'[11]january-2026'!$C:$C,0,0)</f>
        <v>48700</v>
      </c>
      <c r="DH283">
        <f t="shared" si="667"/>
        <v>8766</v>
      </c>
      <c r="DI283">
        <f t="shared" si="668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16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69"/>
        <v>200</v>
      </c>
      <c r="DP283">
        <f t="shared" si="670"/>
        <v>60010</v>
      </c>
      <c r="DQ283">
        <f>_xlfn.XLOOKUP(B283,'[12]february-2026'!$A:$A,'[12]february-2026'!$C:$C,0,0)</f>
        <v>48700</v>
      </c>
      <c r="DR283">
        <f t="shared" si="671"/>
        <v>8766</v>
      </c>
      <c r="DS283">
        <f t="shared" si="672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617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673"/>
        <v>200</v>
      </c>
      <c r="DZ283">
        <f t="shared" si="674"/>
        <v>60010</v>
      </c>
      <c r="EA283">
        <f>_xlfn.XLOOKUP(B283,'[1]march-2025'!$A:$A,'[1]march-2025'!$J:$J,0,0)</f>
        <v>0</v>
      </c>
      <c r="EB283">
        <f>_xlfn.XLOOKUP(B283,'[2]april-2025'!$A:$A,'[2]april-2025'!$J:$J,0,0)</f>
        <v>0</v>
      </c>
      <c r="EC283">
        <f>_xlfn.XLOOKUP(B283,'[3]may-2025'!$A:$A,'[3]may-2025'!$J:$J,0,0)</f>
        <v>0</v>
      </c>
      <c r="ED283">
        <f>_xlfn.XLOOKUP(B283,'[4]june-2025'!$A:$A,'[4]june-2025'!$J:$J,0,0)</f>
        <v>0</v>
      </c>
      <c r="EE283">
        <f>_xlfn.XLOOKUP(B283,'[5]july-2025'!$A:$A,'[5]july-2025'!$J:$J,0,0)</f>
        <v>0</v>
      </c>
      <c r="EF283">
        <f>_xlfn.XLOOKUP(B283,'[6]august-2025'!$A:$A,'[6]august-2025'!$J:$J,0,0)</f>
        <v>0</v>
      </c>
      <c r="EG283">
        <f>_xlfn.XLOOKUP(B283,'[7]september-2025'!$A:$A,'[7]september-2025'!$J:$J,0,0)</f>
        <v>0</v>
      </c>
      <c r="EH283">
        <f>_xlfn.XLOOKUP(B283,'[8]october-2025'!$A:$A,'[8]october-2025'!$J:$J,0,0)</f>
        <v>0</v>
      </c>
      <c r="EI283">
        <f>_xlfn.XLOOKUP(C283,'[9]november-2025'!$A:$A,'[9]november-2025'!$J:$J,0,0)</f>
        <v>0</v>
      </c>
      <c r="EJ283">
        <f>_xlfn.XLOOKUP(B283,'[10]december-2025'!$A:$A,'[10]december-2025'!$J:$J,0,0)</f>
        <v>0</v>
      </c>
      <c r="EK283">
        <f>_xlfn.XLOOKUP(B283,'[11]january-2026'!$A:$A,'[11]january-2026'!$J:$J,0,0)</f>
        <v>0</v>
      </c>
      <c r="EL283">
        <f>_xlfn.XLOOKUP(B283,'[12]february-2026'!$A:$A,'[12]february-2026'!$J:$J,0,0)</f>
        <v>0</v>
      </c>
      <c r="EM283">
        <f t="shared" si="628"/>
        <v>0</v>
      </c>
      <c r="EN283">
        <f t="shared" si="618"/>
        <v>768148</v>
      </c>
      <c r="EO283">
        <f t="shared" si="619"/>
        <v>2400</v>
      </c>
      <c r="EP283">
        <f t="shared" si="675"/>
        <v>50000</v>
      </c>
      <c r="EQ283">
        <v>0</v>
      </c>
      <c r="ER283">
        <f t="shared" si="629"/>
        <v>715748</v>
      </c>
      <c r="ES283">
        <f t="shared" si="620"/>
        <v>48000</v>
      </c>
      <c r="ET283">
        <f t="shared" si="621"/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676"/>
        <v>48000</v>
      </c>
      <c r="FF283">
        <f t="shared" si="677"/>
        <v>48000</v>
      </c>
      <c r="FG283">
        <f t="shared" si="678"/>
        <v>667748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622"/>
        <v>0</v>
      </c>
      <c r="FP283">
        <f t="shared" si="679"/>
        <v>667748</v>
      </c>
      <c r="FQ283">
        <f t="shared" si="680"/>
        <v>12500</v>
      </c>
      <c r="FR283">
        <f t="shared" si="681"/>
        <v>33550</v>
      </c>
      <c r="FS283">
        <f t="shared" si="682"/>
        <v>46050</v>
      </c>
      <c r="FT283">
        <f t="shared" si="683"/>
        <v>46050</v>
      </c>
      <c r="FU283">
        <f t="shared" si="684"/>
        <v>1842</v>
      </c>
      <c r="FV283">
        <f t="shared" si="685"/>
        <v>47892</v>
      </c>
      <c r="FW283">
        <v>0</v>
      </c>
      <c r="FX283">
        <f t="shared" si="686"/>
        <v>47892</v>
      </c>
      <c r="FY283" t="b">
        <f t="shared" si="687"/>
        <v>1</v>
      </c>
      <c r="FZ283">
        <f t="shared" ca="1" si="688"/>
        <v>749</v>
      </c>
      <c r="GA283">
        <f t="shared" ca="1" si="689"/>
        <v>768897</v>
      </c>
      <c r="GB283">
        <f t="shared" si="690"/>
        <v>75000</v>
      </c>
      <c r="GC283">
        <f t="shared" ca="1" si="691"/>
        <v>693897</v>
      </c>
      <c r="GD283">
        <f t="shared" ca="1" si="692"/>
        <v>0</v>
      </c>
      <c r="GE283">
        <f t="shared" ca="1" si="693"/>
        <v>0</v>
      </c>
      <c r="GF283">
        <f t="shared" ca="1" si="694"/>
        <v>0</v>
      </c>
      <c r="GG283">
        <f t="shared" ca="1" si="695"/>
        <v>0</v>
      </c>
      <c r="GH283">
        <f t="shared" ca="1" si="696"/>
        <v>0</v>
      </c>
      <c r="GI283">
        <f t="shared" ca="1" si="697"/>
        <v>0</v>
      </c>
      <c r="GJ283">
        <f t="shared" ca="1" si="623"/>
        <v>0</v>
      </c>
      <c r="GK283">
        <f t="shared" ca="1" si="698"/>
        <v>0</v>
      </c>
      <c r="GL283">
        <f t="shared" ca="1" si="699"/>
        <v>0</v>
      </c>
      <c r="GM283">
        <f t="shared" ca="1" si="700"/>
        <v>0</v>
      </c>
      <c r="GN283">
        <f t="shared" ca="1" si="701"/>
        <v>293897</v>
      </c>
      <c r="GO283">
        <f t="shared" ca="1" si="702"/>
        <v>14694.85</v>
      </c>
      <c r="GP283">
        <f t="shared" ca="1" si="703"/>
        <v>14695</v>
      </c>
      <c r="GQ283">
        <f t="shared" ca="1" si="704"/>
        <v>0</v>
      </c>
      <c r="GR283">
        <f t="shared" ca="1" si="705"/>
        <v>0</v>
      </c>
      <c r="GS283">
        <f t="shared" ca="1" si="706"/>
        <v>14695</v>
      </c>
      <c r="GT283">
        <f t="shared" ca="1" si="707"/>
        <v>0</v>
      </c>
      <c r="GU283" t="b">
        <f t="shared" ca="1" si="708"/>
        <v>0</v>
      </c>
      <c r="GV283">
        <f t="shared" ca="1" si="709"/>
        <v>0</v>
      </c>
      <c r="GW283">
        <f t="shared" ca="1" si="710"/>
        <v>14695</v>
      </c>
      <c r="GX283">
        <f t="shared" ca="1" si="711"/>
        <v>0</v>
      </c>
      <c r="GY283">
        <f t="shared" ca="1" si="712"/>
        <v>0</v>
      </c>
      <c r="GZ283">
        <f t="shared" ca="1" si="713"/>
        <v>0</v>
      </c>
    </row>
    <row r="284" spans="1:208" x14ac:dyDescent="0.3">
      <c r="A284">
        <f>_xlfn.AGGREGATE(3,5,$B$2:B284)</f>
        <v>283</v>
      </c>
      <c r="B284" t="s">
        <v>666</v>
      </c>
      <c r="C284" t="s">
        <v>667</v>
      </c>
      <c r="D284" t="s">
        <v>823</v>
      </c>
      <c r="E284" t="s">
        <v>830</v>
      </c>
      <c r="F284" t="s">
        <v>956</v>
      </c>
      <c r="G284" t="s">
        <v>896</v>
      </c>
      <c r="H284">
        <f t="shared" si="715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630"/>
        <v>4690</v>
      </c>
      <c r="L284">
        <f t="shared" si="631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 t="shared" si="608"/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714"/>
        <v>200</v>
      </c>
      <c r="S284">
        <f t="shared" si="624"/>
        <v>40010</v>
      </c>
      <c r="T284">
        <f>_xlfn.XLOOKUP(B284,'[2]april-2025'!$A:$A,'[2]april-2025'!$C:$C,0,0)</f>
        <v>33500</v>
      </c>
      <c r="U284">
        <f t="shared" si="632"/>
        <v>6030</v>
      </c>
      <c r="V284">
        <f t="shared" si="633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625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634"/>
        <v>200</v>
      </c>
      <c r="AC284">
        <f t="shared" si="635"/>
        <v>41350</v>
      </c>
      <c r="AD284">
        <f>_xlfn.XLOOKUP(B284,'[3]may-2025'!$A:$A,'[3]may-2025'!$C:$C,0,0)</f>
        <v>33500</v>
      </c>
      <c r="AE284">
        <f t="shared" si="636"/>
        <v>6030</v>
      </c>
      <c r="AF284">
        <f t="shared" si="637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626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638"/>
        <v>200</v>
      </c>
      <c r="AM284">
        <f t="shared" si="639"/>
        <v>41350</v>
      </c>
      <c r="AN284">
        <f>_xlfn.XLOOKUP(B284,'[4]june-2025'!$A:$A,'[4]june-2025'!$C:$C,0,0)</f>
        <v>33500</v>
      </c>
      <c r="AO284">
        <f t="shared" si="640"/>
        <v>6030</v>
      </c>
      <c r="AP284">
        <f t="shared" si="64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627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642"/>
        <v>200</v>
      </c>
      <c r="AW284">
        <f t="shared" si="643"/>
        <v>41350</v>
      </c>
      <c r="AX284">
        <f>_xlfn.XLOOKUP(B284,'[5]july-2025'!$A:$A,'[5]july-2025'!$C:$C,0,0)</f>
        <v>34500</v>
      </c>
      <c r="AY284">
        <f t="shared" si="644"/>
        <v>6210</v>
      </c>
      <c r="AZ284">
        <v>0</v>
      </c>
      <c r="BA284">
        <f t="shared" si="645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 t="shared" si="609"/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646"/>
        <v>200</v>
      </c>
      <c r="BH284">
        <f t="shared" si="647"/>
        <v>42650</v>
      </c>
      <c r="BI284">
        <f>_xlfn.XLOOKUP(B284,'[6]august-2025'!$A:$A,'[6]august-2025'!$C:$C,0,0)</f>
        <v>34500</v>
      </c>
      <c r="BJ284">
        <f t="shared" si="648"/>
        <v>6210</v>
      </c>
      <c r="BK284">
        <f t="shared" si="649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650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 t="shared" si="610"/>
        <v>200</v>
      </c>
      <c r="BR284">
        <f t="shared" si="611"/>
        <v>42650</v>
      </c>
      <c r="BS284">
        <f>_xlfn.XLOOKUP(B284,'[7]september-2025'!$A:$A,'[7]september-2025'!$C:$C,0,0)</f>
        <v>34500</v>
      </c>
      <c r="BT284">
        <f t="shared" si="651"/>
        <v>6210</v>
      </c>
      <c r="BU284">
        <f t="shared" si="652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 t="shared" si="612"/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653"/>
        <v>200</v>
      </c>
      <c r="CB284">
        <f t="shared" si="654"/>
        <v>42650</v>
      </c>
      <c r="CC284">
        <f>_xlfn.XLOOKUP(B284,'[8]october-2025'!$A:$A,'[8]october-2025'!$C:$C,0,0)</f>
        <v>34500</v>
      </c>
      <c r="CD284">
        <f t="shared" si="655"/>
        <v>6210</v>
      </c>
      <c r="CE284">
        <f t="shared" si="656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 t="shared" si="613"/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657"/>
        <v>200</v>
      </c>
      <c r="CL284">
        <f t="shared" si="658"/>
        <v>42650</v>
      </c>
      <c r="CM284">
        <f>_xlfn.XLOOKUP(B284,'[9]november-2025'!$A:$A,'[9]november-2025'!$C:$C,0,0)</f>
        <v>34500</v>
      </c>
      <c r="CN284">
        <f t="shared" si="659"/>
        <v>6210</v>
      </c>
      <c r="CO284">
        <f t="shared" si="660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 t="shared" si="614"/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661"/>
        <v>200</v>
      </c>
      <c r="CV284">
        <f t="shared" si="662"/>
        <v>42650</v>
      </c>
      <c r="CW284">
        <f>_xlfn.XLOOKUP(B284,'[10]december-2025'!$A:$A,'[10]december-2025'!$C:$C,0,0)</f>
        <v>34500</v>
      </c>
      <c r="CX284">
        <f t="shared" si="663"/>
        <v>6210</v>
      </c>
      <c r="CY284">
        <f t="shared" si="664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 t="shared" si="615"/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665"/>
        <v>200</v>
      </c>
      <c r="DF284">
        <f t="shared" si="666"/>
        <v>42650</v>
      </c>
      <c r="DG284">
        <f>_xlfn.XLOOKUP(B284,'[11]january-2026'!$A:$A,'[11]january-2026'!$C:$C,0,0)</f>
        <v>34500</v>
      </c>
      <c r="DH284">
        <f t="shared" si="667"/>
        <v>6210</v>
      </c>
      <c r="DI284">
        <f t="shared" si="668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16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69"/>
        <v>200</v>
      </c>
      <c r="DP284">
        <f t="shared" si="670"/>
        <v>42650</v>
      </c>
      <c r="DQ284">
        <f>_xlfn.XLOOKUP(B284,'[12]february-2026'!$A:$A,'[12]february-2026'!$C:$C,0,0)</f>
        <v>34500</v>
      </c>
      <c r="DR284">
        <f t="shared" si="671"/>
        <v>6210</v>
      </c>
      <c r="DS284">
        <f t="shared" si="672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617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673"/>
        <v>200</v>
      </c>
      <c r="DZ284">
        <f t="shared" si="674"/>
        <v>42650</v>
      </c>
      <c r="EA284">
        <f>_xlfn.XLOOKUP(B284,'[1]march-2025'!$A:$A,'[1]march-2025'!$J:$J,0,0)</f>
        <v>0</v>
      </c>
      <c r="EB284">
        <f>_xlfn.XLOOKUP(B284,'[2]april-2025'!$A:$A,'[2]april-2025'!$J:$J,0,0)</f>
        <v>0</v>
      </c>
      <c r="EC284">
        <f>_xlfn.XLOOKUP(B284,'[3]may-2025'!$A:$A,'[3]may-2025'!$J:$J,0,0)</f>
        <v>0</v>
      </c>
      <c r="ED284">
        <f>_xlfn.XLOOKUP(B284,'[4]june-2025'!$A:$A,'[4]june-2025'!$J:$J,0,0)</f>
        <v>0</v>
      </c>
      <c r="EE284">
        <f>_xlfn.XLOOKUP(B284,'[5]july-2025'!$A:$A,'[5]july-2025'!$J:$J,0,0)</f>
        <v>0</v>
      </c>
      <c r="EF284">
        <f>_xlfn.XLOOKUP(B284,'[6]august-2025'!$A:$A,'[6]august-2025'!$J:$J,0,0)</f>
        <v>0</v>
      </c>
      <c r="EG284">
        <f>_xlfn.XLOOKUP(B284,'[7]september-2025'!$A:$A,'[7]september-2025'!$J:$J,0,0)</f>
        <v>0</v>
      </c>
      <c r="EH284">
        <f>_xlfn.XLOOKUP(B284,'[8]october-2025'!$A:$A,'[8]october-2025'!$J:$J,0,0)</f>
        <v>0</v>
      </c>
      <c r="EI284">
        <f>_xlfn.XLOOKUP(C284,'[9]november-2025'!$A:$A,'[9]november-2025'!$J:$J,0,0)</f>
        <v>0</v>
      </c>
      <c r="EJ284">
        <f>_xlfn.XLOOKUP(B284,'[10]december-2025'!$A:$A,'[10]december-2025'!$J:$J,0,0)</f>
        <v>0</v>
      </c>
      <c r="EK284">
        <f>_xlfn.XLOOKUP(B284,'[11]january-2026'!$A:$A,'[11]january-2026'!$J:$J,0,0)</f>
        <v>0</v>
      </c>
      <c r="EL284">
        <f>_xlfn.XLOOKUP(B284,'[12]february-2026'!$A:$A,'[12]february-2026'!$J:$J,0,0)</f>
        <v>0</v>
      </c>
      <c r="EM284">
        <f t="shared" si="628"/>
        <v>0</v>
      </c>
      <c r="EN284">
        <f t="shared" si="618"/>
        <v>544460</v>
      </c>
      <c r="EO284">
        <f t="shared" si="619"/>
        <v>2400</v>
      </c>
      <c r="EP284">
        <f t="shared" si="675"/>
        <v>50000</v>
      </c>
      <c r="EQ284">
        <v>0</v>
      </c>
      <c r="ER284">
        <f t="shared" si="629"/>
        <v>492060</v>
      </c>
      <c r="ES284">
        <f t="shared" si="620"/>
        <v>30000</v>
      </c>
      <c r="ET284">
        <f t="shared" si="621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676"/>
        <v>30000</v>
      </c>
      <c r="FF284">
        <f t="shared" si="677"/>
        <v>30000</v>
      </c>
      <c r="FG284">
        <f t="shared" si="678"/>
        <v>462060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622"/>
        <v>0</v>
      </c>
      <c r="FP284">
        <f t="shared" si="679"/>
        <v>462060</v>
      </c>
      <c r="FQ284">
        <f t="shared" si="680"/>
        <v>10603</v>
      </c>
      <c r="FR284">
        <f t="shared" si="681"/>
        <v>0</v>
      </c>
      <c r="FS284">
        <f t="shared" si="682"/>
        <v>10603</v>
      </c>
      <c r="FT284">
        <f t="shared" si="683"/>
        <v>0</v>
      </c>
      <c r="FU284">
        <f t="shared" si="684"/>
        <v>0</v>
      </c>
      <c r="FV284">
        <f t="shared" si="685"/>
        <v>0</v>
      </c>
      <c r="FW284">
        <v>0</v>
      </c>
      <c r="FX284">
        <f t="shared" si="686"/>
        <v>0</v>
      </c>
      <c r="FY284" t="b">
        <f t="shared" si="687"/>
        <v>1</v>
      </c>
      <c r="FZ284">
        <f t="shared" ca="1" si="688"/>
        <v>553</v>
      </c>
      <c r="GA284">
        <f t="shared" ca="1" si="689"/>
        <v>545013</v>
      </c>
      <c r="GB284">
        <f t="shared" si="690"/>
        <v>75000</v>
      </c>
      <c r="GC284">
        <f t="shared" ca="1" si="691"/>
        <v>470013</v>
      </c>
      <c r="GD284">
        <f t="shared" ca="1" si="692"/>
        <v>0</v>
      </c>
      <c r="GE284">
        <f t="shared" ca="1" si="693"/>
        <v>0</v>
      </c>
      <c r="GF284">
        <f t="shared" ca="1" si="694"/>
        <v>0</v>
      </c>
      <c r="GG284">
        <f t="shared" ca="1" si="695"/>
        <v>0</v>
      </c>
      <c r="GH284">
        <f t="shared" ca="1" si="696"/>
        <v>0</v>
      </c>
      <c r="GI284">
        <f t="shared" ca="1" si="697"/>
        <v>0</v>
      </c>
      <c r="GJ284">
        <f t="shared" ca="1" si="623"/>
        <v>0</v>
      </c>
      <c r="GK284">
        <f t="shared" ca="1" si="698"/>
        <v>0</v>
      </c>
      <c r="GL284">
        <f t="shared" ca="1" si="699"/>
        <v>0</v>
      </c>
      <c r="GM284">
        <f t="shared" ca="1" si="700"/>
        <v>0</v>
      </c>
      <c r="GN284">
        <f t="shared" ca="1" si="701"/>
        <v>70013</v>
      </c>
      <c r="GO284">
        <f t="shared" ca="1" si="702"/>
        <v>3500.65</v>
      </c>
      <c r="GP284">
        <f t="shared" ca="1" si="703"/>
        <v>3501</v>
      </c>
      <c r="GQ284">
        <f t="shared" ca="1" si="704"/>
        <v>0</v>
      </c>
      <c r="GR284">
        <f t="shared" ca="1" si="705"/>
        <v>0</v>
      </c>
      <c r="GS284">
        <f t="shared" ca="1" si="706"/>
        <v>3501</v>
      </c>
      <c r="GT284">
        <f t="shared" ca="1" si="707"/>
        <v>0</v>
      </c>
      <c r="GU284" t="b">
        <f t="shared" ca="1" si="708"/>
        <v>0</v>
      </c>
      <c r="GV284">
        <f t="shared" ca="1" si="709"/>
        <v>0</v>
      </c>
      <c r="GW284">
        <f t="shared" ca="1" si="710"/>
        <v>3501</v>
      </c>
      <c r="GX284">
        <f t="shared" ca="1" si="711"/>
        <v>0</v>
      </c>
      <c r="GY284">
        <f t="shared" ca="1" si="712"/>
        <v>0</v>
      </c>
      <c r="GZ284">
        <f t="shared" ca="1" si="713"/>
        <v>0</v>
      </c>
    </row>
    <row r="285" spans="1:208" x14ac:dyDescent="0.3">
      <c r="A285">
        <f>_xlfn.AGGREGATE(3,5,$B$2:B285)</f>
        <v>284</v>
      </c>
      <c r="B285" t="s">
        <v>668</v>
      </c>
      <c r="C285" t="s">
        <v>669</v>
      </c>
      <c r="D285" t="s">
        <v>823</v>
      </c>
      <c r="E285" t="s">
        <v>830</v>
      </c>
      <c r="F285" t="s">
        <v>956</v>
      </c>
      <c r="G285" t="s">
        <v>923</v>
      </c>
      <c r="H285">
        <f t="shared" si="715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630"/>
        <v>4690</v>
      </c>
      <c r="L285">
        <f t="shared" si="631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608"/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714"/>
        <v>200</v>
      </c>
      <c r="S285">
        <f t="shared" si="624"/>
        <v>37010</v>
      </c>
      <c r="T285">
        <f>_xlfn.XLOOKUP(B285,'[2]april-2025'!$A:$A,'[2]april-2025'!$C:$C,0,0)</f>
        <v>33500</v>
      </c>
      <c r="U285">
        <f t="shared" si="632"/>
        <v>6030</v>
      </c>
      <c r="V285">
        <f t="shared" si="633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625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634"/>
        <v>200</v>
      </c>
      <c r="AC285">
        <f t="shared" si="635"/>
        <v>38350</v>
      </c>
      <c r="AD285">
        <f>_xlfn.XLOOKUP(B285,'[3]may-2025'!$A:$A,'[3]may-2025'!$C:$C,0,0)</f>
        <v>33500</v>
      </c>
      <c r="AE285">
        <f t="shared" si="636"/>
        <v>6030</v>
      </c>
      <c r="AF285">
        <f t="shared" si="637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626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638"/>
        <v>200</v>
      </c>
      <c r="AM285">
        <f t="shared" si="639"/>
        <v>38350</v>
      </c>
      <c r="AN285">
        <f>_xlfn.XLOOKUP(B285,'[4]june-2025'!$A:$A,'[4]june-2025'!$C:$C,0,0)</f>
        <v>33500</v>
      </c>
      <c r="AO285">
        <f t="shared" si="640"/>
        <v>6030</v>
      </c>
      <c r="AP285">
        <f t="shared" si="64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627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642"/>
        <v>200</v>
      </c>
      <c r="AW285">
        <f t="shared" si="643"/>
        <v>38350</v>
      </c>
      <c r="AX285">
        <f>_xlfn.XLOOKUP(B285,'[5]july-2025'!$A:$A,'[5]july-2025'!$C:$C,0,0)</f>
        <v>34500</v>
      </c>
      <c r="AY285">
        <f t="shared" si="644"/>
        <v>6210</v>
      </c>
      <c r="AZ285">
        <v>0</v>
      </c>
      <c r="BA285">
        <f t="shared" si="645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609"/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646"/>
        <v>200</v>
      </c>
      <c r="BH285">
        <f t="shared" si="647"/>
        <v>39650</v>
      </c>
      <c r="BI285">
        <f>_xlfn.XLOOKUP(B285,'[6]august-2025'!$A:$A,'[6]august-2025'!$C:$C,0,0)</f>
        <v>34500</v>
      </c>
      <c r="BJ285">
        <f t="shared" si="648"/>
        <v>6210</v>
      </c>
      <c r="BK285">
        <f t="shared" si="649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650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 t="shared" si="610"/>
        <v>200</v>
      </c>
      <c r="BR285">
        <f t="shared" si="611"/>
        <v>39650</v>
      </c>
      <c r="BS285">
        <f>_xlfn.XLOOKUP(B285,'[7]september-2025'!$A:$A,'[7]september-2025'!$C:$C,0,0)</f>
        <v>34500</v>
      </c>
      <c r="BT285">
        <f t="shared" si="651"/>
        <v>6210</v>
      </c>
      <c r="BU285">
        <f t="shared" si="652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612"/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653"/>
        <v>200</v>
      </c>
      <c r="CB285">
        <f t="shared" si="654"/>
        <v>39650</v>
      </c>
      <c r="CC285">
        <f>_xlfn.XLOOKUP(B285,'[8]october-2025'!$A:$A,'[8]october-2025'!$C:$C,0,0)</f>
        <v>34500</v>
      </c>
      <c r="CD285">
        <f t="shared" si="655"/>
        <v>6210</v>
      </c>
      <c r="CE285">
        <f t="shared" si="656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613"/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657"/>
        <v>200</v>
      </c>
      <c r="CL285">
        <f t="shared" si="658"/>
        <v>39650</v>
      </c>
      <c r="CM285">
        <f>_xlfn.XLOOKUP(B285,'[9]november-2025'!$A:$A,'[9]november-2025'!$C:$C,0,0)</f>
        <v>34500</v>
      </c>
      <c r="CN285">
        <f t="shared" si="659"/>
        <v>6210</v>
      </c>
      <c r="CO285">
        <f t="shared" si="660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614"/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661"/>
        <v>200</v>
      </c>
      <c r="CV285">
        <f t="shared" si="662"/>
        <v>39650</v>
      </c>
      <c r="CW285">
        <f>_xlfn.XLOOKUP(B285,'[10]december-2025'!$A:$A,'[10]december-2025'!$C:$C,0,0)</f>
        <v>34500</v>
      </c>
      <c r="CX285">
        <f t="shared" si="663"/>
        <v>6210</v>
      </c>
      <c r="CY285">
        <f t="shared" si="664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615"/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665"/>
        <v>200</v>
      </c>
      <c r="DF285">
        <f t="shared" si="666"/>
        <v>39650</v>
      </c>
      <c r="DG285">
        <f>_xlfn.XLOOKUP(B285,'[11]january-2026'!$A:$A,'[11]january-2026'!$C:$C,0,0)</f>
        <v>34500</v>
      </c>
      <c r="DH285">
        <f t="shared" si="667"/>
        <v>6210</v>
      </c>
      <c r="DI285">
        <f t="shared" si="668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16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69"/>
        <v>200</v>
      </c>
      <c r="DP285">
        <f t="shared" si="670"/>
        <v>39650</v>
      </c>
      <c r="DQ285">
        <f>_xlfn.XLOOKUP(B285,'[12]february-2026'!$A:$A,'[12]february-2026'!$C:$C,0,0)</f>
        <v>34500</v>
      </c>
      <c r="DR285">
        <f t="shared" si="671"/>
        <v>6210</v>
      </c>
      <c r="DS285">
        <f t="shared" si="672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617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673"/>
        <v>200</v>
      </c>
      <c r="DZ285">
        <f t="shared" si="674"/>
        <v>39650</v>
      </c>
      <c r="EA285">
        <f>_xlfn.XLOOKUP(B285,'[1]march-2025'!$A:$A,'[1]march-2025'!$J:$J,0,0)</f>
        <v>0</v>
      </c>
      <c r="EB285">
        <f>_xlfn.XLOOKUP(B285,'[2]april-2025'!$A:$A,'[2]april-2025'!$J:$J,0,0)</f>
        <v>0</v>
      </c>
      <c r="EC285">
        <f>_xlfn.XLOOKUP(B285,'[3]may-2025'!$A:$A,'[3]may-2025'!$J:$J,0,0)</f>
        <v>0</v>
      </c>
      <c r="ED285">
        <f>_xlfn.XLOOKUP(B285,'[4]june-2025'!$A:$A,'[4]june-2025'!$J:$J,0,0)</f>
        <v>0</v>
      </c>
      <c r="EE285">
        <f>_xlfn.XLOOKUP(B285,'[5]july-2025'!$A:$A,'[5]july-2025'!$J:$J,0,0)</f>
        <v>0</v>
      </c>
      <c r="EF285">
        <f>_xlfn.XLOOKUP(B285,'[6]august-2025'!$A:$A,'[6]august-2025'!$J:$J,0,0)</f>
        <v>0</v>
      </c>
      <c r="EG285">
        <f>_xlfn.XLOOKUP(B285,'[7]september-2025'!$A:$A,'[7]september-2025'!$J:$J,0,0)</f>
        <v>0</v>
      </c>
      <c r="EH285">
        <f>_xlfn.XLOOKUP(B285,'[8]october-2025'!$A:$A,'[8]october-2025'!$J:$J,0,0)</f>
        <v>0</v>
      </c>
      <c r="EI285">
        <f>_xlfn.XLOOKUP(C285,'[9]november-2025'!$A:$A,'[9]november-2025'!$J:$J,0,0)</f>
        <v>0</v>
      </c>
      <c r="EJ285">
        <f>_xlfn.XLOOKUP(B285,'[10]december-2025'!$A:$A,'[10]december-2025'!$J:$J,0,0)</f>
        <v>0</v>
      </c>
      <c r="EK285">
        <f>_xlfn.XLOOKUP(B285,'[11]january-2026'!$A:$A,'[11]january-2026'!$J:$J,0,0)</f>
        <v>0</v>
      </c>
      <c r="EL285">
        <f>_xlfn.XLOOKUP(B285,'[12]february-2026'!$A:$A,'[12]february-2026'!$J:$J,0,0)</f>
        <v>0</v>
      </c>
      <c r="EM285">
        <f t="shared" si="628"/>
        <v>0</v>
      </c>
      <c r="EN285">
        <f t="shared" si="618"/>
        <v>538460</v>
      </c>
      <c r="EO285">
        <f t="shared" si="619"/>
        <v>2400</v>
      </c>
      <c r="EP285">
        <f t="shared" si="675"/>
        <v>50000</v>
      </c>
      <c r="EQ285">
        <v>0</v>
      </c>
      <c r="ER285">
        <f t="shared" si="629"/>
        <v>486060</v>
      </c>
      <c r="ES285">
        <f t="shared" si="620"/>
        <v>60000</v>
      </c>
      <c r="ET285">
        <f t="shared" si="621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676"/>
        <v>60000</v>
      </c>
      <c r="FF285">
        <f t="shared" si="677"/>
        <v>60000</v>
      </c>
      <c r="FG285">
        <f t="shared" si="678"/>
        <v>426060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622"/>
        <v>0</v>
      </c>
      <c r="FP285">
        <f t="shared" si="679"/>
        <v>426060</v>
      </c>
      <c r="FQ285">
        <f t="shared" si="680"/>
        <v>8803</v>
      </c>
      <c r="FR285">
        <f t="shared" si="681"/>
        <v>0</v>
      </c>
      <c r="FS285">
        <f t="shared" si="682"/>
        <v>8803</v>
      </c>
      <c r="FT285">
        <f t="shared" si="683"/>
        <v>0</v>
      </c>
      <c r="FU285">
        <f t="shared" si="684"/>
        <v>0</v>
      </c>
      <c r="FV285">
        <f t="shared" si="685"/>
        <v>0</v>
      </c>
      <c r="FW285">
        <v>0</v>
      </c>
      <c r="FX285">
        <f t="shared" si="686"/>
        <v>0</v>
      </c>
      <c r="FY285" t="b">
        <f t="shared" si="687"/>
        <v>1</v>
      </c>
      <c r="FZ285">
        <f t="shared" ca="1" si="688"/>
        <v>711</v>
      </c>
      <c r="GA285">
        <f t="shared" ca="1" si="689"/>
        <v>539171</v>
      </c>
      <c r="GB285">
        <f t="shared" si="690"/>
        <v>75000</v>
      </c>
      <c r="GC285">
        <f t="shared" ca="1" si="691"/>
        <v>464171</v>
      </c>
      <c r="GD285">
        <f t="shared" ca="1" si="692"/>
        <v>0</v>
      </c>
      <c r="GE285">
        <f t="shared" ca="1" si="693"/>
        <v>0</v>
      </c>
      <c r="GF285">
        <f t="shared" ca="1" si="694"/>
        <v>0</v>
      </c>
      <c r="GG285">
        <f t="shared" ca="1" si="695"/>
        <v>0</v>
      </c>
      <c r="GH285">
        <f t="shared" ca="1" si="696"/>
        <v>0</v>
      </c>
      <c r="GI285">
        <f t="shared" ca="1" si="697"/>
        <v>0</v>
      </c>
      <c r="GJ285">
        <f t="shared" ca="1" si="623"/>
        <v>0</v>
      </c>
      <c r="GK285">
        <f t="shared" ca="1" si="698"/>
        <v>0</v>
      </c>
      <c r="GL285">
        <f t="shared" ca="1" si="699"/>
        <v>0</v>
      </c>
      <c r="GM285">
        <f t="shared" ca="1" si="700"/>
        <v>0</v>
      </c>
      <c r="GN285">
        <f t="shared" ca="1" si="701"/>
        <v>64171</v>
      </c>
      <c r="GO285">
        <f t="shared" ca="1" si="702"/>
        <v>3208.55</v>
      </c>
      <c r="GP285">
        <f t="shared" ca="1" si="703"/>
        <v>3209</v>
      </c>
      <c r="GQ285">
        <f t="shared" ca="1" si="704"/>
        <v>0</v>
      </c>
      <c r="GR285">
        <f t="shared" ca="1" si="705"/>
        <v>0</v>
      </c>
      <c r="GS285">
        <f t="shared" ca="1" si="706"/>
        <v>3209</v>
      </c>
      <c r="GT285">
        <f t="shared" ca="1" si="707"/>
        <v>0</v>
      </c>
      <c r="GU285" t="b">
        <f t="shared" ca="1" si="708"/>
        <v>0</v>
      </c>
      <c r="GV285">
        <f t="shared" ca="1" si="709"/>
        <v>0</v>
      </c>
      <c r="GW285">
        <f t="shared" ca="1" si="710"/>
        <v>3209</v>
      </c>
      <c r="GX285">
        <f t="shared" ca="1" si="711"/>
        <v>0</v>
      </c>
      <c r="GY285">
        <f t="shared" ca="1" si="712"/>
        <v>0</v>
      </c>
      <c r="GZ285">
        <f t="shared" ca="1" si="713"/>
        <v>0</v>
      </c>
    </row>
    <row r="286" spans="1:208" x14ac:dyDescent="0.3">
      <c r="A286">
        <f>_xlfn.AGGREGATE(3,5,$B$2:B286)</f>
        <v>285</v>
      </c>
      <c r="B286" t="s">
        <v>670</v>
      </c>
      <c r="C286" t="s">
        <v>671</v>
      </c>
      <c r="D286" t="s">
        <v>823</v>
      </c>
      <c r="E286" t="s">
        <v>830</v>
      </c>
      <c r="F286" t="s">
        <v>956</v>
      </c>
      <c r="G286" t="s">
        <v>882</v>
      </c>
      <c r="H286">
        <f t="shared" si="715"/>
        <v>6800</v>
      </c>
      <c r="I286">
        <f>_xlfn.XLOOKUP(B286,'[1]march-2025'!$A:$A,'[1]march-2025'!$J:$J,0,0)</f>
        <v>0</v>
      </c>
      <c r="J286">
        <f>_xlfn.XLOOKUP(B286,'[1]march-2025'!$A:$A,'[1]march-2025'!$C:$C,0,0)</f>
        <v>28900</v>
      </c>
      <c r="K286">
        <f t="shared" si="630"/>
        <v>4046.0000000000005</v>
      </c>
      <c r="L286">
        <f t="shared" si="631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 t="shared" si="608"/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714"/>
        <v>150</v>
      </c>
      <c r="S286">
        <f t="shared" si="624"/>
        <v>36264</v>
      </c>
      <c r="T286">
        <f>_xlfn.XLOOKUP(B286,'[2]april-2025'!$A:$A,'[2]april-2025'!$C:$C,0,0)</f>
        <v>28900</v>
      </c>
      <c r="U286">
        <f t="shared" si="632"/>
        <v>5202</v>
      </c>
      <c r="V286">
        <f t="shared" si="633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625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634"/>
        <v>150</v>
      </c>
      <c r="AC286">
        <f t="shared" si="635"/>
        <v>37420</v>
      </c>
      <c r="AD286">
        <f>_xlfn.XLOOKUP(B286,'[3]may-2025'!$A:$A,'[3]may-2025'!$C:$C,0,0)</f>
        <v>28900</v>
      </c>
      <c r="AE286">
        <f t="shared" si="636"/>
        <v>5202</v>
      </c>
      <c r="AF286">
        <f t="shared" si="637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626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638"/>
        <v>150</v>
      </c>
      <c r="AM286">
        <f t="shared" si="639"/>
        <v>37420</v>
      </c>
      <c r="AN286">
        <f>_xlfn.XLOOKUP(B286,'[4]june-2025'!$A:$A,'[4]june-2025'!$C:$C,0,0)</f>
        <v>28900</v>
      </c>
      <c r="AO286">
        <f t="shared" si="640"/>
        <v>5202</v>
      </c>
      <c r="AP286">
        <f t="shared" si="64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627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642"/>
        <v>150</v>
      </c>
      <c r="AW286">
        <f t="shared" si="643"/>
        <v>37420</v>
      </c>
      <c r="AX286">
        <f>_xlfn.XLOOKUP(B286,'[5]july-2025'!$A:$A,'[5]july-2025'!$C:$C,0,0)</f>
        <v>29800</v>
      </c>
      <c r="AY286">
        <f t="shared" si="644"/>
        <v>5364</v>
      </c>
      <c r="AZ286">
        <v>0</v>
      </c>
      <c r="BA286">
        <f t="shared" si="645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 t="shared" si="609"/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646"/>
        <v>150</v>
      </c>
      <c r="BH286">
        <f t="shared" si="647"/>
        <v>38590</v>
      </c>
      <c r="BI286">
        <f>_xlfn.XLOOKUP(B286,'[6]august-2025'!$A:$A,'[6]august-2025'!$C:$C,0,0)</f>
        <v>29800</v>
      </c>
      <c r="BJ286">
        <f t="shared" si="648"/>
        <v>5364</v>
      </c>
      <c r="BK286">
        <f t="shared" si="649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650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 t="shared" si="610"/>
        <v>150</v>
      </c>
      <c r="BR286">
        <f t="shared" si="611"/>
        <v>38590</v>
      </c>
      <c r="BS286">
        <f>_xlfn.XLOOKUP(B286,'[7]september-2025'!$A:$A,'[7]september-2025'!$C:$C,0,0)</f>
        <v>29800</v>
      </c>
      <c r="BT286">
        <f t="shared" si="651"/>
        <v>5364</v>
      </c>
      <c r="BU286">
        <f t="shared" si="652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 t="shared" si="612"/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653"/>
        <v>150</v>
      </c>
      <c r="CB286">
        <f t="shared" si="654"/>
        <v>36590</v>
      </c>
      <c r="CC286">
        <f>_xlfn.XLOOKUP(B286,'[8]october-2025'!$A:$A,'[8]october-2025'!$C:$C,0,0)</f>
        <v>29800</v>
      </c>
      <c r="CD286">
        <f t="shared" si="655"/>
        <v>5364</v>
      </c>
      <c r="CE286">
        <f t="shared" si="656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 t="shared" si="613"/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657"/>
        <v>150</v>
      </c>
      <c r="CL286">
        <f t="shared" si="658"/>
        <v>36590</v>
      </c>
      <c r="CM286">
        <f>_xlfn.XLOOKUP(B286,'[9]november-2025'!$A:$A,'[9]november-2025'!$C:$C,0,0)</f>
        <v>29800</v>
      </c>
      <c r="CN286">
        <f t="shared" si="659"/>
        <v>5364</v>
      </c>
      <c r="CO286">
        <f t="shared" si="660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 t="shared" si="614"/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661"/>
        <v>150</v>
      </c>
      <c r="CV286">
        <f t="shared" si="662"/>
        <v>36590</v>
      </c>
      <c r="CW286">
        <f>_xlfn.XLOOKUP(B286,'[10]december-2025'!$A:$A,'[10]december-2025'!$C:$C,0,0)</f>
        <v>29800</v>
      </c>
      <c r="CX286">
        <f t="shared" si="663"/>
        <v>5364</v>
      </c>
      <c r="CY286">
        <f t="shared" si="664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 t="shared" si="615"/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665"/>
        <v>150</v>
      </c>
      <c r="DF286">
        <f t="shared" si="666"/>
        <v>36590</v>
      </c>
      <c r="DG286">
        <f>_xlfn.XLOOKUP(B286,'[11]january-2026'!$A:$A,'[11]january-2026'!$C:$C,0,0)</f>
        <v>29800</v>
      </c>
      <c r="DH286">
        <f t="shared" si="667"/>
        <v>5364</v>
      </c>
      <c r="DI286">
        <f t="shared" si="668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16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69"/>
        <v>150</v>
      </c>
      <c r="DP286">
        <f t="shared" si="670"/>
        <v>36590</v>
      </c>
      <c r="DQ286">
        <f>_xlfn.XLOOKUP(B286,'[12]february-2026'!$A:$A,'[12]february-2026'!$C:$C,0,0)</f>
        <v>29800</v>
      </c>
      <c r="DR286">
        <f t="shared" si="671"/>
        <v>5364</v>
      </c>
      <c r="DS286">
        <f t="shared" si="672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617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673"/>
        <v>150</v>
      </c>
      <c r="DZ286">
        <f t="shared" si="674"/>
        <v>36590</v>
      </c>
      <c r="EA286">
        <f>_xlfn.XLOOKUP(B286,'[1]march-2025'!$A:$A,'[1]march-2025'!$J:$J,0,0)</f>
        <v>0</v>
      </c>
      <c r="EB286">
        <f>_xlfn.XLOOKUP(B286,'[2]april-2025'!$A:$A,'[2]april-2025'!$J:$J,0,0)</f>
        <v>0</v>
      </c>
      <c r="EC286">
        <f>_xlfn.XLOOKUP(B286,'[3]may-2025'!$A:$A,'[3]may-2025'!$J:$J,0,0)</f>
        <v>70100</v>
      </c>
      <c r="ED286">
        <f>_xlfn.XLOOKUP(B286,'[4]june-2025'!$A:$A,'[4]june-2025'!$J:$J,0,0)</f>
        <v>0</v>
      </c>
      <c r="EE286">
        <f>_xlfn.XLOOKUP(B286,'[5]july-2025'!$A:$A,'[5]july-2025'!$J:$J,0,0)</f>
        <v>0</v>
      </c>
      <c r="EF286">
        <f>_xlfn.XLOOKUP(B286,'[6]august-2025'!$A:$A,'[6]august-2025'!$J:$J,0,0)</f>
        <v>0</v>
      </c>
      <c r="EG286">
        <f>_xlfn.XLOOKUP(B286,'[7]september-2025'!$A:$A,'[7]september-2025'!$J:$J,0,0)</f>
        <v>0</v>
      </c>
      <c r="EH286">
        <f>_xlfn.XLOOKUP(B286,'[8]october-2025'!$A:$A,'[8]october-2025'!$J:$J,0,0)</f>
        <v>0</v>
      </c>
      <c r="EI286">
        <f>_xlfn.XLOOKUP(C286,'[9]november-2025'!$A:$A,'[9]november-2025'!$J:$J,0,0)</f>
        <v>0</v>
      </c>
      <c r="EJ286">
        <f>_xlfn.XLOOKUP(B286,'[10]december-2025'!$A:$A,'[10]december-2025'!$J:$J,0,0)</f>
        <v>0</v>
      </c>
      <c r="EK286">
        <f>_xlfn.XLOOKUP(B286,'[11]january-2026'!$A:$A,'[11]january-2026'!$J:$J,0,0)</f>
        <v>0</v>
      </c>
      <c r="EL286">
        <f>_xlfn.XLOOKUP(B286,'[12]february-2026'!$A:$A,'[12]february-2026'!$J:$J,0,0)</f>
        <v>0</v>
      </c>
      <c r="EM286">
        <f t="shared" si="628"/>
        <v>70100</v>
      </c>
      <c r="EN286">
        <f t="shared" si="618"/>
        <v>465844</v>
      </c>
      <c r="EO286">
        <f t="shared" si="619"/>
        <v>1800</v>
      </c>
      <c r="EP286">
        <f t="shared" si="675"/>
        <v>50000</v>
      </c>
      <c r="EQ286">
        <v>0</v>
      </c>
      <c r="ER286">
        <f t="shared" si="629"/>
        <v>484144</v>
      </c>
      <c r="ES286">
        <f t="shared" si="620"/>
        <v>12000</v>
      </c>
      <c r="ET286">
        <f t="shared" si="621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676"/>
        <v>12000</v>
      </c>
      <c r="FF286">
        <f t="shared" si="677"/>
        <v>12000</v>
      </c>
      <c r="FG286">
        <f t="shared" si="678"/>
        <v>472144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622"/>
        <v>0</v>
      </c>
      <c r="FP286">
        <f t="shared" si="679"/>
        <v>472144</v>
      </c>
      <c r="FQ286">
        <f t="shared" si="680"/>
        <v>11107</v>
      </c>
      <c r="FR286">
        <f t="shared" si="681"/>
        <v>0</v>
      </c>
      <c r="FS286">
        <f t="shared" si="682"/>
        <v>11107</v>
      </c>
      <c r="FT286">
        <f t="shared" si="683"/>
        <v>0</v>
      </c>
      <c r="FU286">
        <f t="shared" si="684"/>
        <v>0</v>
      </c>
      <c r="FV286">
        <f t="shared" si="685"/>
        <v>0</v>
      </c>
      <c r="FW286">
        <v>0</v>
      </c>
      <c r="FX286">
        <f t="shared" si="686"/>
        <v>0</v>
      </c>
      <c r="FY286" t="b">
        <f t="shared" si="687"/>
        <v>0</v>
      </c>
      <c r="FZ286">
        <f t="shared" ca="1" si="688"/>
        <v>2345</v>
      </c>
      <c r="GA286">
        <f t="shared" ca="1" si="689"/>
        <v>468189</v>
      </c>
      <c r="GB286">
        <f t="shared" si="690"/>
        <v>75000</v>
      </c>
      <c r="GC286">
        <f t="shared" ca="1" si="691"/>
        <v>393189</v>
      </c>
      <c r="GD286">
        <f t="shared" ca="1" si="692"/>
        <v>0</v>
      </c>
      <c r="GE286">
        <f t="shared" ca="1" si="693"/>
        <v>0</v>
      </c>
      <c r="GF286">
        <f t="shared" ca="1" si="694"/>
        <v>0</v>
      </c>
      <c r="GG286">
        <f t="shared" ca="1" si="695"/>
        <v>0</v>
      </c>
      <c r="GH286">
        <f t="shared" ca="1" si="696"/>
        <v>0</v>
      </c>
      <c r="GI286">
        <f t="shared" ca="1" si="697"/>
        <v>0</v>
      </c>
      <c r="GJ286">
        <f t="shared" ca="1" si="623"/>
        <v>0</v>
      </c>
      <c r="GK286">
        <f t="shared" ca="1" si="698"/>
        <v>0</v>
      </c>
      <c r="GL286">
        <f t="shared" ca="1" si="699"/>
        <v>0</v>
      </c>
      <c r="GM286">
        <f t="shared" ca="1" si="700"/>
        <v>0</v>
      </c>
      <c r="GN286">
        <f t="shared" ca="1" si="701"/>
        <v>0</v>
      </c>
      <c r="GO286">
        <f t="shared" ca="1" si="702"/>
        <v>0</v>
      </c>
      <c r="GP286">
        <f t="shared" ca="1" si="703"/>
        <v>0</v>
      </c>
      <c r="GQ286">
        <f t="shared" ca="1" si="704"/>
        <v>0</v>
      </c>
      <c r="GR286">
        <f t="shared" ca="1" si="705"/>
        <v>0</v>
      </c>
      <c r="GS286">
        <f t="shared" ca="1" si="706"/>
        <v>0</v>
      </c>
      <c r="GT286">
        <f t="shared" ca="1" si="707"/>
        <v>0</v>
      </c>
      <c r="GU286" t="b">
        <f t="shared" ca="1" si="708"/>
        <v>0</v>
      </c>
      <c r="GV286">
        <f t="shared" ca="1" si="709"/>
        <v>0</v>
      </c>
      <c r="GW286">
        <f t="shared" ca="1" si="710"/>
        <v>0</v>
      </c>
      <c r="GX286">
        <f t="shared" ca="1" si="711"/>
        <v>0</v>
      </c>
      <c r="GY286">
        <f t="shared" ca="1" si="712"/>
        <v>0</v>
      </c>
      <c r="GZ286">
        <f t="shared" ca="1" si="713"/>
        <v>0</v>
      </c>
    </row>
    <row r="287" spans="1:208" x14ac:dyDescent="0.3">
      <c r="A287">
        <f>_xlfn.AGGREGATE(3,5,$B$2:B287)</f>
        <v>286</v>
      </c>
      <c r="B287" t="s">
        <v>672</v>
      </c>
      <c r="C287" t="s">
        <v>673</v>
      </c>
      <c r="D287" t="s">
        <v>824</v>
      </c>
      <c r="E287" t="s">
        <v>830</v>
      </c>
      <c r="F287" t="s">
        <v>956</v>
      </c>
      <c r="G287" t="s">
        <v>884</v>
      </c>
      <c r="H287">
        <f t="shared" si="715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630"/>
        <v>7238.0000000000009</v>
      </c>
      <c r="L287">
        <f t="shared" si="631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 t="shared" si="608"/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714"/>
        <v>200</v>
      </c>
      <c r="S287">
        <f t="shared" si="624"/>
        <v>61342</v>
      </c>
      <c r="T287">
        <f>_xlfn.XLOOKUP(B287,'[2]april-2025'!$A:$A,'[2]april-2025'!$C:$C,0,0)</f>
        <v>51700</v>
      </c>
      <c r="U287">
        <f t="shared" si="632"/>
        <v>9306</v>
      </c>
      <c r="V287">
        <f t="shared" si="633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625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634"/>
        <v>200</v>
      </c>
      <c r="AC287">
        <f t="shared" si="635"/>
        <v>63410</v>
      </c>
      <c r="AD287">
        <f>_xlfn.XLOOKUP(B287,'[3]may-2025'!$A:$A,'[3]may-2025'!$C:$C,0,0)</f>
        <v>51700</v>
      </c>
      <c r="AE287">
        <f t="shared" si="636"/>
        <v>9306</v>
      </c>
      <c r="AF287">
        <f t="shared" si="637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626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638"/>
        <v>200</v>
      </c>
      <c r="AM287">
        <f t="shared" si="639"/>
        <v>63410</v>
      </c>
      <c r="AN287">
        <f>_xlfn.XLOOKUP(B287,'[4]june-2025'!$A:$A,'[4]june-2025'!$C:$C,0,0)</f>
        <v>51700</v>
      </c>
      <c r="AO287">
        <f t="shared" si="640"/>
        <v>9306</v>
      </c>
      <c r="AP287">
        <f t="shared" si="64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627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642"/>
        <v>200</v>
      </c>
      <c r="AW287">
        <f t="shared" si="643"/>
        <v>63410</v>
      </c>
      <c r="AX287">
        <f>_xlfn.XLOOKUP(B287,'[5]july-2025'!$A:$A,'[5]july-2025'!$C:$C,0,0)</f>
        <v>53300</v>
      </c>
      <c r="AY287">
        <f t="shared" si="644"/>
        <v>9594</v>
      </c>
      <c r="AZ287">
        <v>0</v>
      </c>
      <c r="BA287">
        <f t="shared" si="645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 t="shared" si="609"/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646"/>
        <v>200</v>
      </c>
      <c r="BH287">
        <f t="shared" si="647"/>
        <v>65490</v>
      </c>
      <c r="BI287">
        <f>_xlfn.XLOOKUP(B287,'[6]august-2025'!$A:$A,'[6]august-2025'!$C:$C,0,0)</f>
        <v>53300</v>
      </c>
      <c r="BJ287">
        <f t="shared" si="648"/>
        <v>9594</v>
      </c>
      <c r="BK287">
        <f t="shared" si="649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650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 t="shared" si="610"/>
        <v>200</v>
      </c>
      <c r="BR287">
        <f t="shared" si="611"/>
        <v>65490</v>
      </c>
      <c r="BS287">
        <f>_xlfn.XLOOKUP(B287,'[7]september-2025'!$A:$A,'[7]september-2025'!$C:$C,0,0)</f>
        <v>53300</v>
      </c>
      <c r="BT287">
        <f t="shared" si="651"/>
        <v>9594</v>
      </c>
      <c r="BU287">
        <f t="shared" si="652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 t="shared" si="612"/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653"/>
        <v>200</v>
      </c>
      <c r="CB287">
        <f t="shared" si="654"/>
        <v>65490</v>
      </c>
      <c r="CC287">
        <f>_xlfn.XLOOKUP(B287,'[8]october-2025'!$A:$A,'[8]october-2025'!$C:$C,0,0)</f>
        <v>53300</v>
      </c>
      <c r="CD287">
        <f t="shared" si="655"/>
        <v>9594</v>
      </c>
      <c r="CE287">
        <f t="shared" si="656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 t="shared" si="613"/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657"/>
        <v>200</v>
      </c>
      <c r="CL287">
        <f t="shared" si="658"/>
        <v>65490</v>
      </c>
      <c r="CM287">
        <f>_xlfn.XLOOKUP(B287,'[9]november-2025'!$A:$A,'[9]november-2025'!$C:$C,0,0)</f>
        <v>53300</v>
      </c>
      <c r="CN287">
        <f t="shared" si="659"/>
        <v>9594</v>
      </c>
      <c r="CO287">
        <f t="shared" si="660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 t="shared" si="614"/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661"/>
        <v>200</v>
      </c>
      <c r="CV287">
        <f t="shared" si="662"/>
        <v>65490</v>
      </c>
      <c r="CW287">
        <f>_xlfn.XLOOKUP(B287,'[10]december-2025'!$A:$A,'[10]december-2025'!$C:$C,0,0)</f>
        <v>53300</v>
      </c>
      <c r="CX287">
        <f t="shared" si="663"/>
        <v>9594</v>
      </c>
      <c r="CY287">
        <f t="shared" si="664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 t="shared" si="615"/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665"/>
        <v>200</v>
      </c>
      <c r="DF287">
        <f t="shared" si="666"/>
        <v>65490</v>
      </c>
      <c r="DG287">
        <f>_xlfn.XLOOKUP(B287,'[11]january-2026'!$A:$A,'[11]january-2026'!$C:$C,0,0)</f>
        <v>53300</v>
      </c>
      <c r="DH287">
        <f t="shared" si="667"/>
        <v>9594</v>
      </c>
      <c r="DI287">
        <f t="shared" si="668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16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69"/>
        <v>200</v>
      </c>
      <c r="DP287">
        <f t="shared" si="670"/>
        <v>65490</v>
      </c>
      <c r="DQ287">
        <f>_xlfn.XLOOKUP(B287,'[12]february-2026'!$A:$A,'[12]february-2026'!$C:$C,0,0)</f>
        <v>53300</v>
      </c>
      <c r="DR287">
        <f t="shared" si="671"/>
        <v>9594</v>
      </c>
      <c r="DS287">
        <f t="shared" si="672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617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673"/>
        <v>200</v>
      </c>
      <c r="DZ287">
        <f t="shared" si="674"/>
        <v>65490</v>
      </c>
      <c r="EA287">
        <f>_xlfn.XLOOKUP(B287,'[1]march-2025'!$A:$A,'[1]march-2025'!$J:$J,0,0)</f>
        <v>0</v>
      </c>
      <c r="EB287">
        <f>_xlfn.XLOOKUP(B287,'[2]april-2025'!$A:$A,'[2]april-2025'!$J:$J,0,0)</f>
        <v>0</v>
      </c>
      <c r="EC287">
        <f>_xlfn.XLOOKUP(B287,'[3]may-2025'!$A:$A,'[3]may-2025'!$J:$J,0,0)</f>
        <v>0</v>
      </c>
      <c r="ED287">
        <f>_xlfn.XLOOKUP(B287,'[4]june-2025'!$A:$A,'[4]june-2025'!$J:$J,0,0)</f>
        <v>0</v>
      </c>
      <c r="EE287">
        <f>_xlfn.XLOOKUP(B287,'[5]july-2025'!$A:$A,'[5]july-2025'!$J:$J,0,0)</f>
        <v>0</v>
      </c>
      <c r="EF287">
        <f>_xlfn.XLOOKUP(B287,'[6]august-2025'!$A:$A,'[6]august-2025'!$J:$J,0,0)</f>
        <v>0</v>
      </c>
      <c r="EG287">
        <f>_xlfn.XLOOKUP(B287,'[7]september-2025'!$A:$A,'[7]september-2025'!$J:$J,0,0)</f>
        <v>0</v>
      </c>
      <c r="EH287">
        <f>_xlfn.XLOOKUP(B287,'[8]october-2025'!$A:$A,'[8]october-2025'!$J:$J,0,0)</f>
        <v>0</v>
      </c>
      <c r="EI287">
        <f>_xlfn.XLOOKUP(C287,'[9]november-2025'!$A:$A,'[9]november-2025'!$J:$J,0,0)</f>
        <v>0</v>
      </c>
      <c r="EJ287">
        <f>_xlfn.XLOOKUP(B287,'[10]december-2025'!$A:$A,'[10]december-2025'!$J:$J,0,0)</f>
        <v>0</v>
      </c>
      <c r="EK287">
        <f>_xlfn.XLOOKUP(B287,'[11]january-2026'!$A:$A,'[11]january-2026'!$J:$J,0,0)</f>
        <v>0</v>
      </c>
      <c r="EL287">
        <f>_xlfn.XLOOKUP(B287,'[12]february-2026'!$A:$A,'[12]february-2026'!$J:$J,0,0)</f>
        <v>0</v>
      </c>
      <c r="EM287">
        <f t="shared" si="628"/>
        <v>0</v>
      </c>
      <c r="EN287">
        <f t="shared" si="618"/>
        <v>832692</v>
      </c>
      <c r="EO287">
        <f t="shared" si="619"/>
        <v>2400</v>
      </c>
      <c r="EP287">
        <f t="shared" si="675"/>
        <v>50000</v>
      </c>
      <c r="EQ287">
        <v>0</v>
      </c>
      <c r="ER287">
        <f t="shared" si="629"/>
        <v>780292</v>
      </c>
      <c r="ES287">
        <f t="shared" si="620"/>
        <v>48000</v>
      </c>
      <c r="ET287">
        <f t="shared" si="621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676"/>
        <v>48000</v>
      </c>
      <c r="FF287">
        <f t="shared" si="677"/>
        <v>48000</v>
      </c>
      <c r="FG287">
        <f t="shared" si="678"/>
        <v>732292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622"/>
        <v>0</v>
      </c>
      <c r="FP287">
        <f t="shared" si="679"/>
        <v>732292</v>
      </c>
      <c r="FQ287">
        <f t="shared" si="680"/>
        <v>12500</v>
      </c>
      <c r="FR287">
        <f t="shared" si="681"/>
        <v>46458</v>
      </c>
      <c r="FS287">
        <f t="shared" si="682"/>
        <v>58958</v>
      </c>
      <c r="FT287">
        <f t="shared" si="683"/>
        <v>58958</v>
      </c>
      <c r="FU287">
        <f t="shared" si="684"/>
        <v>2358.3200000000002</v>
      </c>
      <c r="FV287">
        <f t="shared" si="685"/>
        <v>61316</v>
      </c>
      <c r="FW287">
        <v>0</v>
      </c>
      <c r="FX287">
        <f t="shared" si="686"/>
        <v>61316</v>
      </c>
      <c r="FY287" t="b">
        <f t="shared" si="687"/>
        <v>1</v>
      </c>
      <c r="FZ287">
        <f t="shared" ca="1" si="688"/>
        <v>706</v>
      </c>
      <c r="GA287">
        <f t="shared" ca="1" si="689"/>
        <v>833398</v>
      </c>
      <c r="GB287">
        <f t="shared" si="690"/>
        <v>75000</v>
      </c>
      <c r="GC287">
        <f t="shared" ca="1" si="691"/>
        <v>758398</v>
      </c>
      <c r="GD287">
        <f t="shared" ca="1" si="692"/>
        <v>0</v>
      </c>
      <c r="GE287">
        <f t="shared" ca="1" si="693"/>
        <v>0</v>
      </c>
      <c r="GF287">
        <f t="shared" ca="1" si="694"/>
        <v>0</v>
      </c>
      <c r="GG287">
        <f t="shared" ca="1" si="695"/>
        <v>0</v>
      </c>
      <c r="GH287">
        <f t="shared" ca="1" si="696"/>
        <v>0</v>
      </c>
      <c r="GI287">
        <f t="shared" ca="1" si="697"/>
        <v>0</v>
      </c>
      <c r="GJ287">
        <f t="shared" ca="1" si="623"/>
        <v>0</v>
      </c>
      <c r="GK287">
        <f t="shared" ca="1" si="698"/>
        <v>0</v>
      </c>
      <c r="GL287">
        <f t="shared" ca="1" si="699"/>
        <v>0</v>
      </c>
      <c r="GM287">
        <f t="shared" ca="1" si="700"/>
        <v>0</v>
      </c>
      <c r="GN287">
        <f t="shared" ca="1" si="701"/>
        <v>358398</v>
      </c>
      <c r="GO287">
        <f t="shared" ca="1" si="702"/>
        <v>17919.900000000001</v>
      </c>
      <c r="GP287">
        <f t="shared" ca="1" si="703"/>
        <v>17920</v>
      </c>
      <c r="GQ287">
        <f t="shared" ca="1" si="704"/>
        <v>0</v>
      </c>
      <c r="GR287">
        <f t="shared" ca="1" si="705"/>
        <v>0</v>
      </c>
      <c r="GS287">
        <f t="shared" ca="1" si="706"/>
        <v>17920</v>
      </c>
      <c r="GT287">
        <f t="shared" ca="1" si="707"/>
        <v>0</v>
      </c>
      <c r="GU287" t="b">
        <f t="shared" ca="1" si="708"/>
        <v>0</v>
      </c>
      <c r="GV287">
        <f t="shared" ca="1" si="709"/>
        <v>0</v>
      </c>
      <c r="GW287">
        <f t="shared" ca="1" si="710"/>
        <v>17920</v>
      </c>
      <c r="GX287">
        <f t="shared" ca="1" si="711"/>
        <v>0</v>
      </c>
      <c r="GY287">
        <f t="shared" ca="1" si="712"/>
        <v>0</v>
      </c>
      <c r="GZ287">
        <f t="shared" ca="1" si="713"/>
        <v>0</v>
      </c>
    </row>
    <row r="288" spans="1:208" x14ac:dyDescent="0.3">
      <c r="A288">
        <f>_xlfn.AGGREGATE(3,5,$B$2:B288)</f>
        <v>287</v>
      </c>
      <c r="B288" t="s">
        <v>674</v>
      </c>
      <c r="C288" t="s">
        <v>675</v>
      </c>
      <c r="D288" t="s">
        <v>824</v>
      </c>
      <c r="E288" t="s">
        <v>830</v>
      </c>
      <c r="F288" t="s">
        <v>956</v>
      </c>
      <c r="G288" t="s">
        <v>877</v>
      </c>
      <c r="H288">
        <f t="shared" si="715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630"/>
        <v>4830.0000000000009</v>
      </c>
      <c r="L288">
        <f t="shared" si="631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608"/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714"/>
        <v>200</v>
      </c>
      <c r="S288">
        <f t="shared" si="624"/>
        <v>40770</v>
      </c>
      <c r="T288">
        <f>_xlfn.XLOOKUP(B288,'[2]april-2025'!$A:$A,'[2]april-2025'!$C:$C,0,0)</f>
        <v>34500</v>
      </c>
      <c r="U288">
        <f t="shared" si="632"/>
        <v>6210</v>
      </c>
      <c r="V288">
        <f t="shared" si="633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625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634"/>
        <v>200</v>
      </c>
      <c r="AC288">
        <f t="shared" si="635"/>
        <v>42150</v>
      </c>
      <c r="AD288">
        <f>_xlfn.XLOOKUP(B288,'[3]may-2025'!$A:$A,'[3]may-2025'!$C:$C,0,0)</f>
        <v>34500</v>
      </c>
      <c r="AE288">
        <f t="shared" si="636"/>
        <v>6210</v>
      </c>
      <c r="AF288">
        <f t="shared" si="637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626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638"/>
        <v>200</v>
      </c>
      <c r="AM288">
        <f t="shared" si="639"/>
        <v>42150</v>
      </c>
      <c r="AN288">
        <f>_xlfn.XLOOKUP(B288,'[4]june-2025'!$A:$A,'[4]june-2025'!$C:$C,0,0)</f>
        <v>34500</v>
      </c>
      <c r="AO288">
        <f t="shared" si="640"/>
        <v>6210</v>
      </c>
      <c r="AP288">
        <f t="shared" si="64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627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642"/>
        <v>200</v>
      </c>
      <c r="AW288">
        <f t="shared" si="643"/>
        <v>42150</v>
      </c>
      <c r="AX288">
        <f>_xlfn.XLOOKUP(B288,'[5]july-2025'!$A:$A,'[5]july-2025'!$C:$C,0,0)</f>
        <v>35500</v>
      </c>
      <c r="AY288">
        <f t="shared" si="644"/>
        <v>6390</v>
      </c>
      <c r="AZ288">
        <v>0</v>
      </c>
      <c r="BA288">
        <f t="shared" si="645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609"/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646"/>
        <v>200</v>
      </c>
      <c r="BH288">
        <f t="shared" si="647"/>
        <v>43450</v>
      </c>
      <c r="BI288">
        <f>_xlfn.XLOOKUP(B288,'[6]august-2025'!$A:$A,'[6]august-2025'!$C:$C,0,0)</f>
        <v>35500</v>
      </c>
      <c r="BJ288">
        <f t="shared" si="648"/>
        <v>6390</v>
      </c>
      <c r="BK288">
        <f t="shared" si="649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650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 t="shared" si="610"/>
        <v>200</v>
      </c>
      <c r="BR288">
        <f t="shared" si="611"/>
        <v>43450</v>
      </c>
      <c r="BS288">
        <f>_xlfn.XLOOKUP(B288,'[7]september-2025'!$A:$A,'[7]september-2025'!$C:$C,0,0)</f>
        <v>35500</v>
      </c>
      <c r="BT288">
        <f t="shared" si="651"/>
        <v>6390</v>
      </c>
      <c r="BU288">
        <f t="shared" si="652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612"/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653"/>
        <v>200</v>
      </c>
      <c r="CB288">
        <f t="shared" si="654"/>
        <v>43450</v>
      </c>
      <c r="CC288">
        <f>_xlfn.XLOOKUP(B288,'[8]october-2025'!$A:$A,'[8]october-2025'!$C:$C,0,0)</f>
        <v>35500</v>
      </c>
      <c r="CD288">
        <f t="shared" si="655"/>
        <v>6390</v>
      </c>
      <c r="CE288">
        <f t="shared" si="656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613"/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657"/>
        <v>200</v>
      </c>
      <c r="CL288">
        <f t="shared" si="658"/>
        <v>43450</v>
      </c>
      <c r="CM288">
        <f>_xlfn.XLOOKUP(B288,'[9]november-2025'!$A:$A,'[9]november-2025'!$C:$C,0,0)</f>
        <v>35500</v>
      </c>
      <c r="CN288">
        <f t="shared" si="659"/>
        <v>6390</v>
      </c>
      <c r="CO288">
        <f t="shared" si="660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614"/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661"/>
        <v>200</v>
      </c>
      <c r="CV288">
        <f t="shared" si="662"/>
        <v>43450</v>
      </c>
      <c r="CW288">
        <f>_xlfn.XLOOKUP(B288,'[10]december-2025'!$A:$A,'[10]december-2025'!$C:$C,0,0)</f>
        <v>35500</v>
      </c>
      <c r="CX288">
        <f t="shared" si="663"/>
        <v>6390</v>
      </c>
      <c r="CY288">
        <f t="shared" si="664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615"/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665"/>
        <v>200</v>
      </c>
      <c r="DF288">
        <f t="shared" si="666"/>
        <v>43450</v>
      </c>
      <c r="DG288">
        <f>_xlfn.XLOOKUP(B288,'[11]january-2026'!$A:$A,'[11]january-2026'!$C:$C,0,0)</f>
        <v>35500</v>
      </c>
      <c r="DH288">
        <f t="shared" si="667"/>
        <v>6390</v>
      </c>
      <c r="DI288">
        <f t="shared" si="668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16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69"/>
        <v>200</v>
      </c>
      <c r="DP288">
        <f t="shared" si="670"/>
        <v>43450</v>
      </c>
      <c r="DQ288">
        <f>_xlfn.XLOOKUP(B288,'[12]february-2026'!$A:$A,'[12]february-2026'!$C:$C,0,0)</f>
        <v>35500</v>
      </c>
      <c r="DR288">
        <f t="shared" si="671"/>
        <v>6390</v>
      </c>
      <c r="DS288">
        <f t="shared" si="672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617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673"/>
        <v>200</v>
      </c>
      <c r="DZ288">
        <f t="shared" si="674"/>
        <v>43450</v>
      </c>
      <c r="EA288">
        <f>_xlfn.XLOOKUP(B288,'[1]march-2025'!$A:$A,'[1]march-2025'!$J:$J,0,0)</f>
        <v>0</v>
      </c>
      <c r="EB288">
        <f>_xlfn.XLOOKUP(B288,'[2]april-2025'!$A:$A,'[2]april-2025'!$J:$J,0,0)</f>
        <v>0</v>
      </c>
      <c r="EC288">
        <f>_xlfn.XLOOKUP(B288,'[3]may-2025'!$A:$A,'[3]may-2025'!$J:$J,0,0)</f>
        <v>0</v>
      </c>
      <c r="ED288">
        <f>_xlfn.XLOOKUP(B288,'[4]june-2025'!$A:$A,'[4]june-2025'!$J:$J,0,0)</f>
        <v>0</v>
      </c>
      <c r="EE288">
        <f>_xlfn.XLOOKUP(B288,'[5]july-2025'!$A:$A,'[5]july-2025'!$J:$J,0,0)</f>
        <v>0</v>
      </c>
      <c r="EF288">
        <f>_xlfn.XLOOKUP(B288,'[6]august-2025'!$A:$A,'[6]august-2025'!$J:$J,0,0)</f>
        <v>0</v>
      </c>
      <c r="EG288">
        <f>_xlfn.XLOOKUP(B288,'[7]september-2025'!$A:$A,'[7]september-2025'!$J:$J,0,0)</f>
        <v>0</v>
      </c>
      <c r="EH288">
        <f>_xlfn.XLOOKUP(B288,'[8]october-2025'!$A:$A,'[8]october-2025'!$J:$J,0,0)</f>
        <v>0</v>
      </c>
      <c r="EI288">
        <f>_xlfn.XLOOKUP(C288,'[9]november-2025'!$A:$A,'[9]november-2025'!$J:$J,0,0)</f>
        <v>0</v>
      </c>
      <c r="EJ288">
        <f>_xlfn.XLOOKUP(B288,'[10]december-2025'!$A:$A,'[10]december-2025'!$J:$J,0,0)</f>
        <v>0</v>
      </c>
      <c r="EK288">
        <f>_xlfn.XLOOKUP(B288,'[11]january-2026'!$A:$A,'[11]january-2026'!$J:$J,0,0)</f>
        <v>0</v>
      </c>
      <c r="EL288">
        <f>_xlfn.XLOOKUP(B288,'[12]february-2026'!$A:$A,'[12]february-2026'!$J:$J,0,0)</f>
        <v>0</v>
      </c>
      <c r="EM288">
        <f t="shared" si="628"/>
        <v>0</v>
      </c>
      <c r="EN288">
        <f t="shared" si="618"/>
        <v>560020</v>
      </c>
      <c r="EO288">
        <f t="shared" si="619"/>
        <v>2400</v>
      </c>
      <c r="EP288">
        <f t="shared" si="675"/>
        <v>50000</v>
      </c>
      <c r="EQ288">
        <v>0</v>
      </c>
      <c r="ER288">
        <f t="shared" si="629"/>
        <v>507620</v>
      </c>
      <c r="ES288">
        <f t="shared" si="620"/>
        <v>36000</v>
      </c>
      <c r="ET288">
        <f t="shared" si="621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676"/>
        <v>36000</v>
      </c>
      <c r="FF288">
        <f t="shared" si="677"/>
        <v>36000</v>
      </c>
      <c r="FG288">
        <f t="shared" si="678"/>
        <v>471620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622"/>
        <v>0</v>
      </c>
      <c r="FP288">
        <f t="shared" si="679"/>
        <v>471620</v>
      </c>
      <c r="FQ288">
        <f t="shared" si="680"/>
        <v>11081</v>
      </c>
      <c r="FR288">
        <f t="shared" si="681"/>
        <v>0</v>
      </c>
      <c r="FS288">
        <f t="shared" si="682"/>
        <v>11081</v>
      </c>
      <c r="FT288">
        <f t="shared" si="683"/>
        <v>0</v>
      </c>
      <c r="FU288">
        <f t="shared" si="684"/>
        <v>0</v>
      </c>
      <c r="FV288">
        <f t="shared" si="685"/>
        <v>0</v>
      </c>
      <c r="FW288">
        <v>0</v>
      </c>
      <c r="FX288">
        <f t="shared" si="686"/>
        <v>0</v>
      </c>
      <c r="FY288" t="b">
        <f t="shared" si="687"/>
        <v>1</v>
      </c>
      <c r="FZ288">
        <f t="shared" ca="1" si="688"/>
        <v>622</v>
      </c>
      <c r="GA288">
        <f t="shared" ca="1" si="689"/>
        <v>560642</v>
      </c>
      <c r="GB288">
        <f t="shared" si="690"/>
        <v>75000</v>
      </c>
      <c r="GC288">
        <f t="shared" ca="1" si="691"/>
        <v>485642</v>
      </c>
      <c r="GD288">
        <f t="shared" ca="1" si="692"/>
        <v>0</v>
      </c>
      <c r="GE288">
        <f t="shared" ca="1" si="693"/>
        <v>0</v>
      </c>
      <c r="GF288">
        <f t="shared" ca="1" si="694"/>
        <v>0</v>
      </c>
      <c r="GG288">
        <f t="shared" ca="1" si="695"/>
        <v>0</v>
      </c>
      <c r="GH288">
        <f t="shared" ca="1" si="696"/>
        <v>0</v>
      </c>
      <c r="GI288">
        <f t="shared" ca="1" si="697"/>
        <v>0</v>
      </c>
      <c r="GJ288">
        <f t="shared" ca="1" si="623"/>
        <v>0</v>
      </c>
      <c r="GK288">
        <f t="shared" ca="1" si="698"/>
        <v>0</v>
      </c>
      <c r="GL288">
        <f t="shared" ca="1" si="699"/>
        <v>0</v>
      </c>
      <c r="GM288">
        <f t="shared" ca="1" si="700"/>
        <v>0</v>
      </c>
      <c r="GN288">
        <f t="shared" ca="1" si="701"/>
        <v>85642</v>
      </c>
      <c r="GO288">
        <f t="shared" ca="1" si="702"/>
        <v>4282.1000000000004</v>
      </c>
      <c r="GP288">
        <f t="shared" ca="1" si="703"/>
        <v>4282</v>
      </c>
      <c r="GQ288">
        <f t="shared" ca="1" si="704"/>
        <v>0</v>
      </c>
      <c r="GR288">
        <f t="shared" ca="1" si="705"/>
        <v>0</v>
      </c>
      <c r="GS288">
        <f t="shared" ca="1" si="706"/>
        <v>4282</v>
      </c>
      <c r="GT288">
        <f t="shared" ca="1" si="707"/>
        <v>0</v>
      </c>
      <c r="GU288" t="b">
        <f t="shared" ca="1" si="708"/>
        <v>0</v>
      </c>
      <c r="GV288">
        <f t="shared" ca="1" si="709"/>
        <v>0</v>
      </c>
      <c r="GW288">
        <f t="shared" ca="1" si="710"/>
        <v>4282</v>
      </c>
      <c r="GX288">
        <f t="shared" ca="1" si="711"/>
        <v>0</v>
      </c>
      <c r="GY288">
        <f t="shared" ca="1" si="712"/>
        <v>0</v>
      </c>
      <c r="GZ288">
        <f t="shared" ca="1" si="713"/>
        <v>0</v>
      </c>
    </row>
    <row r="289" spans="1:208" x14ac:dyDescent="0.3">
      <c r="A289">
        <f>_xlfn.AGGREGATE(3,5,$B$2:B289)</f>
        <v>288</v>
      </c>
      <c r="B289" t="s">
        <v>676</v>
      </c>
      <c r="C289" t="s">
        <v>677</v>
      </c>
      <c r="D289" t="s">
        <v>824</v>
      </c>
      <c r="E289" t="s">
        <v>830</v>
      </c>
      <c r="F289" t="s">
        <v>956</v>
      </c>
      <c r="G289" t="s">
        <v>877</v>
      </c>
      <c r="H289">
        <f t="shared" si="715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630"/>
        <v>4830.0000000000009</v>
      </c>
      <c r="L289">
        <f t="shared" si="631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608"/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714"/>
        <v>200</v>
      </c>
      <c r="S289">
        <f t="shared" si="624"/>
        <v>41270</v>
      </c>
      <c r="T289">
        <f>_xlfn.XLOOKUP(B289,'[2]april-2025'!$A:$A,'[2]april-2025'!$C:$C,0,0)</f>
        <v>34500</v>
      </c>
      <c r="U289">
        <f t="shared" si="632"/>
        <v>6210</v>
      </c>
      <c r="V289">
        <f t="shared" si="633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625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634"/>
        <v>200</v>
      </c>
      <c r="AC289">
        <f t="shared" si="635"/>
        <v>42650</v>
      </c>
      <c r="AD289">
        <f>_xlfn.XLOOKUP(B289,'[3]may-2025'!$A:$A,'[3]may-2025'!$C:$C,0,0)</f>
        <v>34500</v>
      </c>
      <c r="AE289">
        <f t="shared" si="636"/>
        <v>6210</v>
      </c>
      <c r="AF289">
        <f t="shared" si="637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626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638"/>
        <v>200</v>
      </c>
      <c r="AM289">
        <f t="shared" si="639"/>
        <v>42650</v>
      </c>
      <c r="AN289">
        <f>_xlfn.XLOOKUP(B289,'[4]june-2025'!$A:$A,'[4]june-2025'!$C:$C,0,0)</f>
        <v>34500</v>
      </c>
      <c r="AO289">
        <f t="shared" si="640"/>
        <v>6210</v>
      </c>
      <c r="AP289">
        <f t="shared" si="64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627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642"/>
        <v>200</v>
      </c>
      <c r="AW289">
        <f t="shared" si="643"/>
        <v>42650</v>
      </c>
      <c r="AX289">
        <f>_xlfn.XLOOKUP(B289,'[5]july-2025'!$A:$A,'[5]july-2025'!$C:$C,0,0)</f>
        <v>35500</v>
      </c>
      <c r="AY289">
        <f t="shared" si="644"/>
        <v>6390</v>
      </c>
      <c r="AZ289">
        <v>0</v>
      </c>
      <c r="BA289">
        <f t="shared" si="645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609"/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646"/>
        <v>200</v>
      </c>
      <c r="BH289">
        <f t="shared" si="647"/>
        <v>43950</v>
      </c>
      <c r="BI289">
        <f>_xlfn.XLOOKUP(B289,'[6]august-2025'!$A:$A,'[6]august-2025'!$C:$C,0,0)</f>
        <v>35500</v>
      </c>
      <c r="BJ289">
        <f t="shared" si="648"/>
        <v>6390</v>
      </c>
      <c r="BK289">
        <f t="shared" si="649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650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 t="shared" si="610"/>
        <v>200</v>
      </c>
      <c r="BR289">
        <f t="shared" si="611"/>
        <v>43950</v>
      </c>
      <c r="BS289">
        <f>_xlfn.XLOOKUP(B289,'[7]september-2025'!$A:$A,'[7]september-2025'!$C:$C,0,0)</f>
        <v>35500</v>
      </c>
      <c r="BT289">
        <f t="shared" si="651"/>
        <v>6390</v>
      </c>
      <c r="BU289">
        <f t="shared" si="652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612"/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653"/>
        <v>200</v>
      </c>
      <c r="CB289">
        <f t="shared" si="654"/>
        <v>43950</v>
      </c>
      <c r="CC289">
        <f>_xlfn.XLOOKUP(B289,'[8]october-2025'!$A:$A,'[8]october-2025'!$C:$C,0,0)</f>
        <v>35500</v>
      </c>
      <c r="CD289">
        <f t="shared" si="655"/>
        <v>6390</v>
      </c>
      <c r="CE289">
        <f t="shared" si="656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613"/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657"/>
        <v>200</v>
      </c>
      <c r="CL289">
        <f t="shared" si="658"/>
        <v>43950</v>
      </c>
      <c r="CM289">
        <f>_xlfn.XLOOKUP(B289,'[9]november-2025'!$A:$A,'[9]november-2025'!$C:$C,0,0)</f>
        <v>35500</v>
      </c>
      <c r="CN289">
        <f t="shared" si="659"/>
        <v>6390</v>
      </c>
      <c r="CO289">
        <f t="shared" si="660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614"/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661"/>
        <v>200</v>
      </c>
      <c r="CV289">
        <f t="shared" si="662"/>
        <v>43950</v>
      </c>
      <c r="CW289">
        <f>_xlfn.XLOOKUP(B289,'[10]december-2025'!$A:$A,'[10]december-2025'!$C:$C,0,0)</f>
        <v>35500</v>
      </c>
      <c r="CX289">
        <f t="shared" si="663"/>
        <v>6390</v>
      </c>
      <c r="CY289">
        <f t="shared" si="664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615"/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665"/>
        <v>200</v>
      </c>
      <c r="DF289">
        <f t="shared" si="666"/>
        <v>43950</v>
      </c>
      <c r="DG289">
        <f>_xlfn.XLOOKUP(B289,'[11]january-2026'!$A:$A,'[11]january-2026'!$C:$C,0,0)</f>
        <v>35500</v>
      </c>
      <c r="DH289">
        <f t="shared" si="667"/>
        <v>6390</v>
      </c>
      <c r="DI289">
        <f t="shared" si="668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16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69"/>
        <v>200</v>
      </c>
      <c r="DP289">
        <f t="shared" si="670"/>
        <v>43950</v>
      </c>
      <c r="DQ289">
        <f>_xlfn.XLOOKUP(B289,'[12]february-2026'!$A:$A,'[12]february-2026'!$C:$C,0,0)</f>
        <v>35500</v>
      </c>
      <c r="DR289">
        <f t="shared" si="671"/>
        <v>6390</v>
      </c>
      <c r="DS289">
        <f t="shared" si="672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617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673"/>
        <v>200</v>
      </c>
      <c r="DZ289">
        <f t="shared" si="674"/>
        <v>43950</v>
      </c>
      <c r="EA289">
        <f>_xlfn.XLOOKUP(B289,'[1]march-2025'!$A:$A,'[1]march-2025'!$J:$J,0,0)</f>
        <v>0</v>
      </c>
      <c r="EB289">
        <f>_xlfn.XLOOKUP(B289,'[2]april-2025'!$A:$A,'[2]april-2025'!$J:$J,0,0)</f>
        <v>0</v>
      </c>
      <c r="EC289">
        <f>_xlfn.XLOOKUP(B289,'[3]may-2025'!$A:$A,'[3]may-2025'!$J:$J,0,0)</f>
        <v>0</v>
      </c>
      <c r="ED289">
        <f>_xlfn.XLOOKUP(B289,'[4]june-2025'!$A:$A,'[4]june-2025'!$J:$J,0,0)</f>
        <v>0</v>
      </c>
      <c r="EE289">
        <f>_xlfn.XLOOKUP(B289,'[5]july-2025'!$A:$A,'[5]july-2025'!$J:$J,0,0)</f>
        <v>0</v>
      </c>
      <c r="EF289">
        <f>_xlfn.XLOOKUP(B289,'[6]august-2025'!$A:$A,'[6]august-2025'!$J:$J,0,0)</f>
        <v>0</v>
      </c>
      <c r="EG289">
        <f>_xlfn.XLOOKUP(B289,'[7]september-2025'!$A:$A,'[7]september-2025'!$J:$J,0,0)</f>
        <v>0</v>
      </c>
      <c r="EH289">
        <f>_xlfn.XLOOKUP(B289,'[8]october-2025'!$A:$A,'[8]october-2025'!$J:$J,0,0)</f>
        <v>0</v>
      </c>
      <c r="EI289">
        <f>_xlfn.XLOOKUP(C289,'[9]november-2025'!$A:$A,'[9]november-2025'!$J:$J,0,0)</f>
        <v>0</v>
      </c>
      <c r="EJ289">
        <f>_xlfn.XLOOKUP(B289,'[10]december-2025'!$A:$A,'[10]december-2025'!$J:$J,0,0)</f>
        <v>0</v>
      </c>
      <c r="EK289">
        <f>_xlfn.XLOOKUP(B289,'[11]january-2026'!$A:$A,'[11]january-2026'!$J:$J,0,0)</f>
        <v>0</v>
      </c>
      <c r="EL289">
        <f>_xlfn.XLOOKUP(B289,'[12]february-2026'!$A:$A,'[12]february-2026'!$J:$J,0,0)</f>
        <v>0</v>
      </c>
      <c r="EM289">
        <f t="shared" si="628"/>
        <v>0</v>
      </c>
      <c r="EN289">
        <f t="shared" si="618"/>
        <v>560020</v>
      </c>
      <c r="EO289">
        <f t="shared" si="619"/>
        <v>2400</v>
      </c>
      <c r="EP289">
        <f t="shared" si="675"/>
        <v>50000</v>
      </c>
      <c r="EQ289">
        <v>0</v>
      </c>
      <c r="ER289">
        <f t="shared" si="629"/>
        <v>507620</v>
      </c>
      <c r="ES289">
        <f t="shared" si="620"/>
        <v>30000</v>
      </c>
      <c r="ET289">
        <f t="shared" si="621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676"/>
        <v>30000</v>
      </c>
      <c r="FF289">
        <f t="shared" si="677"/>
        <v>30000</v>
      </c>
      <c r="FG289">
        <f t="shared" si="678"/>
        <v>477620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622"/>
        <v>0</v>
      </c>
      <c r="FP289">
        <f t="shared" si="679"/>
        <v>477620</v>
      </c>
      <c r="FQ289">
        <f t="shared" si="680"/>
        <v>11381</v>
      </c>
      <c r="FR289">
        <f t="shared" si="681"/>
        <v>0</v>
      </c>
      <c r="FS289">
        <f t="shared" si="682"/>
        <v>11381</v>
      </c>
      <c r="FT289">
        <f t="shared" si="683"/>
        <v>0</v>
      </c>
      <c r="FU289">
        <f t="shared" si="684"/>
        <v>0</v>
      </c>
      <c r="FV289">
        <f t="shared" si="685"/>
        <v>0</v>
      </c>
      <c r="FW289">
        <v>0</v>
      </c>
      <c r="FX289">
        <f t="shared" si="686"/>
        <v>0</v>
      </c>
      <c r="FY289" t="b">
        <f t="shared" si="687"/>
        <v>1</v>
      </c>
      <c r="FZ289">
        <f t="shared" ca="1" si="688"/>
        <v>524</v>
      </c>
      <c r="GA289">
        <f t="shared" ca="1" si="689"/>
        <v>560544</v>
      </c>
      <c r="GB289">
        <f t="shared" si="690"/>
        <v>75000</v>
      </c>
      <c r="GC289">
        <f t="shared" ca="1" si="691"/>
        <v>485544</v>
      </c>
      <c r="GD289">
        <f t="shared" ca="1" si="692"/>
        <v>0</v>
      </c>
      <c r="GE289">
        <f t="shared" ca="1" si="693"/>
        <v>0</v>
      </c>
      <c r="GF289">
        <f t="shared" ca="1" si="694"/>
        <v>0</v>
      </c>
      <c r="GG289">
        <f t="shared" ca="1" si="695"/>
        <v>0</v>
      </c>
      <c r="GH289">
        <f t="shared" ca="1" si="696"/>
        <v>0</v>
      </c>
      <c r="GI289">
        <f t="shared" ca="1" si="697"/>
        <v>0</v>
      </c>
      <c r="GJ289">
        <f t="shared" ca="1" si="623"/>
        <v>0</v>
      </c>
      <c r="GK289">
        <f t="shared" ca="1" si="698"/>
        <v>0</v>
      </c>
      <c r="GL289">
        <f t="shared" ca="1" si="699"/>
        <v>0</v>
      </c>
      <c r="GM289">
        <f t="shared" ca="1" si="700"/>
        <v>0</v>
      </c>
      <c r="GN289">
        <f t="shared" ca="1" si="701"/>
        <v>85544</v>
      </c>
      <c r="GO289">
        <f t="shared" ca="1" si="702"/>
        <v>4277.2</v>
      </c>
      <c r="GP289">
        <f t="shared" ca="1" si="703"/>
        <v>4277</v>
      </c>
      <c r="GQ289">
        <f t="shared" ca="1" si="704"/>
        <v>0</v>
      </c>
      <c r="GR289">
        <f t="shared" ca="1" si="705"/>
        <v>0</v>
      </c>
      <c r="GS289">
        <f t="shared" ca="1" si="706"/>
        <v>4277</v>
      </c>
      <c r="GT289">
        <f t="shared" ca="1" si="707"/>
        <v>0</v>
      </c>
      <c r="GU289" t="b">
        <f t="shared" ca="1" si="708"/>
        <v>0</v>
      </c>
      <c r="GV289">
        <f t="shared" ca="1" si="709"/>
        <v>0</v>
      </c>
      <c r="GW289">
        <f t="shared" ca="1" si="710"/>
        <v>4277</v>
      </c>
      <c r="GX289">
        <f t="shared" ca="1" si="711"/>
        <v>0</v>
      </c>
      <c r="GY289">
        <f t="shared" ca="1" si="712"/>
        <v>0</v>
      </c>
      <c r="GZ289">
        <f t="shared" ca="1" si="713"/>
        <v>0</v>
      </c>
    </row>
    <row r="290" spans="1:208" x14ac:dyDescent="0.3">
      <c r="A290">
        <f>_xlfn.AGGREGATE(3,5,$B$2:B290)</f>
        <v>289</v>
      </c>
      <c r="B290" t="s">
        <v>678</v>
      </c>
      <c r="C290" t="s">
        <v>679</v>
      </c>
      <c r="D290" t="s">
        <v>824</v>
      </c>
      <c r="E290" t="s">
        <v>830</v>
      </c>
      <c r="F290" t="s">
        <v>956</v>
      </c>
      <c r="G290" t="s">
        <v>878</v>
      </c>
      <c r="H290">
        <f t="shared" si="715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630"/>
        <v>3780.0000000000005</v>
      </c>
      <c r="L290">
        <f t="shared" si="631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608"/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714"/>
        <v>150</v>
      </c>
      <c r="S290">
        <f t="shared" si="624"/>
        <v>32370</v>
      </c>
      <c r="T290">
        <f>_xlfn.XLOOKUP(B290,'[2]april-2025'!$A:$A,'[2]april-2025'!$C:$C,0,0)</f>
        <v>27000</v>
      </c>
      <c r="U290">
        <f t="shared" si="632"/>
        <v>4860</v>
      </c>
      <c r="V290">
        <f t="shared" si="633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625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634"/>
        <v>150</v>
      </c>
      <c r="AC290">
        <f t="shared" si="635"/>
        <v>33450</v>
      </c>
      <c r="AD290">
        <f>_xlfn.XLOOKUP(B290,'[3]may-2025'!$A:$A,'[3]may-2025'!$C:$C,0,0)</f>
        <v>31600</v>
      </c>
      <c r="AE290">
        <f t="shared" si="636"/>
        <v>5688</v>
      </c>
      <c r="AF290">
        <f t="shared" si="637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626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638"/>
        <v>200</v>
      </c>
      <c r="AM290">
        <f t="shared" si="639"/>
        <v>39380</v>
      </c>
      <c r="AN290">
        <f>_xlfn.XLOOKUP(B290,'[4]june-2025'!$A:$A,'[4]june-2025'!$C:$C,0,0)</f>
        <v>27000</v>
      </c>
      <c r="AO290">
        <f t="shared" si="640"/>
        <v>4860</v>
      </c>
      <c r="AP290">
        <f t="shared" si="64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627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642"/>
        <v>150</v>
      </c>
      <c r="AW290">
        <f t="shared" si="643"/>
        <v>33450</v>
      </c>
      <c r="AX290">
        <f>_xlfn.XLOOKUP(B290,'[5]july-2025'!$A:$A,'[5]july-2025'!$C:$C,0,0)</f>
        <v>32500</v>
      </c>
      <c r="AY290">
        <f t="shared" si="644"/>
        <v>5850</v>
      </c>
      <c r="AZ290">
        <v>0</v>
      </c>
      <c r="BA290">
        <f t="shared" si="645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609"/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646"/>
        <v>200</v>
      </c>
      <c r="BH290">
        <f t="shared" si="647"/>
        <v>40550</v>
      </c>
      <c r="BI290">
        <f>_xlfn.XLOOKUP(B290,'[6]august-2025'!$A:$A,'[6]august-2025'!$C:$C,0,0)</f>
        <v>32500</v>
      </c>
      <c r="BJ290">
        <f t="shared" si="648"/>
        <v>5850</v>
      </c>
      <c r="BK290">
        <f t="shared" si="649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650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610"/>
        <v>200</v>
      </c>
      <c r="BR290">
        <f t="shared" si="611"/>
        <v>40550</v>
      </c>
      <c r="BS290">
        <f>_xlfn.XLOOKUP(B290,'[7]september-2025'!$A:$A,'[7]september-2025'!$C:$C,0,0)</f>
        <v>32500</v>
      </c>
      <c r="BT290">
        <f t="shared" si="651"/>
        <v>5850</v>
      </c>
      <c r="BU290">
        <f t="shared" si="652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612"/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653"/>
        <v>200</v>
      </c>
      <c r="CB290">
        <f t="shared" si="654"/>
        <v>40550</v>
      </c>
      <c r="CC290">
        <f>_xlfn.XLOOKUP(B290,'[8]october-2025'!$A:$A,'[8]october-2025'!$C:$C,0,0)</f>
        <v>32500</v>
      </c>
      <c r="CD290">
        <f t="shared" si="655"/>
        <v>5850</v>
      </c>
      <c r="CE290">
        <f t="shared" si="656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613"/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657"/>
        <v>200</v>
      </c>
      <c r="CL290">
        <f t="shared" si="658"/>
        <v>40550</v>
      </c>
      <c r="CM290">
        <f>_xlfn.XLOOKUP(B290,'[9]november-2025'!$A:$A,'[9]november-2025'!$C:$C,0,0)</f>
        <v>32500</v>
      </c>
      <c r="CN290">
        <f t="shared" si="659"/>
        <v>5850</v>
      </c>
      <c r="CO290">
        <f t="shared" si="660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614"/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661"/>
        <v>200</v>
      </c>
      <c r="CV290">
        <f t="shared" si="662"/>
        <v>40550</v>
      </c>
      <c r="CW290">
        <f>_xlfn.XLOOKUP(B290,'[10]december-2025'!$A:$A,'[10]december-2025'!$C:$C,0,0)</f>
        <v>32500</v>
      </c>
      <c r="CX290">
        <f t="shared" si="663"/>
        <v>5850</v>
      </c>
      <c r="CY290">
        <f t="shared" si="664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615"/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665"/>
        <v>200</v>
      </c>
      <c r="DF290">
        <f t="shared" si="666"/>
        <v>40550</v>
      </c>
      <c r="DG290">
        <f>_xlfn.XLOOKUP(B290,'[11]january-2026'!$A:$A,'[11]january-2026'!$C:$C,0,0)</f>
        <v>32500</v>
      </c>
      <c r="DH290">
        <f t="shared" si="667"/>
        <v>5850</v>
      </c>
      <c r="DI290">
        <f t="shared" si="668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16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69"/>
        <v>200</v>
      </c>
      <c r="DP290">
        <f t="shared" si="670"/>
        <v>40550</v>
      </c>
      <c r="DQ290">
        <f>_xlfn.XLOOKUP(B290,'[12]february-2026'!$A:$A,'[12]february-2026'!$C:$C,0,0)</f>
        <v>32500</v>
      </c>
      <c r="DR290">
        <f t="shared" si="671"/>
        <v>5850</v>
      </c>
      <c r="DS290">
        <f t="shared" si="672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617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673"/>
        <v>200</v>
      </c>
      <c r="DZ290">
        <f t="shared" si="674"/>
        <v>40550</v>
      </c>
      <c r="EA290">
        <f>_xlfn.XLOOKUP(B290,'[1]march-2025'!$A:$A,'[1]march-2025'!$J:$J,0,0)</f>
        <v>0</v>
      </c>
      <c r="EB290">
        <f>_xlfn.XLOOKUP(B290,'[2]april-2025'!$A:$A,'[2]april-2025'!$J:$J,0,0)</f>
        <v>0</v>
      </c>
      <c r="EC290">
        <f>_xlfn.XLOOKUP(B290,'[3]may-2025'!$A:$A,'[3]may-2025'!$J:$J,0,0)</f>
        <v>0</v>
      </c>
      <c r="ED290">
        <f>_xlfn.XLOOKUP(B290,'[4]june-2025'!$A:$A,'[4]june-2025'!$J:$J,0,0)</f>
        <v>0</v>
      </c>
      <c r="EE290">
        <f>_xlfn.XLOOKUP(B290,'[5]july-2025'!$A:$A,'[5]july-2025'!$J:$J,0,0)</f>
        <v>0</v>
      </c>
      <c r="EF290">
        <f>_xlfn.XLOOKUP(B290,'[6]august-2025'!$A:$A,'[6]august-2025'!$J:$J,0,0)</f>
        <v>0</v>
      </c>
      <c r="EG290">
        <f>_xlfn.XLOOKUP(B290,'[7]september-2025'!$A:$A,'[7]september-2025'!$J:$J,0,0)</f>
        <v>0</v>
      </c>
      <c r="EH290">
        <f>_xlfn.XLOOKUP(B290,'[8]october-2025'!$A:$A,'[8]october-2025'!$J:$J,0,0)</f>
        <v>0</v>
      </c>
      <c r="EI290">
        <f>_xlfn.XLOOKUP(C290,'[9]november-2025'!$A:$A,'[9]november-2025'!$J:$J,0,0)</f>
        <v>0</v>
      </c>
      <c r="EJ290">
        <f>_xlfn.XLOOKUP(B290,'[10]december-2025'!$A:$A,'[10]december-2025'!$J:$J,0,0)</f>
        <v>0</v>
      </c>
      <c r="EK290">
        <f>_xlfn.XLOOKUP(B290,'[11]january-2026'!$A:$A,'[11]january-2026'!$J:$J,0,0)</f>
        <v>0</v>
      </c>
      <c r="EL290">
        <f>_xlfn.XLOOKUP(B290,'[12]february-2026'!$A:$A,'[12]february-2026'!$J:$J,0,0)</f>
        <v>0</v>
      </c>
      <c r="EM290">
        <f t="shared" si="628"/>
        <v>0</v>
      </c>
      <c r="EN290">
        <f t="shared" si="618"/>
        <v>496100</v>
      </c>
      <c r="EO290">
        <f t="shared" si="619"/>
        <v>2250</v>
      </c>
      <c r="EP290">
        <f t="shared" si="675"/>
        <v>50000</v>
      </c>
      <c r="EQ290">
        <v>0</v>
      </c>
      <c r="ER290">
        <f t="shared" si="629"/>
        <v>443850</v>
      </c>
      <c r="ES290">
        <f t="shared" si="620"/>
        <v>24000</v>
      </c>
      <c r="ET290">
        <f t="shared" si="621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676"/>
        <v>24000</v>
      </c>
      <c r="FF290">
        <f t="shared" si="677"/>
        <v>24000</v>
      </c>
      <c r="FG290">
        <f t="shared" si="678"/>
        <v>419850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622"/>
        <v>0</v>
      </c>
      <c r="FP290">
        <f t="shared" si="679"/>
        <v>419850</v>
      </c>
      <c r="FQ290">
        <f t="shared" si="680"/>
        <v>8493</v>
      </c>
      <c r="FR290">
        <f t="shared" si="681"/>
        <v>0</v>
      </c>
      <c r="FS290">
        <f t="shared" si="682"/>
        <v>8493</v>
      </c>
      <c r="FT290">
        <f t="shared" si="683"/>
        <v>0</v>
      </c>
      <c r="FU290">
        <f t="shared" si="684"/>
        <v>0</v>
      </c>
      <c r="FV290">
        <f t="shared" si="685"/>
        <v>0</v>
      </c>
      <c r="FW290">
        <v>0</v>
      </c>
      <c r="FX290">
        <f t="shared" si="686"/>
        <v>0</v>
      </c>
      <c r="FY290" t="b">
        <f t="shared" si="687"/>
        <v>0</v>
      </c>
      <c r="FZ290">
        <f t="shared" ca="1" si="688"/>
        <v>2299</v>
      </c>
      <c r="GA290">
        <f t="shared" ca="1" si="689"/>
        <v>498399</v>
      </c>
      <c r="GB290">
        <f t="shared" si="690"/>
        <v>75000</v>
      </c>
      <c r="GC290">
        <f t="shared" ca="1" si="691"/>
        <v>423399</v>
      </c>
      <c r="GD290">
        <f t="shared" ca="1" si="692"/>
        <v>0</v>
      </c>
      <c r="GE290">
        <f t="shared" ca="1" si="693"/>
        <v>0</v>
      </c>
      <c r="GF290">
        <f t="shared" ca="1" si="694"/>
        <v>0</v>
      </c>
      <c r="GG290">
        <f t="shared" ca="1" si="695"/>
        <v>0</v>
      </c>
      <c r="GH290">
        <f t="shared" ca="1" si="696"/>
        <v>0</v>
      </c>
      <c r="GI290">
        <f t="shared" ca="1" si="697"/>
        <v>0</v>
      </c>
      <c r="GJ290">
        <f t="shared" ca="1" si="623"/>
        <v>0</v>
      </c>
      <c r="GK290">
        <f t="shared" ca="1" si="698"/>
        <v>0</v>
      </c>
      <c r="GL290">
        <f t="shared" ca="1" si="699"/>
        <v>0</v>
      </c>
      <c r="GM290">
        <f t="shared" ca="1" si="700"/>
        <v>0</v>
      </c>
      <c r="GN290">
        <f t="shared" ca="1" si="701"/>
        <v>23399</v>
      </c>
      <c r="GO290">
        <f t="shared" ca="1" si="702"/>
        <v>1169.95</v>
      </c>
      <c r="GP290">
        <f t="shared" ca="1" si="703"/>
        <v>1170</v>
      </c>
      <c r="GQ290">
        <f t="shared" ca="1" si="704"/>
        <v>0</v>
      </c>
      <c r="GR290">
        <f t="shared" ca="1" si="705"/>
        <v>0</v>
      </c>
      <c r="GS290">
        <f t="shared" ca="1" si="706"/>
        <v>1170</v>
      </c>
      <c r="GT290">
        <f t="shared" ca="1" si="707"/>
        <v>0</v>
      </c>
      <c r="GU290" t="b">
        <f t="shared" ca="1" si="708"/>
        <v>0</v>
      </c>
      <c r="GV290">
        <f t="shared" ca="1" si="709"/>
        <v>0</v>
      </c>
      <c r="GW290">
        <f t="shared" ca="1" si="710"/>
        <v>1170</v>
      </c>
      <c r="GX290">
        <f t="shared" ca="1" si="711"/>
        <v>0</v>
      </c>
      <c r="GY290">
        <f t="shared" ca="1" si="712"/>
        <v>0</v>
      </c>
      <c r="GZ290">
        <f t="shared" ca="1" si="713"/>
        <v>0</v>
      </c>
    </row>
    <row r="291" spans="1:208" x14ac:dyDescent="0.3">
      <c r="A291">
        <f>_xlfn.AGGREGATE(3,5,$B$2:B291)</f>
        <v>290</v>
      </c>
      <c r="B291" t="s">
        <v>680</v>
      </c>
      <c r="C291" t="s">
        <v>681</v>
      </c>
      <c r="D291" t="s">
        <v>824</v>
      </c>
      <c r="E291" t="s">
        <v>830</v>
      </c>
      <c r="F291" t="s">
        <v>956</v>
      </c>
      <c r="G291" t="s">
        <v>878</v>
      </c>
      <c r="H291">
        <f t="shared" si="715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630"/>
        <v>4424</v>
      </c>
      <c r="L291">
        <f t="shared" si="631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 t="shared" si="608"/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714"/>
        <v>150</v>
      </c>
      <c r="S291">
        <f t="shared" si="624"/>
        <v>37666</v>
      </c>
      <c r="T291">
        <f>_xlfn.XLOOKUP(B291,'[2]april-2025'!$A:$A,'[2]april-2025'!$C:$C,0,0)</f>
        <v>31600</v>
      </c>
      <c r="U291">
        <f t="shared" si="632"/>
        <v>5688</v>
      </c>
      <c r="V291">
        <f t="shared" si="633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625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634"/>
        <v>200</v>
      </c>
      <c r="AC291">
        <f t="shared" si="635"/>
        <v>38880</v>
      </c>
      <c r="AD291">
        <f>_xlfn.XLOOKUP(B291,'[3]may-2025'!$A:$A,'[3]may-2025'!$C:$C,0,0)</f>
        <v>31600</v>
      </c>
      <c r="AE291">
        <f t="shared" si="636"/>
        <v>5688</v>
      </c>
      <c r="AF291">
        <f t="shared" si="637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626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638"/>
        <v>200</v>
      </c>
      <c r="AM291">
        <f t="shared" si="639"/>
        <v>38880</v>
      </c>
      <c r="AN291">
        <f>_xlfn.XLOOKUP(B291,'[4]june-2025'!$A:$A,'[4]june-2025'!$C:$C,0,0)</f>
        <v>31600</v>
      </c>
      <c r="AO291">
        <f t="shared" si="640"/>
        <v>5688</v>
      </c>
      <c r="AP291">
        <f t="shared" si="64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627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642"/>
        <v>200</v>
      </c>
      <c r="AW291">
        <f t="shared" si="643"/>
        <v>38880</v>
      </c>
      <c r="AX291">
        <f>_xlfn.XLOOKUP(B291,'[5]july-2025'!$A:$A,'[5]july-2025'!$C:$C,0,0)</f>
        <v>32500</v>
      </c>
      <c r="AY291">
        <f t="shared" si="644"/>
        <v>5850</v>
      </c>
      <c r="AZ291">
        <v>0</v>
      </c>
      <c r="BA291">
        <f t="shared" si="645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 t="shared" si="609"/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646"/>
        <v>200</v>
      </c>
      <c r="BH291">
        <f t="shared" si="647"/>
        <v>40050</v>
      </c>
      <c r="BI291">
        <f>_xlfn.XLOOKUP(B291,'[6]august-2025'!$A:$A,'[6]august-2025'!$C:$C,0,0)</f>
        <v>32500</v>
      </c>
      <c r="BJ291">
        <f t="shared" si="648"/>
        <v>5850</v>
      </c>
      <c r="BK291">
        <f t="shared" si="649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650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610"/>
        <v>200</v>
      </c>
      <c r="BR291">
        <f t="shared" si="611"/>
        <v>40050</v>
      </c>
      <c r="BS291">
        <f>_xlfn.XLOOKUP(B291,'[7]september-2025'!$A:$A,'[7]september-2025'!$C:$C,0,0)</f>
        <v>32500</v>
      </c>
      <c r="BT291">
        <f t="shared" si="651"/>
        <v>5850</v>
      </c>
      <c r="BU291">
        <f t="shared" si="652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 t="shared" si="612"/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653"/>
        <v>200</v>
      </c>
      <c r="CB291">
        <f t="shared" si="654"/>
        <v>40050</v>
      </c>
      <c r="CC291">
        <f>_xlfn.XLOOKUP(B291,'[8]october-2025'!$A:$A,'[8]october-2025'!$C:$C,0,0)</f>
        <v>32500</v>
      </c>
      <c r="CD291">
        <f t="shared" si="655"/>
        <v>5850</v>
      </c>
      <c r="CE291">
        <f t="shared" si="656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 t="shared" si="613"/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657"/>
        <v>200</v>
      </c>
      <c r="CL291">
        <f t="shared" si="658"/>
        <v>40050</v>
      </c>
      <c r="CM291">
        <f>_xlfn.XLOOKUP(B291,'[9]november-2025'!$A:$A,'[9]november-2025'!$C:$C,0,0)</f>
        <v>32500</v>
      </c>
      <c r="CN291">
        <f t="shared" si="659"/>
        <v>5850</v>
      </c>
      <c r="CO291">
        <f t="shared" si="660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 t="shared" si="614"/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661"/>
        <v>200</v>
      </c>
      <c r="CV291">
        <f t="shared" si="662"/>
        <v>40050</v>
      </c>
      <c r="CW291">
        <f>_xlfn.XLOOKUP(B291,'[10]december-2025'!$A:$A,'[10]december-2025'!$C:$C,0,0)</f>
        <v>32500</v>
      </c>
      <c r="CX291">
        <f t="shared" si="663"/>
        <v>5850</v>
      </c>
      <c r="CY291">
        <f t="shared" si="664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 t="shared" si="615"/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665"/>
        <v>200</v>
      </c>
      <c r="DF291">
        <f t="shared" si="666"/>
        <v>40050</v>
      </c>
      <c r="DG291">
        <f>_xlfn.XLOOKUP(B291,'[11]january-2026'!$A:$A,'[11]january-2026'!$C:$C,0,0)</f>
        <v>32500</v>
      </c>
      <c r="DH291">
        <f t="shared" si="667"/>
        <v>5850</v>
      </c>
      <c r="DI291">
        <f t="shared" si="668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16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69"/>
        <v>200</v>
      </c>
      <c r="DP291">
        <f t="shared" si="670"/>
        <v>40050</v>
      </c>
      <c r="DQ291">
        <f>_xlfn.XLOOKUP(B291,'[12]february-2026'!$A:$A,'[12]february-2026'!$C:$C,0,0)</f>
        <v>32500</v>
      </c>
      <c r="DR291">
        <f t="shared" si="671"/>
        <v>5850</v>
      </c>
      <c r="DS291">
        <f t="shared" si="672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617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673"/>
        <v>200</v>
      </c>
      <c r="DZ291">
        <f t="shared" si="674"/>
        <v>40050</v>
      </c>
      <c r="EA291">
        <f>_xlfn.XLOOKUP(B291,'[1]march-2025'!$A:$A,'[1]march-2025'!$J:$J,0,0)</f>
        <v>0</v>
      </c>
      <c r="EB291">
        <f>_xlfn.XLOOKUP(B291,'[2]april-2025'!$A:$A,'[2]april-2025'!$J:$J,0,0)</f>
        <v>0</v>
      </c>
      <c r="EC291">
        <f>_xlfn.XLOOKUP(B291,'[3]may-2025'!$A:$A,'[3]may-2025'!$J:$J,0,0)</f>
        <v>0</v>
      </c>
      <c r="ED291">
        <f>_xlfn.XLOOKUP(B291,'[4]june-2025'!$A:$A,'[4]june-2025'!$J:$J,0,0)</f>
        <v>0</v>
      </c>
      <c r="EE291">
        <f>_xlfn.XLOOKUP(B291,'[5]july-2025'!$A:$A,'[5]july-2025'!$J:$J,0,0)</f>
        <v>0</v>
      </c>
      <c r="EF291">
        <f>_xlfn.XLOOKUP(B291,'[6]august-2025'!$A:$A,'[6]august-2025'!$J:$J,0,0)</f>
        <v>0</v>
      </c>
      <c r="EG291">
        <f>_xlfn.XLOOKUP(B291,'[7]september-2025'!$A:$A,'[7]september-2025'!$J:$J,0,0)</f>
        <v>0</v>
      </c>
      <c r="EH291">
        <f>_xlfn.XLOOKUP(B291,'[8]october-2025'!$A:$A,'[8]october-2025'!$J:$J,0,0)</f>
        <v>0</v>
      </c>
      <c r="EI291">
        <f>_xlfn.XLOOKUP(C291,'[9]november-2025'!$A:$A,'[9]november-2025'!$J:$J,0,0)</f>
        <v>0</v>
      </c>
      <c r="EJ291">
        <f>_xlfn.XLOOKUP(B291,'[10]december-2025'!$A:$A,'[10]december-2025'!$J:$J,0,0)</f>
        <v>0</v>
      </c>
      <c r="EK291">
        <f>_xlfn.XLOOKUP(B291,'[11]january-2026'!$A:$A,'[11]january-2026'!$J:$J,0,0)</f>
        <v>0</v>
      </c>
      <c r="EL291">
        <f>_xlfn.XLOOKUP(B291,'[12]february-2026'!$A:$A,'[12]february-2026'!$J:$J,0,0)</f>
        <v>0</v>
      </c>
      <c r="EM291">
        <f t="shared" si="628"/>
        <v>0</v>
      </c>
      <c r="EN291">
        <f t="shared" si="618"/>
        <v>507856</v>
      </c>
      <c r="EO291">
        <f t="shared" si="619"/>
        <v>2350</v>
      </c>
      <c r="EP291">
        <f t="shared" si="675"/>
        <v>50000</v>
      </c>
      <c r="EQ291">
        <v>0</v>
      </c>
      <c r="ER291">
        <f t="shared" si="629"/>
        <v>455506</v>
      </c>
      <c r="ES291">
        <f t="shared" si="620"/>
        <v>24000</v>
      </c>
      <c r="ET291">
        <f t="shared" si="621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676"/>
        <v>24000</v>
      </c>
      <c r="FF291">
        <f t="shared" si="677"/>
        <v>24000</v>
      </c>
      <c r="FG291">
        <f t="shared" si="678"/>
        <v>431506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622"/>
        <v>0</v>
      </c>
      <c r="FP291">
        <f t="shared" si="679"/>
        <v>431506</v>
      </c>
      <c r="FQ291">
        <f t="shared" si="680"/>
        <v>9075</v>
      </c>
      <c r="FR291">
        <f t="shared" si="681"/>
        <v>0</v>
      </c>
      <c r="FS291">
        <f t="shared" si="682"/>
        <v>9075</v>
      </c>
      <c r="FT291">
        <f t="shared" si="683"/>
        <v>0</v>
      </c>
      <c r="FU291">
        <f t="shared" si="684"/>
        <v>0</v>
      </c>
      <c r="FV291">
        <f t="shared" si="685"/>
        <v>0</v>
      </c>
      <c r="FW291">
        <v>0</v>
      </c>
      <c r="FX291">
        <f t="shared" si="686"/>
        <v>0</v>
      </c>
      <c r="FY291" t="b">
        <f t="shared" si="687"/>
        <v>1</v>
      </c>
      <c r="FZ291">
        <f t="shared" ca="1" si="688"/>
        <v>700</v>
      </c>
      <c r="GA291">
        <f t="shared" ca="1" si="689"/>
        <v>508556</v>
      </c>
      <c r="GB291">
        <f t="shared" si="690"/>
        <v>75000</v>
      </c>
      <c r="GC291">
        <f t="shared" ca="1" si="691"/>
        <v>433556</v>
      </c>
      <c r="GD291">
        <f t="shared" ca="1" si="692"/>
        <v>0</v>
      </c>
      <c r="GE291">
        <f t="shared" ca="1" si="693"/>
        <v>0</v>
      </c>
      <c r="GF291">
        <f t="shared" ca="1" si="694"/>
        <v>0</v>
      </c>
      <c r="GG291">
        <f t="shared" ca="1" si="695"/>
        <v>0</v>
      </c>
      <c r="GH291">
        <f t="shared" ca="1" si="696"/>
        <v>0</v>
      </c>
      <c r="GI291">
        <f t="shared" ca="1" si="697"/>
        <v>0</v>
      </c>
      <c r="GJ291">
        <f t="shared" ca="1" si="623"/>
        <v>0</v>
      </c>
      <c r="GK291">
        <f t="shared" ca="1" si="698"/>
        <v>0</v>
      </c>
      <c r="GL291">
        <f t="shared" ca="1" si="699"/>
        <v>0</v>
      </c>
      <c r="GM291">
        <f t="shared" ca="1" si="700"/>
        <v>0</v>
      </c>
      <c r="GN291">
        <f t="shared" ca="1" si="701"/>
        <v>33556</v>
      </c>
      <c r="GO291">
        <f t="shared" ca="1" si="702"/>
        <v>1677.8000000000002</v>
      </c>
      <c r="GP291">
        <f t="shared" ca="1" si="703"/>
        <v>1678</v>
      </c>
      <c r="GQ291">
        <f t="shared" ca="1" si="704"/>
        <v>0</v>
      </c>
      <c r="GR291">
        <f t="shared" ca="1" si="705"/>
        <v>0</v>
      </c>
      <c r="GS291">
        <f t="shared" ca="1" si="706"/>
        <v>1678</v>
      </c>
      <c r="GT291">
        <f t="shared" ca="1" si="707"/>
        <v>0</v>
      </c>
      <c r="GU291" t="b">
        <f t="shared" ca="1" si="708"/>
        <v>0</v>
      </c>
      <c r="GV291">
        <f t="shared" ca="1" si="709"/>
        <v>0</v>
      </c>
      <c r="GW291">
        <f t="shared" ca="1" si="710"/>
        <v>1678</v>
      </c>
      <c r="GX291">
        <f t="shared" ca="1" si="711"/>
        <v>0</v>
      </c>
      <c r="GY291">
        <f t="shared" ca="1" si="712"/>
        <v>0</v>
      </c>
      <c r="GZ291">
        <f t="shared" ca="1" si="713"/>
        <v>0</v>
      </c>
    </row>
    <row r="292" spans="1:208" x14ac:dyDescent="0.3">
      <c r="A292">
        <f>_xlfn.AGGREGATE(3,5,$B$2:B292)</f>
        <v>291</v>
      </c>
      <c r="B292" t="s">
        <v>682</v>
      </c>
      <c r="C292" t="s">
        <v>683</v>
      </c>
      <c r="D292" t="s">
        <v>825</v>
      </c>
      <c r="E292" t="s">
        <v>831</v>
      </c>
      <c r="F292" t="s">
        <v>956</v>
      </c>
      <c r="G292" t="s">
        <v>879</v>
      </c>
      <c r="H292">
        <f t="shared" si="715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630"/>
        <v>7238.0000000000009</v>
      </c>
      <c r="L292">
        <f t="shared" si="631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 t="shared" si="608"/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714"/>
        <v>200</v>
      </c>
      <c r="S292">
        <f t="shared" si="624"/>
        <v>55842</v>
      </c>
      <c r="T292">
        <f>_xlfn.XLOOKUP(B292,'[2]april-2025'!$A:$A,'[2]april-2025'!$C:$C,0,0)</f>
        <v>51700</v>
      </c>
      <c r="U292">
        <f t="shared" si="632"/>
        <v>9306</v>
      </c>
      <c r="V292">
        <f t="shared" si="633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625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634"/>
        <v>200</v>
      </c>
      <c r="AC292">
        <f t="shared" si="635"/>
        <v>57910</v>
      </c>
      <c r="AD292">
        <f>_xlfn.XLOOKUP(B292,'[3]may-2025'!$A:$A,'[3]may-2025'!$C:$C,0,0)</f>
        <v>51700</v>
      </c>
      <c r="AE292">
        <f t="shared" si="636"/>
        <v>9306</v>
      </c>
      <c r="AF292">
        <f t="shared" si="637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626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638"/>
        <v>200</v>
      </c>
      <c r="AM292">
        <f t="shared" si="639"/>
        <v>57910</v>
      </c>
      <c r="AN292">
        <f>_xlfn.XLOOKUP(B292,'[4]june-2025'!$A:$A,'[4]june-2025'!$C:$C,0,0)</f>
        <v>51700</v>
      </c>
      <c r="AO292">
        <f t="shared" si="640"/>
        <v>9306</v>
      </c>
      <c r="AP292">
        <f t="shared" si="64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627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642"/>
        <v>200</v>
      </c>
      <c r="AW292">
        <f t="shared" si="643"/>
        <v>57910</v>
      </c>
      <c r="AX292">
        <f>_xlfn.XLOOKUP(B292,'[5]july-2025'!$A:$A,'[5]july-2025'!$C:$C,0,0)</f>
        <v>53300</v>
      </c>
      <c r="AY292">
        <f t="shared" si="644"/>
        <v>9594</v>
      </c>
      <c r="AZ292">
        <v>0</v>
      </c>
      <c r="BA292">
        <f t="shared" si="645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 t="shared" si="609"/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646"/>
        <v>200</v>
      </c>
      <c r="BH292">
        <f t="shared" si="647"/>
        <v>59990</v>
      </c>
      <c r="BI292">
        <f>_xlfn.XLOOKUP(B292,'[6]august-2025'!$A:$A,'[6]august-2025'!$C:$C,0,0)</f>
        <v>53300</v>
      </c>
      <c r="BJ292">
        <f t="shared" si="648"/>
        <v>9594</v>
      </c>
      <c r="BK292">
        <f t="shared" si="649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650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 t="shared" si="610"/>
        <v>200</v>
      </c>
      <c r="BR292">
        <f t="shared" si="611"/>
        <v>59990</v>
      </c>
      <c r="BS292">
        <f>_xlfn.XLOOKUP(B292,'[7]september-2025'!$A:$A,'[7]september-2025'!$C:$C,0,0)</f>
        <v>53300</v>
      </c>
      <c r="BT292">
        <f t="shared" si="651"/>
        <v>9594</v>
      </c>
      <c r="BU292">
        <f t="shared" si="652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 t="shared" si="612"/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653"/>
        <v>200</v>
      </c>
      <c r="CB292">
        <f t="shared" si="654"/>
        <v>59990</v>
      </c>
      <c r="CC292">
        <f>_xlfn.XLOOKUP(B292,'[8]october-2025'!$A:$A,'[8]october-2025'!$C:$C,0,0)</f>
        <v>53300</v>
      </c>
      <c r="CD292">
        <f t="shared" si="655"/>
        <v>9594</v>
      </c>
      <c r="CE292">
        <f t="shared" si="656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 t="shared" si="613"/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657"/>
        <v>200</v>
      </c>
      <c r="CL292">
        <f t="shared" si="658"/>
        <v>59990</v>
      </c>
      <c r="CM292">
        <f>_xlfn.XLOOKUP(B292,'[9]november-2025'!$A:$A,'[9]november-2025'!$C:$C,0,0)</f>
        <v>53300</v>
      </c>
      <c r="CN292">
        <f t="shared" si="659"/>
        <v>9594</v>
      </c>
      <c r="CO292">
        <f t="shared" si="660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 t="shared" si="614"/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661"/>
        <v>200</v>
      </c>
      <c r="CV292">
        <f t="shared" si="662"/>
        <v>59990</v>
      </c>
      <c r="CW292">
        <f>_xlfn.XLOOKUP(B292,'[10]december-2025'!$A:$A,'[10]december-2025'!$C:$C,0,0)</f>
        <v>53300</v>
      </c>
      <c r="CX292">
        <f t="shared" si="663"/>
        <v>9594</v>
      </c>
      <c r="CY292">
        <f t="shared" si="664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 t="shared" si="615"/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665"/>
        <v>200</v>
      </c>
      <c r="DF292">
        <f t="shared" si="666"/>
        <v>59990</v>
      </c>
      <c r="DG292">
        <f>_xlfn.XLOOKUP(B292,'[11]january-2026'!$A:$A,'[11]january-2026'!$C:$C,0,0)</f>
        <v>53300</v>
      </c>
      <c r="DH292">
        <f t="shared" si="667"/>
        <v>9594</v>
      </c>
      <c r="DI292">
        <f t="shared" si="668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16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69"/>
        <v>200</v>
      </c>
      <c r="DP292">
        <f t="shared" si="670"/>
        <v>59990</v>
      </c>
      <c r="DQ292">
        <f>_xlfn.XLOOKUP(B292,'[12]february-2026'!$A:$A,'[12]february-2026'!$C:$C,0,0)</f>
        <v>53300</v>
      </c>
      <c r="DR292">
        <f t="shared" si="671"/>
        <v>9594</v>
      </c>
      <c r="DS292">
        <f t="shared" si="672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617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673"/>
        <v>200</v>
      </c>
      <c r="DZ292">
        <f t="shared" si="674"/>
        <v>59990</v>
      </c>
      <c r="EA292">
        <f>_xlfn.XLOOKUP(B292,'[1]march-2025'!$A:$A,'[1]march-2025'!$J:$J,0,0)</f>
        <v>0</v>
      </c>
      <c r="EB292">
        <f>_xlfn.XLOOKUP(B292,'[2]april-2025'!$A:$A,'[2]april-2025'!$J:$J,0,0)</f>
        <v>0</v>
      </c>
      <c r="EC292">
        <f>_xlfn.XLOOKUP(B292,'[3]may-2025'!$A:$A,'[3]may-2025'!$J:$J,0,0)</f>
        <v>0</v>
      </c>
      <c r="ED292">
        <f>_xlfn.XLOOKUP(B292,'[4]june-2025'!$A:$A,'[4]june-2025'!$J:$J,0,0)</f>
        <v>0</v>
      </c>
      <c r="EE292">
        <f>_xlfn.XLOOKUP(B292,'[5]july-2025'!$A:$A,'[5]july-2025'!$J:$J,0,0)</f>
        <v>0</v>
      </c>
      <c r="EF292">
        <f>_xlfn.XLOOKUP(B292,'[6]august-2025'!$A:$A,'[6]august-2025'!$J:$J,0,0)</f>
        <v>0</v>
      </c>
      <c r="EG292">
        <f>_xlfn.XLOOKUP(B292,'[7]september-2025'!$A:$A,'[7]september-2025'!$J:$J,0,0)</f>
        <v>0</v>
      </c>
      <c r="EH292">
        <f>_xlfn.XLOOKUP(B292,'[8]october-2025'!$A:$A,'[8]october-2025'!$J:$J,0,0)</f>
        <v>0</v>
      </c>
      <c r="EI292">
        <f>_xlfn.XLOOKUP(C292,'[9]november-2025'!$A:$A,'[9]november-2025'!$J:$J,0,0)</f>
        <v>0</v>
      </c>
      <c r="EJ292">
        <f>_xlfn.XLOOKUP(B292,'[10]december-2025'!$A:$A,'[10]december-2025'!$J:$J,0,0)</f>
        <v>0</v>
      </c>
      <c r="EK292">
        <f>_xlfn.XLOOKUP(B292,'[11]january-2026'!$A:$A,'[11]january-2026'!$J:$J,0,0)</f>
        <v>0</v>
      </c>
      <c r="EL292">
        <f>_xlfn.XLOOKUP(B292,'[12]february-2026'!$A:$A,'[12]february-2026'!$J:$J,0,0)</f>
        <v>0</v>
      </c>
      <c r="EM292">
        <f t="shared" si="628"/>
        <v>0</v>
      </c>
      <c r="EN292">
        <f t="shared" si="618"/>
        <v>838692</v>
      </c>
      <c r="EO292">
        <f t="shared" si="619"/>
        <v>2400</v>
      </c>
      <c r="EP292">
        <f t="shared" si="675"/>
        <v>50000</v>
      </c>
      <c r="EQ292">
        <v>0</v>
      </c>
      <c r="ER292">
        <f t="shared" si="629"/>
        <v>786292</v>
      </c>
      <c r="ES292">
        <f t="shared" si="620"/>
        <v>120000</v>
      </c>
      <c r="ET292">
        <f t="shared" si="621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676"/>
        <v>120000</v>
      </c>
      <c r="FF292">
        <f t="shared" si="677"/>
        <v>120000</v>
      </c>
      <c r="FG292">
        <f t="shared" si="678"/>
        <v>666292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622"/>
        <v>0</v>
      </c>
      <c r="FP292">
        <f t="shared" si="679"/>
        <v>666292</v>
      </c>
      <c r="FQ292">
        <f t="shared" si="680"/>
        <v>12500</v>
      </c>
      <c r="FR292">
        <f t="shared" si="681"/>
        <v>33258</v>
      </c>
      <c r="FS292">
        <f t="shared" si="682"/>
        <v>45758</v>
      </c>
      <c r="FT292">
        <f t="shared" si="683"/>
        <v>45758</v>
      </c>
      <c r="FU292">
        <f t="shared" si="684"/>
        <v>1830.32</v>
      </c>
      <c r="FV292">
        <f t="shared" si="685"/>
        <v>47588</v>
      </c>
      <c r="FW292">
        <v>0</v>
      </c>
      <c r="FX292">
        <f t="shared" si="686"/>
        <v>47588</v>
      </c>
      <c r="FY292" t="b">
        <f t="shared" si="687"/>
        <v>1</v>
      </c>
      <c r="FZ292">
        <f t="shared" ca="1" si="688"/>
        <v>574</v>
      </c>
      <c r="GA292">
        <f t="shared" ca="1" si="689"/>
        <v>839266</v>
      </c>
      <c r="GB292">
        <f t="shared" si="690"/>
        <v>75000</v>
      </c>
      <c r="GC292">
        <f t="shared" ca="1" si="691"/>
        <v>764266</v>
      </c>
      <c r="GD292">
        <f t="shared" ca="1" si="692"/>
        <v>0</v>
      </c>
      <c r="GE292">
        <f t="shared" ca="1" si="693"/>
        <v>0</v>
      </c>
      <c r="GF292">
        <f t="shared" ca="1" si="694"/>
        <v>0</v>
      </c>
      <c r="GG292">
        <f t="shared" ca="1" si="695"/>
        <v>0</v>
      </c>
      <c r="GH292">
        <f t="shared" ca="1" si="696"/>
        <v>0</v>
      </c>
      <c r="GI292">
        <f t="shared" ca="1" si="697"/>
        <v>0</v>
      </c>
      <c r="GJ292">
        <f t="shared" ca="1" si="623"/>
        <v>0</v>
      </c>
      <c r="GK292">
        <f t="shared" ca="1" si="698"/>
        <v>0</v>
      </c>
      <c r="GL292">
        <f t="shared" ca="1" si="699"/>
        <v>0</v>
      </c>
      <c r="GM292">
        <f t="shared" ca="1" si="700"/>
        <v>0</v>
      </c>
      <c r="GN292">
        <f t="shared" ca="1" si="701"/>
        <v>364266</v>
      </c>
      <c r="GO292">
        <f t="shared" ca="1" si="702"/>
        <v>18213.3</v>
      </c>
      <c r="GP292">
        <f t="shared" ca="1" si="703"/>
        <v>18213</v>
      </c>
      <c r="GQ292">
        <f t="shared" ca="1" si="704"/>
        <v>0</v>
      </c>
      <c r="GR292">
        <f t="shared" ca="1" si="705"/>
        <v>0</v>
      </c>
      <c r="GS292">
        <f t="shared" ca="1" si="706"/>
        <v>18213</v>
      </c>
      <c r="GT292">
        <f t="shared" ca="1" si="707"/>
        <v>0</v>
      </c>
      <c r="GU292" t="b">
        <f t="shared" ca="1" si="708"/>
        <v>0</v>
      </c>
      <c r="GV292">
        <f t="shared" ca="1" si="709"/>
        <v>0</v>
      </c>
      <c r="GW292">
        <f t="shared" ca="1" si="710"/>
        <v>18213</v>
      </c>
      <c r="GX292">
        <f t="shared" ca="1" si="711"/>
        <v>0</v>
      </c>
      <c r="GY292">
        <f t="shared" ca="1" si="712"/>
        <v>0</v>
      </c>
      <c r="GZ292">
        <f t="shared" ca="1" si="713"/>
        <v>0</v>
      </c>
    </row>
    <row r="293" spans="1:208" x14ac:dyDescent="0.3">
      <c r="A293">
        <f>_xlfn.AGGREGATE(3,5,$B$2:B293)</f>
        <v>292</v>
      </c>
      <c r="B293" t="s">
        <v>684</v>
      </c>
      <c r="C293" t="s">
        <v>685</v>
      </c>
      <c r="D293" t="s">
        <v>825</v>
      </c>
      <c r="E293" t="s">
        <v>831</v>
      </c>
      <c r="F293" t="s">
        <v>956</v>
      </c>
      <c r="G293" t="s">
        <v>887</v>
      </c>
      <c r="H293">
        <f t="shared" si="715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630"/>
        <v>5278.0000000000009</v>
      </c>
      <c r="L293">
        <f t="shared" si="631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608"/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714"/>
        <v>200</v>
      </c>
      <c r="S293">
        <f t="shared" si="624"/>
        <v>42802</v>
      </c>
      <c r="T293">
        <f>_xlfn.XLOOKUP(B293,'[2]april-2025'!$A:$A,'[2]april-2025'!$C:$C,0,0)</f>
        <v>37700</v>
      </c>
      <c r="U293">
        <f t="shared" si="632"/>
        <v>6786</v>
      </c>
      <c r="V293">
        <f t="shared" si="633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625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634"/>
        <v>200</v>
      </c>
      <c r="AC293">
        <f t="shared" si="635"/>
        <v>44310</v>
      </c>
      <c r="AD293">
        <f>_xlfn.XLOOKUP(B293,'[3]may-2025'!$A:$A,'[3]may-2025'!$C:$C,0,0)</f>
        <v>37700</v>
      </c>
      <c r="AE293">
        <f t="shared" si="636"/>
        <v>6786</v>
      </c>
      <c r="AF293">
        <f t="shared" si="637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626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638"/>
        <v>200</v>
      </c>
      <c r="AM293">
        <f t="shared" si="639"/>
        <v>44310</v>
      </c>
      <c r="AN293">
        <f>_xlfn.XLOOKUP(B293,'[4]june-2025'!$A:$A,'[4]june-2025'!$C:$C,0,0)</f>
        <v>37700</v>
      </c>
      <c r="AO293">
        <f t="shared" si="640"/>
        <v>6786</v>
      </c>
      <c r="AP293">
        <f t="shared" si="64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627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642"/>
        <v>200</v>
      </c>
      <c r="AW293">
        <f t="shared" si="643"/>
        <v>44310</v>
      </c>
      <c r="AX293">
        <f>_xlfn.XLOOKUP(B293,'[5]july-2025'!$A:$A,'[5]july-2025'!$C:$C,0,0)</f>
        <v>38800</v>
      </c>
      <c r="AY293">
        <f t="shared" si="644"/>
        <v>6984</v>
      </c>
      <c r="AZ293">
        <v>0</v>
      </c>
      <c r="BA293">
        <f t="shared" si="645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609"/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646"/>
        <v>200</v>
      </c>
      <c r="BH293">
        <f t="shared" si="647"/>
        <v>45740</v>
      </c>
      <c r="BI293">
        <f>_xlfn.XLOOKUP(B293,'[6]august-2025'!$A:$A,'[6]august-2025'!$C:$C,0,0)</f>
        <v>38800</v>
      </c>
      <c r="BJ293">
        <f t="shared" si="648"/>
        <v>6984</v>
      </c>
      <c r="BK293">
        <f t="shared" si="649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650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 t="shared" si="610"/>
        <v>200</v>
      </c>
      <c r="BR293">
        <f t="shared" si="611"/>
        <v>45740</v>
      </c>
      <c r="BS293">
        <f>_xlfn.XLOOKUP(B293,'[7]september-2025'!$A:$A,'[7]september-2025'!$C:$C,0,0)</f>
        <v>38800</v>
      </c>
      <c r="BT293">
        <f t="shared" si="651"/>
        <v>6984</v>
      </c>
      <c r="BU293">
        <f t="shared" si="652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612"/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653"/>
        <v>200</v>
      </c>
      <c r="CB293">
        <f t="shared" si="654"/>
        <v>45740</v>
      </c>
      <c r="CC293">
        <f>_xlfn.XLOOKUP(B293,'[8]october-2025'!$A:$A,'[8]october-2025'!$C:$C,0,0)</f>
        <v>38800</v>
      </c>
      <c r="CD293">
        <f t="shared" si="655"/>
        <v>6984</v>
      </c>
      <c r="CE293">
        <f t="shared" si="656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613"/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657"/>
        <v>200</v>
      </c>
      <c r="CL293">
        <f t="shared" si="658"/>
        <v>45740</v>
      </c>
      <c r="CM293">
        <f>_xlfn.XLOOKUP(B293,'[9]november-2025'!$A:$A,'[9]november-2025'!$C:$C,0,0)</f>
        <v>38800</v>
      </c>
      <c r="CN293">
        <f t="shared" si="659"/>
        <v>6984</v>
      </c>
      <c r="CO293">
        <f t="shared" si="660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614"/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661"/>
        <v>200</v>
      </c>
      <c r="CV293">
        <f t="shared" si="662"/>
        <v>45740</v>
      </c>
      <c r="CW293">
        <f>_xlfn.XLOOKUP(B293,'[10]december-2025'!$A:$A,'[10]december-2025'!$C:$C,0,0)</f>
        <v>38800</v>
      </c>
      <c r="CX293">
        <f t="shared" si="663"/>
        <v>6984</v>
      </c>
      <c r="CY293">
        <f t="shared" si="664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615"/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665"/>
        <v>200</v>
      </c>
      <c r="DF293">
        <f t="shared" si="666"/>
        <v>45740</v>
      </c>
      <c r="DG293">
        <f>_xlfn.XLOOKUP(B293,'[11]january-2026'!$A:$A,'[11]january-2026'!$C:$C,0,0)</f>
        <v>38800</v>
      </c>
      <c r="DH293">
        <f t="shared" si="667"/>
        <v>6984</v>
      </c>
      <c r="DI293">
        <f t="shared" si="668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16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69"/>
        <v>200</v>
      </c>
      <c r="DP293">
        <f t="shared" si="670"/>
        <v>45740</v>
      </c>
      <c r="DQ293">
        <f>_xlfn.XLOOKUP(B293,'[12]february-2026'!$A:$A,'[12]february-2026'!$C:$C,0,0)</f>
        <v>38800</v>
      </c>
      <c r="DR293">
        <f t="shared" si="671"/>
        <v>6984</v>
      </c>
      <c r="DS293">
        <f t="shared" si="672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617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673"/>
        <v>200</v>
      </c>
      <c r="DZ293">
        <f t="shared" si="674"/>
        <v>45740</v>
      </c>
      <c r="EA293">
        <f>_xlfn.XLOOKUP(B293,'[1]march-2025'!$A:$A,'[1]march-2025'!$J:$J,0,0)</f>
        <v>0</v>
      </c>
      <c r="EB293">
        <f>_xlfn.XLOOKUP(B293,'[2]april-2025'!$A:$A,'[2]april-2025'!$J:$J,0,0)</f>
        <v>0</v>
      </c>
      <c r="EC293">
        <f>_xlfn.XLOOKUP(B293,'[3]may-2025'!$A:$A,'[3]may-2025'!$J:$J,0,0)</f>
        <v>0</v>
      </c>
      <c r="ED293">
        <f>_xlfn.XLOOKUP(B293,'[4]june-2025'!$A:$A,'[4]june-2025'!$J:$J,0,0)</f>
        <v>0</v>
      </c>
      <c r="EE293">
        <f>_xlfn.XLOOKUP(B293,'[5]july-2025'!$A:$A,'[5]july-2025'!$J:$J,0,0)</f>
        <v>0</v>
      </c>
      <c r="EF293">
        <f>_xlfn.XLOOKUP(B293,'[6]august-2025'!$A:$A,'[6]august-2025'!$J:$J,0,0)</f>
        <v>0</v>
      </c>
      <c r="EG293">
        <f>_xlfn.XLOOKUP(B293,'[7]september-2025'!$A:$A,'[7]september-2025'!$J:$J,0,0)</f>
        <v>0</v>
      </c>
      <c r="EH293">
        <f>_xlfn.XLOOKUP(B293,'[8]october-2025'!$A:$A,'[8]october-2025'!$J:$J,0,0)</f>
        <v>0</v>
      </c>
      <c r="EI293">
        <f>_xlfn.XLOOKUP(C293,'[9]november-2025'!$A:$A,'[9]november-2025'!$J:$J,0,0)</f>
        <v>0</v>
      </c>
      <c r="EJ293">
        <f>_xlfn.XLOOKUP(B293,'[10]december-2025'!$A:$A,'[10]december-2025'!$J:$J,0,0)</f>
        <v>0</v>
      </c>
      <c r="EK293">
        <f>_xlfn.XLOOKUP(B293,'[11]january-2026'!$A:$A,'[11]january-2026'!$J:$J,0,0)</f>
        <v>0</v>
      </c>
      <c r="EL293">
        <f>_xlfn.XLOOKUP(B293,'[12]february-2026'!$A:$A,'[12]february-2026'!$J:$J,0,0)</f>
        <v>0</v>
      </c>
      <c r="EM293">
        <f t="shared" si="628"/>
        <v>0</v>
      </c>
      <c r="EN293">
        <f t="shared" si="618"/>
        <v>610852</v>
      </c>
      <c r="EO293">
        <f t="shared" si="619"/>
        <v>2400</v>
      </c>
      <c r="EP293">
        <f t="shared" si="675"/>
        <v>50000</v>
      </c>
      <c r="EQ293">
        <v>0</v>
      </c>
      <c r="ER293">
        <f t="shared" si="629"/>
        <v>558452</v>
      </c>
      <c r="ES293">
        <f t="shared" si="620"/>
        <v>60000</v>
      </c>
      <c r="ET293">
        <f t="shared" si="621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676"/>
        <v>60000</v>
      </c>
      <c r="FF293">
        <f t="shared" si="677"/>
        <v>60000</v>
      </c>
      <c r="FG293">
        <f t="shared" si="678"/>
        <v>498452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622"/>
        <v>0</v>
      </c>
      <c r="FP293">
        <f t="shared" si="679"/>
        <v>498452</v>
      </c>
      <c r="FQ293">
        <f t="shared" si="680"/>
        <v>12423</v>
      </c>
      <c r="FR293">
        <f t="shared" si="681"/>
        <v>0</v>
      </c>
      <c r="FS293">
        <f t="shared" si="682"/>
        <v>12423</v>
      </c>
      <c r="FT293">
        <f t="shared" si="683"/>
        <v>0</v>
      </c>
      <c r="FU293">
        <f t="shared" si="684"/>
        <v>0</v>
      </c>
      <c r="FV293">
        <f t="shared" si="685"/>
        <v>0</v>
      </c>
      <c r="FW293">
        <v>0</v>
      </c>
      <c r="FX293">
        <f t="shared" si="686"/>
        <v>0</v>
      </c>
      <c r="FY293" t="b">
        <f t="shared" si="687"/>
        <v>1</v>
      </c>
      <c r="FZ293">
        <f t="shared" ca="1" si="688"/>
        <v>756</v>
      </c>
      <c r="GA293">
        <f t="shared" ca="1" si="689"/>
        <v>611608</v>
      </c>
      <c r="GB293">
        <f t="shared" si="690"/>
        <v>75000</v>
      </c>
      <c r="GC293">
        <f t="shared" ca="1" si="691"/>
        <v>536608</v>
      </c>
      <c r="GD293">
        <f t="shared" ca="1" si="692"/>
        <v>0</v>
      </c>
      <c r="GE293">
        <f t="shared" ca="1" si="693"/>
        <v>0</v>
      </c>
      <c r="GF293">
        <f t="shared" ca="1" si="694"/>
        <v>0</v>
      </c>
      <c r="GG293">
        <f t="shared" ca="1" si="695"/>
        <v>0</v>
      </c>
      <c r="GH293">
        <f t="shared" ca="1" si="696"/>
        <v>0</v>
      </c>
      <c r="GI293">
        <f t="shared" ca="1" si="697"/>
        <v>0</v>
      </c>
      <c r="GJ293">
        <f t="shared" ca="1" si="623"/>
        <v>0</v>
      </c>
      <c r="GK293">
        <f t="shared" ca="1" si="698"/>
        <v>0</v>
      </c>
      <c r="GL293">
        <f t="shared" ca="1" si="699"/>
        <v>0</v>
      </c>
      <c r="GM293">
        <f t="shared" ca="1" si="700"/>
        <v>0</v>
      </c>
      <c r="GN293">
        <f t="shared" ca="1" si="701"/>
        <v>136608</v>
      </c>
      <c r="GO293">
        <f t="shared" ca="1" si="702"/>
        <v>6830.4000000000005</v>
      </c>
      <c r="GP293">
        <f t="shared" ca="1" si="703"/>
        <v>6830</v>
      </c>
      <c r="GQ293">
        <f t="shared" ca="1" si="704"/>
        <v>0</v>
      </c>
      <c r="GR293">
        <f t="shared" ca="1" si="705"/>
        <v>0</v>
      </c>
      <c r="GS293">
        <f t="shared" ca="1" si="706"/>
        <v>6830</v>
      </c>
      <c r="GT293">
        <f t="shared" ca="1" si="707"/>
        <v>0</v>
      </c>
      <c r="GU293" t="b">
        <f t="shared" ca="1" si="708"/>
        <v>0</v>
      </c>
      <c r="GV293">
        <f t="shared" ca="1" si="709"/>
        <v>0</v>
      </c>
      <c r="GW293">
        <f t="shared" ca="1" si="710"/>
        <v>6830</v>
      </c>
      <c r="GX293">
        <f t="shared" ca="1" si="711"/>
        <v>0</v>
      </c>
      <c r="GY293">
        <f t="shared" ca="1" si="712"/>
        <v>0</v>
      </c>
      <c r="GZ293">
        <f t="shared" ca="1" si="713"/>
        <v>0</v>
      </c>
    </row>
    <row r="294" spans="1:208" x14ac:dyDescent="0.3">
      <c r="A294">
        <f>_xlfn.AGGREGATE(3,5,$B$2:B294)</f>
        <v>293</v>
      </c>
      <c r="B294" t="s">
        <v>686</v>
      </c>
      <c r="C294" t="s">
        <v>687</v>
      </c>
      <c r="D294" t="s">
        <v>825</v>
      </c>
      <c r="E294" t="s">
        <v>830</v>
      </c>
      <c r="F294" t="s">
        <v>956</v>
      </c>
      <c r="G294" t="s">
        <v>878</v>
      </c>
      <c r="H294">
        <f t="shared" si="715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630"/>
        <v>3780.0000000000005</v>
      </c>
      <c r="L294">
        <f t="shared" si="631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 t="shared" si="608"/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714"/>
        <v>150</v>
      </c>
      <c r="S294">
        <f t="shared" si="624"/>
        <v>32370</v>
      </c>
      <c r="T294">
        <f>_xlfn.XLOOKUP(B294,'[2]april-2025'!$A:$A,'[2]april-2025'!$C:$C,0,0)</f>
        <v>27000</v>
      </c>
      <c r="U294">
        <f t="shared" si="632"/>
        <v>4860</v>
      </c>
      <c r="V294">
        <f t="shared" si="633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625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634"/>
        <v>150</v>
      </c>
      <c r="AC294">
        <f t="shared" si="635"/>
        <v>33450</v>
      </c>
      <c r="AD294">
        <f>_xlfn.XLOOKUP(B294,'[3]may-2025'!$A:$A,'[3]may-2025'!$C:$C,0,0)</f>
        <v>31600</v>
      </c>
      <c r="AE294">
        <f t="shared" si="636"/>
        <v>5688</v>
      </c>
      <c r="AF294">
        <f t="shared" si="637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626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638"/>
        <v>200</v>
      </c>
      <c r="AM294">
        <f t="shared" si="639"/>
        <v>39380</v>
      </c>
      <c r="AN294">
        <f>_xlfn.XLOOKUP(B294,'[4]june-2025'!$A:$A,'[4]june-2025'!$C:$C,0,0)</f>
        <v>31600</v>
      </c>
      <c r="AO294">
        <f t="shared" si="640"/>
        <v>5688</v>
      </c>
      <c r="AP294">
        <f t="shared" si="64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627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642"/>
        <v>200</v>
      </c>
      <c r="AW294">
        <f t="shared" si="643"/>
        <v>39380</v>
      </c>
      <c r="AX294">
        <f>_xlfn.XLOOKUP(B294,'[5]july-2025'!$A:$A,'[5]july-2025'!$C:$C,0,0)</f>
        <v>32500</v>
      </c>
      <c r="AY294">
        <f t="shared" si="644"/>
        <v>5850</v>
      </c>
      <c r="AZ294">
        <v>0</v>
      </c>
      <c r="BA294">
        <f t="shared" si="645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609"/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646"/>
        <v>200</v>
      </c>
      <c r="BH294">
        <f t="shared" si="647"/>
        <v>40550</v>
      </c>
      <c r="BI294">
        <f>_xlfn.XLOOKUP(B294,'[6]august-2025'!$A:$A,'[6]august-2025'!$C:$C,0,0)</f>
        <v>32500</v>
      </c>
      <c r="BJ294">
        <f t="shared" si="648"/>
        <v>5850</v>
      </c>
      <c r="BK294">
        <f t="shared" si="649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650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 t="shared" si="610"/>
        <v>200</v>
      </c>
      <c r="BR294">
        <f t="shared" si="611"/>
        <v>40550</v>
      </c>
      <c r="BS294">
        <f>_xlfn.XLOOKUP(B294,'[7]september-2025'!$A:$A,'[7]september-2025'!$C:$C,0,0)</f>
        <v>32500</v>
      </c>
      <c r="BT294">
        <f t="shared" si="651"/>
        <v>5850</v>
      </c>
      <c r="BU294">
        <f t="shared" si="652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612"/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653"/>
        <v>200</v>
      </c>
      <c r="CB294">
        <f t="shared" si="654"/>
        <v>40550</v>
      </c>
      <c r="CC294">
        <f>_xlfn.XLOOKUP(B294,'[8]october-2025'!$A:$A,'[8]october-2025'!$C:$C,0,0)</f>
        <v>32500</v>
      </c>
      <c r="CD294">
        <f t="shared" si="655"/>
        <v>5850</v>
      </c>
      <c r="CE294">
        <f t="shared" si="656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613"/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657"/>
        <v>200</v>
      </c>
      <c r="CL294">
        <f t="shared" si="658"/>
        <v>40550</v>
      </c>
      <c r="CM294">
        <f>_xlfn.XLOOKUP(B294,'[9]november-2025'!$A:$A,'[9]november-2025'!$C:$C,0,0)</f>
        <v>32500</v>
      </c>
      <c r="CN294">
        <f t="shared" si="659"/>
        <v>5850</v>
      </c>
      <c r="CO294">
        <f t="shared" si="660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614"/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661"/>
        <v>200</v>
      </c>
      <c r="CV294">
        <f t="shared" si="662"/>
        <v>40550</v>
      </c>
      <c r="CW294">
        <f>_xlfn.XLOOKUP(B294,'[10]december-2025'!$A:$A,'[10]december-2025'!$C:$C,0,0)</f>
        <v>32500</v>
      </c>
      <c r="CX294">
        <f t="shared" si="663"/>
        <v>5850</v>
      </c>
      <c r="CY294">
        <f t="shared" si="664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615"/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665"/>
        <v>200</v>
      </c>
      <c r="DF294">
        <f t="shared" si="666"/>
        <v>40550</v>
      </c>
      <c r="DG294">
        <f>_xlfn.XLOOKUP(B294,'[11]january-2026'!$A:$A,'[11]january-2026'!$C:$C,0,0)</f>
        <v>32500</v>
      </c>
      <c r="DH294">
        <f t="shared" si="667"/>
        <v>5850</v>
      </c>
      <c r="DI294">
        <f t="shared" si="668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16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69"/>
        <v>200</v>
      </c>
      <c r="DP294">
        <f t="shared" si="670"/>
        <v>40550</v>
      </c>
      <c r="DQ294">
        <f>_xlfn.XLOOKUP(B294,'[12]february-2026'!$A:$A,'[12]february-2026'!$C:$C,0,0)</f>
        <v>32500</v>
      </c>
      <c r="DR294">
        <f t="shared" si="671"/>
        <v>5850</v>
      </c>
      <c r="DS294">
        <f t="shared" si="672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617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673"/>
        <v>200</v>
      </c>
      <c r="DZ294">
        <f t="shared" si="674"/>
        <v>40550</v>
      </c>
      <c r="EA294">
        <f>_xlfn.XLOOKUP(B294,'[1]march-2025'!$A:$A,'[1]march-2025'!$J:$J,0,0)</f>
        <v>0</v>
      </c>
      <c r="EB294">
        <f>_xlfn.XLOOKUP(B294,'[2]april-2025'!$A:$A,'[2]april-2025'!$J:$J,0,0)</f>
        <v>0</v>
      </c>
      <c r="EC294">
        <f>_xlfn.XLOOKUP(B294,'[3]may-2025'!$A:$A,'[3]may-2025'!$J:$J,0,0)</f>
        <v>0</v>
      </c>
      <c r="ED294">
        <f>_xlfn.XLOOKUP(B294,'[4]june-2025'!$A:$A,'[4]june-2025'!$J:$J,0,0)</f>
        <v>0</v>
      </c>
      <c r="EE294">
        <f>_xlfn.XLOOKUP(B294,'[5]july-2025'!$A:$A,'[5]july-2025'!$J:$J,0,0)</f>
        <v>0</v>
      </c>
      <c r="EF294">
        <f>_xlfn.XLOOKUP(B294,'[6]august-2025'!$A:$A,'[6]august-2025'!$J:$J,0,0)</f>
        <v>0</v>
      </c>
      <c r="EG294">
        <f>_xlfn.XLOOKUP(B294,'[7]september-2025'!$A:$A,'[7]september-2025'!$J:$J,0,0)</f>
        <v>0</v>
      </c>
      <c r="EH294">
        <f>_xlfn.XLOOKUP(B294,'[8]october-2025'!$A:$A,'[8]october-2025'!$J:$J,0,0)</f>
        <v>0</v>
      </c>
      <c r="EI294">
        <f>_xlfn.XLOOKUP(C294,'[9]november-2025'!$A:$A,'[9]november-2025'!$J:$J,0,0)</f>
        <v>0</v>
      </c>
      <c r="EJ294">
        <f>_xlfn.XLOOKUP(B294,'[10]december-2025'!$A:$A,'[10]december-2025'!$J:$J,0,0)</f>
        <v>0</v>
      </c>
      <c r="EK294">
        <f>_xlfn.XLOOKUP(B294,'[11]january-2026'!$A:$A,'[11]january-2026'!$J:$J,0,0)</f>
        <v>0</v>
      </c>
      <c r="EL294">
        <f>_xlfn.XLOOKUP(B294,'[12]february-2026'!$A:$A,'[12]february-2026'!$J:$J,0,0)</f>
        <v>0</v>
      </c>
      <c r="EM294">
        <f t="shared" si="628"/>
        <v>0</v>
      </c>
      <c r="EN294">
        <f t="shared" si="618"/>
        <v>502080</v>
      </c>
      <c r="EO294">
        <f t="shared" si="619"/>
        <v>2300</v>
      </c>
      <c r="EP294">
        <f t="shared" si="675"/>
        <v>50000</v>
      </c>
      <c r="EQ294">
        <v>0</v>
      </c>
      <c r="ER294">
        <f t="shared" si="629"/>
        <v>449780</v>
      </c>
      <c r="ES294">
        <f t="shared" si="620"/>
        <v>24000</v>
      </c>
      <c r="ET294">
        <f t="shared" si="621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676"/>
        <v>24000</v>
      </c>
      <c r="FF294">
        <f t="shared" si="677"/>
        <v>24000</v>
      </c>
      <c r="FG294">
        <f t="shared" si="678"/>
        <v>425780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622"/>
        <v>0</v>
      </c>
      <c r="FP294">
        <f t="shared" si="679"/>
        <v>425780</v>
      </c>
      <c r="FQ294">
        <f t="shared" si="680"/>
        <v>8789</v>
      </c>
      <c r="FR294">
        <f t="shared" si="681"/>
        <v>0</v>
      </c>
      <c r="FS294">
        <f t="shared" si="682"/>
        <v>8789</v>
      </c>
      <c r="FT294">
        <f t="shared" si="683"/>
        <v>0</v>
      </c>
      <c r="FU294">
        <f t="shared" si="684"/>
        <v>0</v>
      </c>
      <c r="FV294">
        <f t="shared" si="685"/>
        <v>0</v>
      </c>
      <c r="FW294">
        <v>0</v>
      </c>
      <c r="FX294">
        <f t="shared" si="686"/>
        <v>0</v>
      </c>
      <c r="FY294" t="b">
        <f t="shared" si="687"/>
        <v>1</v>
      </c>
      <c r="FZ294">
        <f t="shared" ca="1" si="688"/>
        <v>742</v>
      </c>
      <c r="GA294">
        <f t="shared" ca="1" si="689"/>
        <v>502822</v>
      </c>
      <c r="GB294">
        <f t="shared" si="690"/>
        <v>75000</v>
      </c>
      <c r="GC294">
        <f t="shared" ca="1" si="691"/>
        <v>427822</v>
      </c>
      <c r="GD294">
        <f t="shared" ca="1" si="692"/>
        <v>0</v>
      </c>
      <c r="GE294">
        <f t="shared" ca="1" si="693"/>
        <v>0</v>
      </c>
      <c r="GF294">
        <f t="shared" ca="1" si="694"/>
        <v>0</v>
      </c>
      <c r="GG294">
        <f t="shared" ca="1" si="695"/>
        <v>0</v>
      </c>
      <c r="GH294">
        <f t="shared" ca="1" si="696"/>
        <v>0</v>
      </c>
      <c r="GI294">
        <f t="shared" ca="1" si="697"/>
        <v>0</v>
      </c>
      <c r="GJ294">
        <f t="shared" ca="1" si="623"/>
        <v>0</v>
      </c>
      <c r="GK294">
        <f t="shared" ca="1" si="698"/>
        <v>0</v>
      </c>
      <c r="GL294">
        <f t="shared" ca="1" si="699"/>
        <v>0</v>
      </c>
      <c r="GM294">
        <f t="shared" ca="1" si="700"/>
        <v>0</v>
      </c>
      <c r="GN294">
        <f t="shared" ca="1" si="701"/>
        <v>27822</v>
      </c>
      <c r="GO294">
        <f t="shared" ca="1" si="702"/>
        <v>1391.1000000000001</v>
      </c>
      <c r="GP294">
        <f t="shared" ca="1" si="703"/>
        <v>1391</v>
      </c>
      <c r="GQ294">
        <f t="shared" ca="1" si="704"/>
        <v>0</v>
      </c>
      <c r="GR294">
        <f t="shared" ca="1" si="705"/>
        <v>0</v>
      </c>
      <c r="GS294">
        <f t="shared" ca="1" si="706"/>
        <v>1391</v>
      </c>
      <c r="GT294">
        <f t="shared" ca="1" si="707"/>
        <v>0</v>
      </c>
      <c r="GU294" t="b">
        <f t="shared" ca="1" si="708"/>
        <v>0</v>
      </c>
      <c r="GV294">
        <f t="shared" ca="1" si="709"/>
        <v>0</v>
      </c>
      <c r="GW294">
        <f t="shared" ca="1" si="710"/>
        <v>1391</v>
      </c>
      <c r="GX294">
        <f t="shared" ca="1" si="711"/>
        <v>0</v>
      </c>
      <c r="GY294">
        <f t="shared" ca="1" si="712"/>
        <v>0</v>
      </c>
      <c r="GZ294">
        <f t="shared" ca="1" si="713"/>
        <v>0</v>
      </c>
    </row>
    <row r="295" spans="1:208" x14ac:dyDescent="0.3">
      <c r="A295">
        <f>_xlfn.AGGREGATE(3,5,$B$2:B295)</f>
        <v>294</v>
      </c>
      <c r="B295" t="s">
        <v>688</v>
      </c>
      <c r="C295" t="s">
        <v>689</v>
      </c>
      <c r="D295" t="s">
        <v>826</v>
      </c>
      <c r="E295" t="s">
        <v>831</v>
      </c>
      <c r="F295" t="s">
        <v>956</v>
      </c>
      <c r="G295" t="s">
        <v>884</v>
      </c>
      <c r="H295">
        <f t="shared" ref="H295:H305" si="716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630"/>
        <v>7238.0000000000009</v>
      </c>
      <c r="L295">
        <f t="shared" si="631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608"/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714"/>
        <v>200</v>
      </c>
      <c r="S295">
        <f t="shared" si="624"/>
        <v>57282</v>
      </c>
      <c r="T295">
        <f>_xlfn.XLOOKUP(B295,'[2]april-2025'!$A:$A,'[2]april-2025'!$C:$C,0,0)</f>
        <v>51700</v>
      </c>
      <c r="U295">
        <f t="shared" si="632"/>
        <v>9306</v>
      </c>
      <c r="V295">
        <f t="shared" si="633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625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634"/>
        <v>200</v>
      </c>
      <c r="AC295">
        <f t="shared" si="635"/>
        <v>59350</v>
      </c>
      <c r="AD295">
        <f>_xlfn.XLOOKUP(B295,'[3]may-2025'!$A:$A,'[3]may-2025'!$C:$C,0,0)</f>
        <v>51700</v>
      </c>
      <c r="AE295">
        <f t="shared" si="636"/>
        <v>9306</v>
      </c>
      <c r="AF295">
        <f t="shared" si="637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626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638"/>
        <v>200</v>
      </c>
      <c r="AM295">
        <f t="shared" si="639"/>
        <v>59350</v>
      </c>
      <c r="AN295">
        <f>_xlfn.XLOOKUP(B295,'[4]june-2025'!$A:$A,'[4]june-2025'!$C:$C,0,0)</f>
        <v>51700</v>
      </c>
      <c r="AO295">
        <f t="shared" si="640"/>
        <v>9306</v>
      </c>
      <c r="AP295">
        <f t="shared" si="64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627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642"/>
        <v>200</v>
      </c>
      <c r="AW295">
        <f t="shared" si="643"/>
        <v>59350</v>
      </c>
      <c r="AX295">
        <f>_xlfn.XLOOKUP(B295,'[5]july-2025'!$A:$A,'[5]july-2025'!$C:$C,0,0)</f>
        <v>53300</v>
      </c>
      <c r="AY295">
        <f t="shared" si="644"/>
        <v>9594</v>
      </c>
      <c r="AZ295">
        <v>0</v>
      </c>
      <c r="BA295">
        <f t="shared" si="645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609"/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646"/>
        <v>200</v>
      </c>
      <c r="BH295">
        <f t="shared" si="647"/>
        <v>61430</v>
      </c>
      <c r="BI295">
        <f>_xlfn.XLOOKUP(B295,'[6]august-2025'!$A:$A,'[6]august-2025'!$C:$C,0,0)</f>
        <v>53300</v>
      </c>
      <c r="BJ295">
        <f t="shared" si="648"/>
        <v>9594</v>
      </c>
      <c r="BK295">
        <f t="shared" si="649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650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 t="shared" si="610"/>
        <v>200</v>
      </c>
      <c r="BR295">
        <f t="shared" si="611"/>
        <v>61430</v>
      </c>
      <c r="BS295">
        <f>_xlfn.XLOOKUP(B295,'[7]september-2025'!$A:$A,'[7]september-2025'!$C:$C,0,0)</f>
        <v>53300</v>
      </c>
      <c r="BT295">
        <f t="shared" si="651"/>
        <v>9594</v>
      </c>
      <c r="BU295">
        <f t="shared" si="652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612"/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653"/>
        <v>200</v>
      </c>
      <c r="CB295">
        <f t="shared" si="654"/>
        <v>61430</v>
      </c>
      <c r="CC295">
        <f>_xlfn.XLOOKUP(B295,'[8]october-2025'!$A:$A,'[8]october-2025'!$C:$C,0,0)</f>
        <v>53300</v>
      </c>
      <c r="CD295">
        <f t="shared" si="655"/>
        <v>9594</v>
      </c>
      <c r="CE295">
        <f t="shared" si="656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613"/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657"/>
        <v>200</v>
      </c>
      <c r="CL295">
        <f t="shared" si="658"/>
        <v>61430</v>
      </c>
      <c r="CM295">
        <f>_xlfn.XLOOKUP(B295,'[9]november-2025'!$A:$A,'[9]november-2025'!$C:$C,0,0)</f>
        <v>53300</v>
      </c>
      <c r="CN295">
        <f t="shared" si="659"/>
        <v>9594</v>
      </c>
      <c r="CO295">
        <f t="shared" si="660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614"/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661"/>
        <v>200</v>
      </c>
      <c r="CV295">
        <f t="shared" si="662"/>
        <v>61430</v>
      </c>
      <c r="CW295">
        <f>_xlfn.XLOOKUP(B295,'[10]december-2025'!$A:$A,'[10]december-2025'!$C:$C,0,0)</f>
        <v>53300</v>
      </c>
      <c r="CX295">
        <f t="shared" si="663"/>
        <v>9594</v>
      </c>
      <c r="CY295">
        <f t="shared" si="664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615"/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665"/>
        <v>200</v>
      </c>
      <c r="DF295">
        <f t="shared" si="666"/>
        <v>61430</v>
      </c>
      <c r="DG295">
        <f>_xlfn.XLOOKUP(B295,'[11]january-2026'!$A:$A,'[11]january-2026'!$C:$C,0,0)</f>
        <v>53300</v>
      </c>
      <c r="DH295">
        <f t="shared" si="667"/>
        <v>9594</v>
      </c>
      <c r="DI295">
        <f t="shared" si="668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16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69"/>
        <v>200</v>
      </c>
      <c r="DP295">
        <f t="shared" si="670"/>
        <v>61430</v>
      </c>
      <c r="DQ295">
        <f>_xlfn.XLOOKUP(B295,'[12]february-2026'!$A:$A,'[12]february-2026'!$C:$C,0,0)</f>
        <v>53300</v>
      </c>
      <c r="DR295">
        <f t="shared" si="671"/>
        <v>9594</v>
      </c>
      <c r="DS295">
        <f t="shared" si="672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617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673"/>
        <v>200</v>
      </c>
      <c r="DZ295">
        <f t="shared" si="674"/>
        <v>61430</v>
      </c>
      <c r="EA295">
        <f>_xlfn.XLOOKUP(B295,'[1]march-2025'!$A:$A,'[1]march-2025'!$J:$J,0,0)</f>
        <v>0</v>
      </c>
      <c r="EB295">
        <f>_xlfn.XLOOKUP(B295,'[2]april-2025'!$A:$A,'[2]april-2025'!$J:$J,0,0)</f>
        <v>0</v>
      </c>
      <c r="EC295">
        <f>_xlfn.XLOOKUP(B295,'[3]may-2025'!$A:$A,'[3]may-2025'!$J:$J,0,0)</f>
        <v>0</v>
      </c>
      <c r="ED295">
        <f>_xlfn.XLOOKUP(B295,'[4]june-2025'!$A:$A,'[4]june-2025'!$J:$J,0,0)</f>
        <v>0</v>
      </c>
      <c r="EE295">
        <f>_xlfn.XLOOKUP(B295,'[5]july-2025'!$A:$A,'[5]july-2025'!$J:$J,0,0)</f>
        <v>0</v>
      </c>
      <c r="EF295">
        <f>_xlfn.XLOOKUP(B295,'[6]august-2025'!$A:$A,'[6]august-2025'!$J:$J,0,0)</f>
        <v>0</v>
      </c>
      <c r="EG295">
        <f>_xlfn.XLOOKUP(B295,'[7]september-2025'!$A:$A,'[7]september-2025'!$J:$J,0,0)</f>
        <v>0</v>
      </c>
      <c r="EH295">
        <f>_xlfn.XLOOKUP(B295,'[8]october-2025'!$A:$A,'[8]october-2025'!$J:$J,0,0)</f>
        <v>0</v>
      </c>
      <c r="EI295">
        <f>_xlfn.XLOOKUP(C295,'[9]november-2025'!$A:$A,'[9]november-2025'!$J:$J,0,0)</f>
        <v>0</v>
      </c>
      <c r="EJ295">
        <f>_xlfn.XLOOKUP(B295,'[10]december-2025'!$A:$A,'[10]december-2025'!$J:$J,0,0)</f>
        <v>0</v>
      </c>
      <c r="EK295">
        <f>_xlfn.XLOOKUP(B295,'[11]january-2026'!$A:$A,'[11]january-2026'!$J:$J,0,0)</f>
        <v>0</v>
      </c>
      <c r="EL295">
        <f>_xlfn.XLOOKUP(B295,'[12]february-2026'!$A:$A,'[12]february-2026'!$J:$J,0,0)</f>
        <v>0</v>
      </c>
      <c r="EM295">
        <f t="shared" si="628"/>
        <v>0</v>
      </c>
      <c r="EN295">
        <f t="shared" si="618"/>
        <v>832692</v>
      </c>
      <c r="EO295">
        <f t="shared" si="619"/>
        <v>2400</v>
      </c>
      <c r="EP295">
        <f t="shared" si="675"/>
        <v>50000</v>
      </c>
      <c r="EQ295">
        <v>0</v>
      </c>
      <c r="ER295">
        <f t="shared" si="629"/>
        <v>780292</v>
      </c>
      <c r="ES295">
        <f t="shared" si="620"/>
        <v>96000</v>
      </c>
      <c r="ET295">
        <f t="shared" si="621"/>
        <v>720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676"/>
        <v>96720</v>
      </c>
      <c r="FF295">
        <f t="shared" si="677"/>
        <v>96720</v>
      </c>
      <c r="FG295">
        <f t="shared" si="678"/>
        <v>683572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622"/>
        <v>0</v>
      </c>
      <c r="FP295">
        <f t="shared" si="679"/>
        <v>683572</v>
      </c>
      <c r="FQ295">
        <f t="shared" si="680"/>
        <v>12500</v>
      </c>
      <c r="FR295">
        <f t="shared" si="681"/>
        <v>36714</v>
      </c>
      <c r="FS295">
        <f t="shared" si="682"/>
        <v>49214</v>
      </c>
      <c r="FT295">
        <f t="shared" si="683"/>
        <v>49214</v>
      </c>
      <c r="FU295">
        <f t="shared" si="684"/>
        <v>1968.56</v>
      </c>
      <c r="FV295">
        <f t="shared" si="685"/>
        <v>51183</v>
      </c>
      <c r="FW295">
        <v>0</v>
      </c>
      <c r="FX295">
        <f t="shared" si="686"/>
        <v>51183</v>
      </c>
      <c r="FY295" t="b">
        <f t="shared" si="687"/>
        <v>1</v>
      </c>
      <c r="FZ295">
        <f t="shared" ca="1" si="688"/>
        <v>709</v>
      </c>
      <c r="GA295">
        <f t="shared" ca="1" si="689"/>
        <v>833401</v>
      </c>
      <c r="GB295">
        <f t="shared" si="690"/>
        <v>75000</v>
      </c>
      <c r="GC295">
        <f t="shared" ca="1" si="691"/>
        <v>758401</v>
      </c>
      <c r="GD295">
        <f t="shared" ca="1" si="692"/>
        <v>0</v>
      </c>
      <c r="GE295">
        <f t="shared" ca="1" si="693"/>
        <v>0</v>
      </c>
      <c r="GF295">
        <f t="shared" ca="1" si="694"/>
        <v>0</v>
      </c>
      <c r="GG295">
        <f t="shared" ca="1" si="695"/>
        <v>0</v>
      </c>
      <c r="GH295">
        <f t="shared" ca="1" si="696"/>
        <v>0</v>
      </c>
      <c r="GI295">
        <f t="shared" ca="1" si="697"/>
        <v>0</v>
      </c>
      <c r="GJ295">
        <f t="shared" ca="1" si="623"/>
        <v>0</v>
      </c>
      <c r="GK295">
        <f t="shared" ca="1" si="698"/>
        <v>0</v>
      </c>
      <c r="GL295">
        <f t="shared" ca="1" si="699"/>
        <v>0</v>
      </c>
      <c r="GM295">
        <f t="shared" ca="1" si="700"/>
        <v>0</v>
      </c>
      <c r="GN295">
        <f t="shared" ca="1" si="701"/>
        <v>358401</v>
      </c>
      <c r="GO295">
        <f t="shared" ca="1" si="702"/>
        <v>17920.05</v>
      </c>
      <c r="GP295">
        <f t="shared" ca="1" si="703"/>
        <v>17920</v>
      </c>
      <c r="GQ295">
        <f t="shared" ca="1" si="704"/>
        <v>0</v>
      </c>
      <c r="GR295">
        <f t="shared" ca="1" si="705"/>
        <v>0</v>
      </c>
      <c r="GS295">
        <f t="shared" ca="1" si="706"/>
        <v>17920</v>
      </c>
      <c r="GT295">
        <f t="shared" ca="1" si="707"/>
        <v>0</v>
      </c>
      <c r="GU295" t="b">
        <f t="shared" ca="1" si="708"/>
        <v>0</v>
      </c>
      <c r="GV295">
        <f t="shared" ca="1" si="709"/>
        <v>0</v>
      </c>
      <c r="GW295">
        <f t="shared" ca="1" si="710"/>
        <v>17920</v>
      </c>
      <c r="GX295">
        <f t="shared" ca="1" si="711"/>
        <v>0</v>
      </c>
      <c r="GY295">
        <f t="shared" ca="1" si="712"/>
        <v>0</v>
      </c>
      <c r="GZ295">
        <f t="shared" ca="1" si="713"/>
        <v>0</v>
      </c>
    </row>
    <row r="296" spans="1:208" x14ac:dyDescent="0.3">
      <c r="A296">
        <f>_xlfn.AGGREGATE(3,5,$B$2:B296)</f>
        <v>295</v>
      </c>
      <c r="B296" t="s">
        <v>690</v>
      </c>
      <c r="C296" t="s">
        <v>691</v>
      </c>
      <c r="D296" t="s">
        <v>826</v>
      </c>
      <c r="E296" t="s">
        <v>830</v>
      </c>
      <c r="F296" t="s">
        <v>956</v>
      </c>
      <c r="G296" t="s">
        <v>909</v>
      </c>
      <c r="H296">
        <f t="shared" si="716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630"/>
        <v>4690</v>
      </c>
      <c r="L296">
        <f t="shared" si="631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608"/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714"/>
        <v>200</v>
      </c>
      <c r="S296">
        <f t="shared" si="624"/>
        <v>39510</v>
      </c>
      <c r="T296">
        <f>_xlfn.XLOOKUP(B296,'[2]april-2025'!$A:$A,'[2]april-2025'!$C:$C,0,0)</f>
        <v>33500</v>
      </c>
      <c r="U296">
        <f t="shared" si="632"/>
        <v>6030</v>
      </c>
      <c r="V296">
        <f t="shared" si="633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625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634"/>
        <v>200</v>
      </c>
      <c r="AC296">
        <f t="shared" si="635"/>
        <v>40850</v>
      </c>
      <c r="AD296">
        <f>_xlfn.XLOOKUP(B296,'[3]may-2025'!$A:$A,'[3]may-2025'!$C:$C,0,0)</f>
        <v>33500</v>
      </c>
      <c r="AE296">
        <f t="shared" si="636"/>
        <v>6030</v>
      </c>
      <c r="AF296">
        <f t="shared" si="637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626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638"/>
        <v>200</v>
      </c>
      <c r="AM296">
        <f t="shared" si="639"/>
        <v>40850</v>
      </c>
      <c r="AN296">
        <f>_xlfn.XLOOKUP(B296,'[4]june-2025'!$A:$A,'[4]june-2025'!$C:$C,0,0)</f>
        <v>33500</v>
      </c>
      <c r="AO296">
        <f t="shared" si="640"/>
        <v>6030</v>
      </c>
      <c r="AP296">
        <f t="shared" si="64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627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642"/>
        <v>200</v>
      </c>
      <c r="AW296">
        <f t="shared" si="643"/>
        <v>40850</v>
      </c>
      <c r="AX296">
        <f>_xlfn.XLOOKUP(B296,'[5]july-2025'!$A:$A,'[5]july-2025'!$C:$C,0,0)</f>
        <v>34500</v>
      </c>
      <c r="AY296">
        <f t="shared" si="644"/>
        <v>6210</v>
      </c>
      <c r="AZ296">
        <v>0</v>
      </c>
      <c r="BA296">
        <f t="shared" si="645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 t="shared" si="609"/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646"/>
        <v>200</v>
      </c>
      <c r="BH296">
        <f t="shared" si="647"/>
        <v>42150</v>
      </c>
      <c r="BI296">
        <f>_xlfn.XLOOKUP(B296,'[6]august-2025'!$A:$A,'[6]august-2025'!$C:$C,0,0)</f>
        <v>34500</v>
      </c>
      <c r="BJ296">
        <f t="shared" si="648"/>
        <v>6210</v>
      </c>
      <c r="BK296">
        <f t="shared" si="649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650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 t="shared" si="610"/>
        <v>200</v>
      </c>
      <c r="BR296">
        <f t="shared" si="611"/>
        <v>42150</v>
      </c>
      <c r="BS296">
        <f>_xlfn.XLOOKUP(B296,'[7]september-2025'!$A:$A,'[7]september-2025'!$C:$C,0,0)</f>
        <v>34500</v>
      </c>
      <c r="BT296">
        <f t="shared" si="651"/>
        <v>6210</v>
      </c>
      <c r="BU296">
        <f t="shared" si="652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 t="shared" si="612"/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653"/>
        <v>200</v>
      </c>
      <c r="CB296">
        <f t="shared" si="654"/>
        <v>42150</v>
      </c>
      <c r="CC296">
        <f>_xlfn.XLOOKUP(B296,'[8]october-2025'!$A:$A,'[8]october-2025'!$C:$C,0,0)</f>
        <v>34500</v>
      </c>
      <c r="CD296">
        <f t="shared" si="655"/>
        <v>6210</v>
      </c>
      <c r="CE296">
        <f t="shared" si="656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 t="shared" si="613"/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657"/>
        <v>200</v>
      </c>
      <c r="CL296">
        <f t="shared" si="658"/>
        <v>42150</v>
      </c>
      <c r="CM296">
        <f>_xlfn.XLOOKUP(B296,'[9]november-2025'!$A:$A,'[9]november-2025'!$C:$C,0,0)</f>
        <v>34500</v>
      </c>
      <c r="CN296">
        <f t="shared" si="659"/>
        <v>6210</v>
      </c>
      <c r="CO296">
        <f t="shared" si="660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 t="shared" si="614"/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661"/>
        <v>200</v>
      </c>
      <c r="CV296">
        <f t="shared" si="662"/>
        <v>42150</v>
      </c>
      <c r="CW296">
        <f>_xlfn.XLOOKUP(B296,'[10]december-2025'!$A:$A,'[10]december-2025'!$C:$C,0,0)</f>
        <v>34500</v>
      </c>
      <c r="CX296">
        <f t="shared" si="663"/>
        <v>6210</v>
      </c>
      <c r="CY296">
        <f t="shared" si="664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 t="shared" si="615"/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665"/>
        <v>200</v>
      </c>
      <c r="DF296">
        <f t="shared" si="666"/>
        <v>42150</v>
      </c>
      <c r="DG296">
        <f>_xlfn.XLOOKUP(B296,'[11]january-2026'!$A:$A,'[11]january-2026'!$C:$C,0,0)</f>
        <v>34500</v>
      </c>
      <c r="DH296">
        <f t="shared" si="667"/>
        <v>6210</v>
      </c>
      <c r="DI296">
        <f t="shared" si="668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16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69"/>
        <v>200</v>
      </c>
      <c r="DP296">
        <f t="shared" si="670"/>
        <v>42150</v>
      </c>
      <c r="DQ296">
        <f>_xlfn.XLOOKUP(B296,'[12]february-2026'!$A:$A,'[12]february-2026'!$C:$C,0,0)</f>
        <v>34500</v>
      </c>
      <c r="DR296">
        <f t="shared" si="671"/>
        <v>6210</v>
      </c>
      <c r="DS296">
        <f t="shared" si="672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617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673"/>
        <v>200</v>
      </c>
      <c r="DZ296">
        <f t="shared" si="674"/>
        <v>42150</v>
      </c>
      <c r="EA296">
        <f>_xlfn.XLOOKUP(B296,'[1]march-2025'!$A:$A,'[1]march-2025'!$J:$J,0,0)</f>
        <v>0</v>
      </c>
      <c r="EB296">
        <f>_xlfn.XLOOKUP(B296,'[2]april-2025'!$A:$A,'[2]april-2025'!$J:$J,0,0)</f>
        <v>0</v>
      </c>
      <c r="EC296">
        <f>_xlfn.XLOOKUP(B296,'[3]may-2025'!$A:$A,'[3]may-2025'!$J:$J,0,0)</f>
        <v>0</v>
      </c>
      <c r="ED296">
        <f>_xlfn.XLOOKUP(B296,'[4]june-2025'!$A:$A,'[4]june-2025'!$J:$J,0,0)</f>
        <v>0</v>
      </c>
      <c r="EE296">
        <f>_xlfn.XLOOKUP(B296,'[5]july-2025'!$A:$A,'[5]july-2025'!$J:$J,0,0)</f>
        <v>0</v>
      </c>
      <c r="EF296">
        <f>_xlfn.XLOOKUP(B296,'[6]august-2025'!$A:$A,'[6]august-2025'!$J:$J,0,0)</f>
        <v>0</v>
      </c>
      <c r="EG296">
        <f>_xlfn.XLOOKUP(B296,'[7]september-2025'!$A:$A,'[7]september-2025'!$J:$J,0,0)</f>
        <v>0</v>
      </c>
      <c r="EH296">
        <f>_xlfn.XLOOKUP(B296,'[8]october-2025'!$A:$A,'[8]october-2025'!$J:$J,0,0)</f>
        <v>0</v>
      </c>
      <c r="EI296">
        <f>_xlfn.XLOOKUP(C296,'[9]november-2025'!$A:$A,'[9]november-2025'!$J:$J,0,0)</f>
        <v>0</v>
      </c>
      <c r="EJ296">
        <f>_xlfn.XLOOKUP(B296,'[10]december-2025'!$A:$A,'[10]december-2025'!$J:$J,0,0)</f>
        <v>0</v>
      </c>
      <c r="EK296">
        <f>_xlfn.XLOOKUP(B296,'[11]january-2026'!$A:$A,'[11]january-2026'!$J:$J,0,0)</f>
        <v>0</v>
      </c>
      <c r="EL296">
        <f>_xlfn.XLOOKUP(B296,'[12]february-2026'!$A:$A,'[12]february-2026'!$J:$J,0,0)</f>
        <v>0</v>
      </c>
      <c r="EM296">
        <f t="shared" si="628"/>
        <v>0</v>
      </c>
      <c r="EN296">
        <f t="shared" si="618"/>
        <v>538460</v>
      </c>
      <c r="EO296">
        <f t="shared" si="619"/>
        <v>2400</v>
      </c>
      <c r="EP296">
        <f t="shared" si="675"/>
        <v>50000</v>
      </c>
      <c r="EQ296">
        <v>0</v>
      </c>
      <c r="ER296">
        <f t="shared" si="629"/>
        <v>486060</v>
      </c>
      <c r="ES296">
        <f t="shared" si="620"/>
        <v>30000</v>
      </c>
      <c r="ET296">
        <f t="shared" si="621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676"/>
        <v>30000</v>
      </c>
      <c r="FF296">
        <f t="shared" si="677"/>
        <v>30000</v>
      </c>
      <c r="FG296">
        <f t="shared" si="678"/>
        <v>456060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622"/>
        <v>0</v>
      </c>
      <c r="FP296">
        <f t="shared" si="679"/>
        <v>456060</v>
      </c>
      <c r="FQ296">
        <f t="shared" si="680"/>
        <v>10303</v>
      </c>
      <c r="FR296">
        <f t="shared" si="681"/>
        <v>0</v>
      </c>
      <c r="FS296">
        <f t="shared" si="682"/>
        <v>10303</v>
      </c>
      <c r="FT296">
        <f t="shared" si="683"/>
        <v>0</v>
      </c>
      <c r="FU296">
        <f t="shared" si="684"/>
        <v>0</v>
      </c>
      <c r="FV296">
        <f t="shared" si="685"/>
        <v>0</v>
      </c>
      <c r="FW296">
        <v>0</v>
      </c>
      <c r="FX296">
        <f t="shared" si="686"/>
        <v>0</v>
      </c>
      <c r="FY296" t="b">
        <f t="shared" si="687"/>
        <v>1</v>
      </c>
      <c r="FZ296">
        <f t="shared" ca="1" si="688"/>
        <v>773</v>
      </c>
      <c r="GA296">
        <f t="shared" ca="1" si="689"/>
        <v>539233</v>
      </c>
      <c r="GB296">
        <f t="shared" si="690"/>
        <v>75000</v>
      </c>
      <c r="GC296">
        <f t="shared" ca="1" si="691"/>
        <v>464233</v>
      </c>
      <c r="GD296">
        <f t="shared" ca="1" si="692"/>
        <v>0</v>
      </c>
      <c r="GE296">
        <f t="shared" ca="1" si="693"/>
        <v>0</v>
      </c>
      <c r="GF296">
        <f t="shared" ca="1" si="694"/>
        <v>0</v>
      </c>
      <c r="GG296">
        <f t="shared" ca="1" si="695"/>
        <v>0</v>
      </c>
      <c r="GH296">
        <f t="shared" ca="1" si="696"/>
        <v>0</v>
      </c>
      <c r="GI296">
        <f t="shared" ca="1" si="697"/>
        <v>0</v>
      </c>
      <c r="GJ296">
        <f t="shared" ca="1" si="623"/>
        <v>0</v>
      </c>
      <c r="GK296">
        <f t="shared" ca="1" si="698"/>
        <v>0</v>
      </c>
      <c r="GL296">
        <f t="shared" ca="1" si="699"/>
        <v>0</v>
      </c>
      <c r="GM296">
        <f t="shared" ca="1" si="700"/>
        <v>0</v>
      </c>
      <c r="GN296">
        <f t="shared" ca="1" si="701"/>
        <v>64233</v>
      </c>
      <c r="GO296">
        <f t="shared" ca="1" si="702"/>
        <v>3211.65</v>
      </c>
      <c r="GP296">
        <f t="shared" ca="1" si="703"/>
        <v>3212</v>
      </c>
      <c r="GQ296">
        <f t="shared" ca="1" si="704"/>
        <v>0</v>
      </c>
      <c r="GR296">
        <f t="shared" ca="1" si="705"/>
        <v>0</v>
      </c>
      <c r="GS296">
        <f t="shared" ca="1" si="706"/>
        <v>3212</v>
      </c>
      <c r="GT296">
        <f t="shared" ca="1" si="707"/>
        <v>0</v>
      </c>
      <c r="GU296" t="b">
        <f t="shared" ca="1" si="708"/>
        <v>0</v>
      </c>
      <c r="GV296">
        <f t="shared" ca="1" si="709"/>
        <v>0</v>
      </c>
      <c r="GW296">
        <f t="shared" ca="1" si="710"/>
        <v>3212</v>
      </c>
      <c r="GX296">
        <f t="shared" ca="1" si="711"/>
        <v>0</v>
      </c>
      <c r="GY296">
        <f t="shared" ca="1" si="712"/>
        <v>0</v>
      </c>
      <c r="GZ296">
        <f t="shared" ca="1" si="713"/>
        <v>0</v>
      </c>
    </row>
    <row r="297" spans="1:208" x14ac:dyDescent="0.3">
      <c r="A297">
        <f>_xlfn.AGGREGATE(3,5,$B$2:B297)</f>
        <v>296</v>
      </c>
      <c r="B297" t="s">
        <v>870</v>
      </c>
      <c r="C297" t="s">
        <v>871</v>
      </c>
      <c r="D297" t="s">
        <v>826</v>
      </c>
      <c r="E297" t="s">
        <v>830</v>
      </c>
      <c r="F297" t="s">
        <v>958</v>
      </c>
      <c r="G297" t="s">
        <v>889</v>
      </c>
      <c r="H297">
        <f t="shared" si="716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630"/>
        <v>0</v>
      </c>
      <c r="L297">
        <f t="shared" si="631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 t="shared" si="608"/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714"/>
        <v>0</v>
      </c>
      <c r="S297">
        <f t="shared" si="624"/>
        <v>0</v>
      </c>
      <c r="T297">
        <f>_xlfn.XLOOKUP(B297,'[2]april-2025'!$A:$A,'[2]april-2025'!$C:$C,0,0)</f>
        <v>0</v>
      </c>
      <c r="U297">
        <f t="shared" si="632"/>
        <v>0</v>
      </c>
      <c r="V297">
        <f t="shared" si="633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625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634"/>
        <v>0</v>
      </c>
      <c r="AC297">
        <f t="shared" si="635"/>
        <v>0</v>
      </c>
      <c r="AD297">
        <f>_xlfn.XLOOKUP(B297,'[3]may-2025'!$A:$A,'[3]may-2025'!$C:$C,0,0)</f>
        <v>24700</v>
      </c>
      <c r="AE297">
        <f t="shared" si="636"/>
        <v>4446</v>
      </c>
      <c r="AF297">
        <f t="shared" si="637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626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638"/>
        <v>150</v>
      </c>
      <c r="AM297">
        <f t="shared" si="639"/>
        <v>32460</v>
      </c>
      <c r="AN297">
        <f>_xlfn.XLOOKUP(B297,'[4]june-2025'!$A:$A,'[4]june-2025'!$C:$C,0,0)</f>
        <v>24700</v>
      </c>
      <c r="AO297">
        <f t="shared" si="640"/>
        <v>4446</v>
      </c>
      <c r="AP297">
        <f t="shared" si="64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627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642"/>
        <v>150</v>
      </c>
      <c r="AW297">
        <f t="shared" si="643"/>
        <v>32460</v>
      </c>
      <c r="AX297">
        <f>_xlfn.XLOOKUP(B297,'[5]july-2025'!$A:$A,'[5]july-2025'!$C:$C,0,0)</f>
        <v>24700</v>
      </c>
      <c r="AY297">
        <f t="shared" si="644"/>
        <v>4446</v>
      </c>
      <c r="AZ297">
        <v>0</v>
      </c>
      <c r="BA297">
        <f t="shared" si="645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609"/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646"/>
        <v>150</v>
      </c>
      <c r="BH297">
        <f t="shared" si="647"/>
        <v>32460</v>
      </c>
      <c r="BI297">
        <f>_xlfn.XLOOKUP(B297,'[6]august-2025'!$A:$A,'[6]august-2025'!$C:$C,0,0)</f>
        <v>28900</v>
      </c>
      <c r="BJ297">
        <f t="shared" si="648"/>
        <v>5202</v>
      </c>
      <c r="BK297">
        <f t="shared" si="649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650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 t="shared" si="610"/>
        <v>150</v>
      </c>
      <c r="BR297">
        <f t="shared" si="611"/>
        <v>37920</v>
      </c>
      <c r="BS297">
        <f>_xlfn.XLOOKUP(B297,'[7]september-2025'!$A:$A,'[7]september-2025'!$C:$C,0,0)</f>
        <v>28900</v>
      </c>
      <c r="BT297">
        <f t="shared" si="651"/>
        <v>5202</v>
      </c>
      <c r="BU297">
        <f t="shared" si="652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612"/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653"/>
        <v>150</v>
      </c>
      <c r="CB297">
        <f t="shared" si="654"/>
        <v>37920</v>
      </c>
      <c r="CC297">
        <f>_xlfn.XLOOKUP(B297,'[8]october-2025'!$A:$A,'[8]october-2025'!$C:$C,0,0)</f>
        <v>28900</v>
      </c>
      <c r="CD297">
        <f t="shared" si="655"/>
        <v>5202</v>
      </c>
      <c r="CE297">
        <f t="shared" si="656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613"/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657"/>
        <v>150</v>
      </c>
      <c r="CL297">
        <f t="shared" si="658"/>
        <v>37920</v>
      </c>
      <c r="CM297">
        <f>_xlfn.XLOOKUP(B297,'[9]november-2025'!$A:$A,'[9]november-2025'!$C:$C,0,0)</f>
        <v>28900</v>
      </c>
      <c r="CN297">
        <f t="shared" si="659"/>
        <v>5202</v>
      </c>
      <c r="CO297">
        <f t="shared" si="660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614"/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661"/>
        <v>150</v>
      </c>
      <c r="CV297">
        <f t="shared" si="662"/>
        <v>37920</v>
      </c>
      <c r="CW297">
        <f>_xlfn.XLOOKUP(B297,'[10]december-2025'!$A:$A,'[10]december-2025'!$C:$C,0,0)</f>
        <v>28900</v>
      </c>
      <c r="CX297">
        <f t="shared" si="663"/>
        <v>5202</v>
      </c>
      <c r="CY297">
        <f t="shared" si="664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615"/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665"/>
        <v>150</v>
      </c>
      <c r="DF297">
        <f t="shared" si="666"/>
        <v>37920</v>
      </c>
      <c r="DG297">
        <f>_xlfn.XLOOKUP(B297,'[11]january-2026'!$A:$A,'[11]january-2026'!$C:$C,0,0)</f>
        <v>28900</v>
      </c>
      <c r="DH297">
        <f t="shared" si="667"/>
        <v>5202</v>
      </c>
      <c r="DI297">
        <f t="shared" si="668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16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69"/>
        <v>150</v>
      </c>
      <c r="DP297">
        <f t="shared" si="670"/>
        <v>35920</v>
      </c>
      <c r="DQ297">
        <f>_xlfn.XLOOKUP(B297,'[12]february-2026'!$A:$A,'[12]february-2026'!$C:$C,0,0)</f>
        <v>28900</v>
      </c>
      <c r="DR297">
        <f t="shared" si="671"/>
        <v>5202</v>
      </c>
      <c r="DS297">
        <f t="shared" si="672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617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673"/>
        <v>150</v>
      </c>
      <c r="DZ297">
        <f t="shared" si="674"/>
        <v>35920</v>
      </c>
      <c r="EA297">
        <f>_xlfn.XLOOKUP(B297,'[1]march-2025'!$A:$A,'[1]march-2025'!$J:$J,0,0)</f>
        <v>0</v>
      </c>
      <c r="EB297">
        <f>_xlfn.XLOOKUP(B297,'[2]april-2025'!$A:$A,'[2]april-2025'!$J:$J,0,0)</f>
        <v>0</v>
      </c>
      <c r="EC297">
        <f>_xlfn.XLOOKUP(B297,'[3]may-2025'!$A:$A,'[3]may-2025'!$J:$J,0,0)</f>
        <v>0</v>
      </c>
      <c r="ED297">
        <f>_xlfn.XLOOKUP(B297,'[4]june-2025'!$A:$A,'[4]june-2025'!$J:$J,0,0)</f>
        <v>0</v>
      </c>
      <c r="EE297">
        <f>_xlfn.XLOOKUP(B297,'[5]july-2025'!$A:$A,'[5]july-2025'!$J:$J,0,0)</f>
        <v>0</v>
      </c>
      <c r="EF297">
        <f>_xlfn.XLOOKUP(B297,'[6]august-2025'!$A:$A,'[6]august-2025'!$J:$J,0,0)</f>
        <v>0</v>
      </c>
      <c r="EG297">
        <f>_xlfn.XLOOKUP(B297,'[7]september-2025'!$A:$A,'[7]september-2025'!$J:$J,0,0)</f>
        <v>0</v>
      </c>
      <c r="EH297">
        <f>_xlfn.XLOOKUP(B297,'[8]october-2025'!$A:$A,'[8]october-2025'!$J:$J,0,0)</f>
        <v>0</v>
      </c>
      <c r="EI297">
        <f>_xlfn.XLOOKUP(C297,'[9]november-2025'!$A:$A,'[9]november-2025'!$J:$J,0,0)</f>
        <v>0</v>
      </c>
      <c r="EJ297">
        <f>_xlfn.XLOOKUP(B297,'[10]december-2025'!$A:$A,'[10]december-2025'!$J:$J,0,0)</f>
        <v>0</v>
      </c>
      <c r="EK297">
        <f>_xlfn.XLOOKUP(B297,'[11]january-2026'!$A:$A,'[11]january-2026'!$J:$J,0,0)</f>
        <v>0</v>
      </c>
      <c r="EL297">
        <f>_xlfn.XLOOKUP(B297,'[12]february-2026'!$A:$A,'[12]february-2026'!$J:$J,0,0)</f>
        <v>0</v>
      </c>
      <c r="EM297">
        <f t="shared" si="628"/>
        <v>0</v>
      </c>
      <c r="EN297">
        <f t="shared" si="618"/>
        <v>364320</v>
      </c>
      <c r="EO297">
        <f t="shared" si="619"/>
        <v>1500</v>
      </c>
      <c r="EP297">
        <f t="shared" si="675"/>
        <v>50000</v>
      </c>
      <c r="EQ297">
        <v>0</v>
      </c>
      <c r="ER297">
        <f t="shared" si="629"/>
        <v>312820</v>
      </c>
      <c r="ES297">
        <f t="shared" si="620"/>
        <v>4000</v>
      </c>
      <c r="ET297">
        <f t="shared" si="621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676"/>
        <v>4000</v>
      </c>
      <c r="FF297">
        <f t="shared" si="677"/>
        <v>4000</v>
      </c>
      <c r="FG297">
        <f t="shared" si="678"/>
        <v>308820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622"/>
        <v>0</v>
      </c>
      <c r="FP297">
        <f t="shared" si="679"/>
        <v>308820</v>
      </c>
      <c r="FQ297">
        <f t="shared" si="680"/>
        <v>2941</v>
      </c>
      <c r="FR297">
        <f t="shared" si="681"/>
        <v>0</v>
      </c>
      <c r="FS297">
        <f t="shared" si="682"/>
        <v>2941</v>
      </c>
      <c r="FT297">
        <f t="shared" si="683"/>
        <v>0</v>
      </c>
      <c r="FU297">
        <f t="shared" si="684"/>
        <v>0</v>
      </c>
      <c r="FV297">
        <f t="shared" si="685"/>
        <v>0</v>
      </c>
      <c r="FW297">
        <v>0</v>
      </c>
      <c r="FX297">
        <f t="shared" si="686"/>
        <v>0</v>
      </c>
      <c r="FY297" t="b">
        <f t="shared" si="687"/>
        <v>0</v>
      </c>
      <c r="FZ297">
        <f t="shared" ca="1" si="688"/>
        <v>2291</v>
      </c>
      <c r="GA297">
        <f t="shared" ca="1" si="689"/>
        <v>366611</v>
      </c>
      <c r="GB297">
        <f t="shared" si="690"/>
        <v>75000</v>
      </c>
      <c r="GC297">
        <f t="shared" ca="1" si="691"/>
        <v>291611</v>
      </c>
      <c r="GD297">
        <f t="shared" ca="1" si="692"/>
        <v>0</v>
      </c>
      <c r="GE297">
        <f t="shared" ca="1" si="693"/>
        <v>0</v>
      </c>
      <c r="GF297">
        <f t="shared" ca="1" si="694"/>
        <v>0</v>
      </c>
      <c r="GG297">
        <f t="shared" ca="1" si="695"/>
        <v>0</v>
      </c>
      <c r="GH297">
        <f t="shared" ca="1" si="696"/>
        <v>0</v>
      </c>
      <c r="GI297">
        <f t="shared" ca="1" si="697"/>
        <v>0</v>
      </c>
      <c r="GJ297">
        <f t="shared" ca="1" si="623"/>
        <v>0</v>
      </c>
      <c r="GK297">
        <f t="shared" ca="1" si="698"/>
        <v>0</v>
      </c>
      <c r="GL297">
        <f t="shared" ca="1" si="699"/>
        <v>0</v>
      </c>
      <c r="GM297">
        <f t="shared" ca="1" si="700"/>
        <v>0</v>
      </c>
      <c r="GN297">
        <f t="shared" ca="1" si="701"/>
        <v>0</v>
      </c>
      <c r="GO297">
        <f t="shared" ca="1" si="702"/>
        <v>0</v>
      </c>
      <c r="GP297">
        <f t="shared" ca="1" si="703"/>
        <v>0</v>
      </c>
      <c r="GQ297">
        <f t="shared" ca="1" si="704"/>
        <v>0</v>
      </c>
      <c r="GR297">
        <f t="shared" ca="1" si="705"/>
        <v>0</v>
      </c>
      <c r="GS297">
        <f t="shared" ca="1" si="706"/>
        <v>0</v>
      </c>
      <c r="GT297">
        <f t="shared" ca="1" si="707"/>
        <v>0</v>
      </c>
      <c r="GU297" t="b">
        <f t="shared" ca="1" si="708"/>
        <v>0</v>
      </c>
      <c r="GV297">
        <f t="shared" ca="1" si="709"/>
        <v>0</v>
      </c>
      <c r="GW297">
        <f t="shared" ca="1" si="710"/>
        <v>0</v>
      </c>
      <c r="GX297">
        <f t="shared" ca="1" si="711"/>
        <v>0</v>
      </c>
      <c r="GY297">
        <f t="shared" ca="1" si="712"/>
        <v>0</v>
      </c>
      <c r="GZ297">
        <f t="shared" ca="1" si="713"/>
        <v>0</v>
      </c>
    </row>
    <row r="298" spans="1:208" x14ac:dyDescent="0.3">
      <c r="A298">
        <f>_xlfn.AGGREGATE(3,5,$B$2:B298)</f>
        <v>297</v>
      </c>
      <c r="B298" t="s">
        <v>692</v>
      </c>
      <c r="C298" t="s">
        <v>693</v>
      </c>
      <c r="D298" t="s">
        <v>827</v>
      </c>
      <c r="E298" t="s">
        <v>830</v>
      </c>
      <c r="F298" t="s">
        <v>956</v>
      </c>
      <c r="G298" t="s">
        <v>949</v>
      </c>
      <c r="H298">
        <f t="shared" si="716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630"/>
        <v>6818.0000000000009</v>
      </c>
      <c r="L298">
        <f t="shared" si="631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08"/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714"/>
        <v>200</v>
      </c>
      <c r="S298">
        <f t="shared" si="624"/>
        <v>49562</v>
      </c>
      <c r="T298">
        <f>_xlfn.XLOOKUP(B298,'[2]april-2025'!$A:$A,'[2]april-2025'!$C:$C,0,0)</f>
        <v>48700</v>
      </c>
      <c r="U298">
        <f t="shared" si="632"/>
        <v>8766</v>
      </c>
      <c r="V298">
        <f t="shared" si="633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625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634"/>
        <v>200</v>
      </c>
      <c r="AC298">
        <f t="shared" si="635"/>
        <v>51510</v>
      </c>
      <c r="AD298">
        <f>_xlfn.XLOOKUP(B298,'[3]may-2025'!$A:$A,'[3]may-2025'!$C:$C,0,0)</f>
        <v>48700</v>
      </c>
      <c r="AE298">
        <f t="shared" si="636"/>
        <v>8766</v>
      </c>
      <c r="AF298">
        <f t="shared" si="637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626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638"/>
        <v>200</v>
      </c>
      <c r="AM298">
        <f t="shared" si="639"/>
        <v>51510</v>
      </c>
      <c r="AN298">
        <f>_xlfn.XLOOKUP(B298,'[4]june-2025'!$A:$A,'[4]june-2025'!$C:$C,0,0)</f>
        <v>48700</v>
      </c>
      <c r="AO298">
        <f t="shared" si="640"/>
        <v>8766</v>
      </c>
      <c r="AP298">
        <f t="shared" si="64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627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642"/>
        <v>200</v>
      </c>
      <c r="AW298">
        <f t="shared" si="643"/>
        <v>51510</v>
      </c>
      <c r="AX298">
        <f>_xlfn.XLOOKUP(B298,'[5]july-2025'!$A:$A,'[5]july-2025'!$C:$C,0,0)</f>
        <v>50200</v>
      </c>
      <c r="AY298">
        <f t="shared" si="644"/>
        <v>9036</v>
      </c>
      <c r="AZ298">
        <v>0</v>
      </c>
      <c r="BA298">
        <f t="shared" si="645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609"/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646"/>
        <v>200</v>
      </c>
      <c r="BH298">
        <f t="shared" si="647"/>
        <v>53460</v>
      </c>
      <c r="BI298">
        <f>_xlfn.XLOOKUP(B298,'[6]august-2025'!$A:$A,'[6]august-2025'!$C:$C,0,0)</f>
        <v>50200</v>
      </c>
      <c r="BJ298">
        <f t="shared" si="648"/>
        <v>9036</v>
      </c>
      <c r="BK298">
        <f t="shared" si="649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650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 t="shared" si="610"/>
        <v>200</v>
      </c>
      <c r="BR298">
        <f t="shared" si="611"/>
        <v>53460</v>
      </c>
      <c r="BS298">
        <f>_xlfn.XLOOKUP(B298,'[7]september-2025'!$A:$A,'[7]september-2025'!$C:$C,0,0)</f>
        <v>50200</v>
      </c>
      <c r="BT298">
        <f t="shared" si="651"/>
        <v>9036</v>
      </c>
      <c r="BU298">
        <f t="shared" si="652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612"/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653"/>
        <v>200</v>
      </c>
      <c r="CB298">
        <f t="shared" si="654"/>
        <v>53460</v>
      </c>
      <c r="CC298">
        <f>_xlfn.XLOOKUP(B298,'[8]october-2025'!$A:$A,'[8]october-2025'!$C:$C,0,0)</f>
        <v>50200</v>
      </c>
      <c r="CD298">
        <f t="shared" si="655"/>
        <v>9036</v>
      </c>
      <c r="CE298">
        <f t="shared" si="656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613"/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657"/>
        <v>200</v>
      </c>
      <c r="CL298">
        <f t="shared" si="658"/>
        <v>53460</v>
      </c>
      <c r="CM298">
        <f>_xlfn.XLOOKUP(B298,'[9]november-2025'!$A:$A,'[9]november-2025'!$C:$C,0,0)</f>
        <v>50200</v>
      </c>
      <c r="CN298">
        <f t="shared" si="659"/>
        <v>9036</v>
      </c>
      <c r="CO298">
        <f t="shared" si="660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614"/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661"/>
        <v>200</v>
      </c>
      <c r="CV298">
        <f t="shared" si="662"/>
        <v>53460</v>
      </c>
      <c r="CW298">
        <f>_xlfn.XLOOKUP(B298,'[10]december-2025'!$A:$A,'[10]december-2025'!$C:$C,0,0)</f>
        <v>50200</v>
      </c>
      <c r="CX298">
        <f t="shared" si="663"/>
        <v>9036</v>
      </c>
      <c r="CY298">
        <f t="shared" si="664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615"/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665"/>
        <v>200</v>
      </c>
      <c r="DF298">
        <f t="shared" si="666"/>
        <v>53460</v>
      </c>
      <c r="DG298">
        <f>_xlfn.XLOOKUP(B298,'[11]january-2026'!$A:$A,'[11]january-2026'!$C:$C,0,0)</f>
        <v>50200</v>
      </c>
      <c r="DH298">
        <f t="shared" si="667"/>
        <v>9036</v>
      </c>
      <c r="DI298">
        <f t="shared" si="668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16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69"/>
        <v>200</v>
      </c>
      <c r="DP298">
        <f t="shared" si="670"/>
        <v>53460</v>
      </c>
      <c r="DQ298">
        <f>_xlfn.XLOOKUP(B298,'[12]february-2026'!$A:$A,'[12]february-2026'!$C:$C,0,0)</f>
        <v>50200</v>
      </c>
      <c r="DR298">
        <f t="shared" si="671"/>
        <v>9036</v>
      </c>
      <c r="DS298">
        <f t="shared" si="672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617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673"/>
        <v>200</v>
      </c>
      <c r="DZ298">
        <f t="shared" si="674"/>
        <v>53460</v>
      </c>
      <c r="EA298">
        <f>_xlfn.XLOOKUP(B298,'[1]march-2025'!$A:$A,'[1]march-2025'!$J:$J,0,0)</f>
        <v>0</v>
      </c>
      <c r="EB298">
        <f>_xlfn.XLOOKUP(B298,'[2]april-2025'!$A:$A,'[2]april-2025'!$J:$J,0,0)</f>
        <v>0</v>
      </c>
      <c r="EC298">
        <f>_xlfn.XLOOKUP(B298,'[3]may-2025'!$A:$A,'[3]may-2025'!$J:$J,0,0)</f>
        <v>0</v>
      </c>
      <c r="ED298">
        <f>_xlfn.XLOOKUP(B298,'[4]june-2025'!$A:$A,'[4]june-2025'!$J:$J,0,0)</f>
        <v>0</v>
      </c>
      <c r="EE298">
        <f>_xlfn.XLOOKUP(B298,'[5]july-2025'!$A:$A,'[5]july-2025'!$J:$J,0,0)</f>
        <v>0</v>
      </c>
      <c r="EF298">
        <f>_xlfn.XLOOKUP(B298,'[6]august-2025'!$A:$A,'[6]august-2025'!$J:$J,0,0)</f>
        <v>0</v>
      </c>
      <c r="EG298">
        <f>_xlfn.XLOOKUP(B298,'[7]september-2025'!$A:$A,'[7]september-2025'!$J:$J,0,0)</f>
        <v>0</v>
      </c>
      <c r="EH298">
        <f>_xlfn.XLOOKUP(B298,'[8]october-2025'!$A:$A,'[8]october-2025'!$J:$J,0,0)</f>
        <v>0</v>
      </c>
      <c r="EI298">
        <f>_xlfn.XLOOKUP(C298,'[9]november-2025'!$A:$A,'[9]november-2025'!$J:$J,0,0)</f>
        <v>0</v>
      </c>
      <c r="EJ298">
        <f>_xlfn.XLOOKUP(B298,'[10]december-2025'!$A:$A,'[10]december-2025'!$J:$J,0,0)</f>
        <v>0</v>
      </c>
      <c r="EK298">
        <f>_xlfn.XLOOKUP(B298,'[11]january-2026'!$A:$A,'[11]january-2026'!$J:$J,0,0)</f>
        <v>0</v>
      </c>
      <c r="EL298">
        <f>_xlfn.XLOOKUP(B298,'[12]february-2026'!$A:$A,'[12]february-2026'!$J:$J,0,0)</f>
        <v>0</v>
      </c>
      <c r="EM298">
        <f t="shared" si="628"/>
        <v>0</v>
      </c>
      <c r="EN298">
        <f t="shared" si="618"/>
        <v>784972</v>
      </c>
      <c r="EO298">
        <f t="shared" si="619"/>
        <v>2400</v>
      </c>
      <c r="EP298">
        <f t="shared" si="675"/>
        <v>50000</v>
      </c>
      <c r="EQ298">
        <v>0</v>
      </c>
      <c r="ER298">
        <f t="shared" si="629"/>
        <v>732572</v>
      </c>
      <c r="ES298">
        <f t="shared" si="620"/>
        <v>144000</v>
      </c>
      <c r="ET298">
        <f t="shared" si="621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676"/>
        <v>144000</v>
      </c>
      <c r="FF298">
        <f t="shared" si="677"/>
        <v>144000</v>
      </c>
      <c r="FG298">
        <f t="shared" si="678"/>
        <v>588572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622"/>
        <v>0</v>
      </c>
      <c r="FP298">
        <f t="shared" si="679"/>
        <v>588572</v>
      </c>
      <c r="FQ298">
        <f t="shared" si="680"/>
        <v>12500</v>
      </c>
      <c r="FR298">
        <f t="shared" si="681"/>
        <v>17714</v>
      </c>
      <c r="FS298">
        <f t="shared" si="682"/>
        <v>30214</v>
      </c>
      <c r="FT298">
        <f t="shared" si="683"/>
        <v>30214</v>
      </c>
      <c r="FU298">
        <f t="shared" si="684"/>
        <v>1208.56</v>
      </c>
      <c r="FV298">
        <f t="shared" si="685"/>
        <v>31423</v>
      </c>
      <c r="FW298">
        <v>0</v>
      </c>
      <c r="FX298">
        <f t="shared" si="686"/>
        <v>31423</v>
      </c>
      <c r="FY298" t="b">
        <f t="shared" si="687"/>
        <v>1</v>
      </c>
      <c r="FZ298">
        <f t="shared" ca="1" si="688"/>
        <v>866</v>
      </c>
      <c r="GA298">
        <f t="shared" ca="1" si="689"/>
        <v>785838</v>
      </c>
      <c r="GB298">
        <f t="shared" si="690"/>
        <v>75000</v>
      </c>
      <c r="GC298">
        <f t="shared" ca="1" si="691"/>
        <v>710838</v>
      </c>
      <c r="GD298">
        <f t="shared" ca="1" si="692"/>
        <v>0</v>
      </c>
      <c r="GE298">
        <f t="shared" ca="1" si="693"/>
        <v>0</v>
      </c>
      <c r="GF298">
        <f t="shared" ca="1" si="694"/>
        <v>0</v>
      </c>
      <c r="GG298">
        <f t="shared" ca="1" si="695"/>
        <v>0</v>
      </c>
      <c r="GH298">
        <f t="shared" ca="1" si="696"/>
        <v>0</v>
      </c>
      <c r="GI298">
        <f t="shared" ca="1" si="697"/>
        <v>0</v>
      </c>
      <c r="GJ298">
        <f t="shared" ca="1" si="623"/>
        <v>0</v>
      </c>
      <c r="GK298">
        <f t="shared" ca="1" si="698"/>
        <v>0</v>
      </c>
      <c r="GL298">
        <f t="shared" ca="1" si="699"/>
        <v>0</v>
      </c>
      <c r="GM298">
        <f t="shared" ca="1" si="700"/>
        <v>0</v>
      </c>
      <c r="GN298">
        <f t="shared" ca="1" si="701"/>
        <v>310838</v>
      </c>
      <c r="GO298">
        <f t="shared" ca="1" si="702"/>
        <v>15541.900000000001</v>
      </c>
      <c r="GP298">
        <f t="shared" ca="1" si="703"/>
        <v>15542</v>
      </c>
      <c r="GQ298">
        <f t="shared" ca="1" si="704"/>
        <v>0</v>
      </c>
      <c r="GR298">
        <f t="shared" ca="1" si="705"/>
        <v>0</v>
      </c>
      <c r="GS298">
        <f t="shared" ca="1" si="706"/>
        <v>15542</v>
      </c>
      <c r="GT298">
        <f t="shared" ca="1" si="707"/>
        <v>0</v>
      </c>
      <c r="GU298" t="b">
        <f t="shared" ca="1" si="708"/>
        <v>0</v>
      </c>
      <c r="GV298">
        <f t="shared" ca="1" si="709"/>
        <v>0</v>
      </c>
      <c r="GW298">
        <f t="shared" ca="1" si="710"/>
        <v>15542</v>
      </c>
      <c r="GX298">
        <f t="shared" ca="1" si="711"/>
        <v>0</v>
      </c>
      <c r="GY298">
        <f t="shared" ca="1" si="712"/>
        <v>0</v>
      </c>
      <c r="GZ298">
        <f t="shared" ca="1" si="713"/>
        <v>0</v>
      </c>
    </row>
    <row r="299" spans="1:208" x14ac:dyDescent="0.3">
      <c r="A299">
        <f>_xlfn.AGGREGATE(3,5,$B$2:B299)</f>
        <v>298</v>
      </c>
      <c r="B299" t="s">
        <v>694</v>
      </c>
      <c r="C299" t="s">
        <v>695</v>
      </c>
      <c r="D299" t="s">
        <v>827</v>
      </c>
      <c r="E299" t="s">
        <v>830</v>
      </c>
      <c r="F299" t="s">
        <v>956</v>
      </c>
      <c r="G299" t="s">
        <v>932</v>
      </c>
      <c r="H299">
        <f t="shared" si="716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630"/>
        <v>4690</v>
      </c>
      <c r="L299">
        <f t="shared" si="631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08"/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714"/>
        <v>200</v>
      </c>
      <c r="S299">
        <f t="shared" si="624"/>
        <v>39510</v>
      </c>
      <c r="T299">
        <f>_xlfn.XLOOKUP(B299,'[2]april-2025'!$A:$A,'[2]april-2025'!$C:$C,0,0)</f>
        <v>33500</v>
      </c>
      <c r="U299">
        <f t="shared" si="632"/>
        <v>6030</v>
      </c>
      <c r="V299">
        <f t="shared" si="633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625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634"/>
        <v>200</v>
      </c>
      <c r="AC299">
        <f t="shared" si="635"/>
        <v>40850</v>
      </c>
      <c r="AD299">
        <f>_xlfn.XLOOKUP(B299,'[3]may-2025'!$A:$A,'[3]may-2025'!$C:$C,0,0)</f>
        <v>33500</v>
      </c>
      <c r="AE299">
        <f t="shared" si="636"/>
        <v>6030</v>
      </c>
      <c r="AF299">
        <f t="shared" si="637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626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638"/>
        <v>200</v>
      </c>
      <c r="AM299">
        <f t="shared" si="639"/>
        <v>40850</v>
      </c>
      <c r="AN299">
        <f>_xlfn.XLOOKUP(B299,'[4]june-2025'!$A:$A,'[4]june-2025'!$C:$C,0,0)</f>
        <v>33500</v>
      </c>
      <c r="AO299">
        <f t="shared" si="640"/>
        <v>6030</v>
      </c>
      <c r="AP299">
        <f t="shared" si="64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627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642"/>
        <v>200</v>
      </c>
      <c r="AW299">
        <f t="shared" si="643"/>
        <v>40850</v>
      </c>
      <c r="AX299">
        <f>_xlfn.XLOOKUP(B299,'[5]july-2025'!$A:$A,'[5]july-2025'!$C:$C,0,0)</f>
        <v>34500</v>
      </c>
      <c r="AY299">
        <f t="shared" si="644"/>
        <v>6210</v>
      </c>
      <c r="AZ299">
        <v>0</v>
      </c>
      <c r="BA299">
        <f t="shared" si="645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609"/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646"/>
        <v>200</v>
      </c>
      <c r="BH299">
        <f t="shared" si="647"/>
        <v>42150</v>
      </c>
      <c r="BI299">
        <f>_xlfn.XLOOKUP(B299,'[6]august-2025'!$A:$A,'[6]august-2025'!$C:$C,0,0)</f>
        <v>34500</v>
      </c>
      <c r="BJ299">
        <f t="shared" si="648"/>
        <v>6210</v>
      </c>
      <c r="BK299">
        <f t="shared" si="649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650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 t="shared" si="610"/>
        <v>200</v>
      </c>
      <c r="BR299">
        <f t="shared" si="611"/>
        <v>42150</v>
      </c>
      <c r="BS299">
        <f>_xlfn.XLOOKUP(B299,'[7]september-2025'!$A:$A,'[7]september-2025'!$C:$C,0,0)</f>
        <v>34500</v>
      </c>
      <c r="BT299">
        <f t="shared" si="651"/>
        <v>6210</v>
      </c>
      <c r="BU299">
        <f t="shared" si="652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612"/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653"/>
        <v>200</v>
      </c>
      <c r="CB299">
        <f t="shared" si="654"/>
        <v>42150</v>
      </c>
      <c r="CC299">
        <f>_xlfn.XLOOKUP(B299,'[8]october-2025'!$A:$A,'[8]october-2025'!$C:$C,0,0)</f>
        <v>34500</v>
      </c>
      <c r="CD299">
        <f t="shared" si="655"/>
        <v>6210</v>
      </c>
      <c r="CE299">
        <f t="shared" si="656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613"/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657"/>
        <v>200</v>
      </c>
      <c r="CL299">
        <f t="shared" si="658"/>
        <v>42150</v>
      </c>
      <c r="CM299">
        <f>_xlfn.XLOOKUP(B299,'[9]november-2025'!$A:$A,'[9]november-2025'!$C:$C,0,0)</f>
        <v>34500</v>
      </c>
      <c r="CN299">
        <f t="shared" si="659"/>
        <v>6210</v>
      </c>
      <c r="CO299">
        <f t="shared" si="660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614"/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661"/>
        <v>200</v>
      </c>
      <c r="CV299">
        <f t="shared" si="662"/>
        <v>42150</v>
      </c>
      <c r="CW299">
        <f>_xlfn.XLOOKUP(B299,'[10]december-2025'!$A:$A,'[10]december-2025'!$C:$C,0,0)</f>
        <v>34500</v>
      </c>
      <c r="CX299">
        <f t="shared" si="663"/>
        <v>6210</v>
      </c>
      <c r="CY299">
        <f t="shared" si="664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615"/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665"/>
        <v>200</v>
      </c>
      <c r="DF299">
        <f t="shared" si="666"/>
        <v>42150</v>
      </c>
      <c r="DG299">
        <f>_xlfn.XLOOKUP(B299,'[11]january-2026'!$A:$A,'[11]january-2026'!$C:$C,0,0)</f>
        <v>34500</v>
      </c>
      <c r="DH299">
        <f t="shared" si="667"/>
        <v>6210</v>
      </c>
      <c r="DI299">
        <f t="shared" si="668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16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69"/>
        <v>200</v>
      </c>
      <c r="DP299">
        <f t="shared" si="670"/>
        <v>42150</v>
      </c>
      <c r="DQ299">
        <f>_xlfn.XLOOKUP(B299,'[12]february-2026'!$A:$A,'[12]february-2026'!$C:$C,0,0)</f>
        <v>34500</v>
      </c>
      <c r="DR299">
        <f t="shared" si="671"/>
        <v>6210</v>
      </c>
      <c r="DS299">
        <f t="shared" si="672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617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673"/>
        <v>200</v>
      </c>
      <c r="DZ299">
        <f t="shared" si="674"/>
        <v>42150</v>
      </c>
      <c r="EA299">
        <f>_xlfn.XLOOKUP(B299,'[1]march-2025'!$A:$A,'[1]march-2025'!$J:$J,0,0)</f>
        <v>0</v>
      </c>
      <c r="EB299">
        <f>_xlfn.XLOOKUP(B299,'[2]april-2025'!$A:$A,'[2]april-2025'!$J:$J,0,0)</f>
        <v>0</v>
      </c>
      <c r="EC299">
        <f>_xlfn.XLOOKUP(B299,'[3]may-2025'!$A:$A,'[3]may-2025'!$J:$J,0,0)</f>
        <v>0</v>
      </c>
      <c r="ED299">
        <f>_xlfn.XLOOKUP(B299,'[4]june-2025'!$A:$A,'[4]june-2025'!$J:$J,0,0)</f>
        <v>0</v>
      </c>
      <c r="EE299">
        <f>_xlfn.XLOOKUP(B299,'[5]july-2025'!$A:$A,'[5]july-2025'!$J:$J,0,0)</f>
        <v>0</v>
      </c>
      <c r="EF299">
        <f>_xlfn.XLOOKUP(B299,'[6]august-2025'!$A:$A,'[6]august-2025'!$J:$J,0,0)</f>
        <v>0</v>
      </c>
      <c r="EG299">
        <f>_xlfn.XLOOKUP(B299,'[7]september-2025'!$A:$A,'[7]september-2025'!$J:$J,0,0)</f>
        <v>0</v>
      </c>
      <c r="EH299">
        <f>_xlfn.XLOOKUP(B299,'[8]october-2025'!$A:$A,'[8]october-2025'!$J:$J,0,0)</f>
        <v>0</v>
      </c>
      <c r="EI299">
        <f>_xlfn.XLOOKUP(C299,'[9]november-2025'!$A:$A,'[9]november-2025'!$J:$J,0,0)</f>
        <v>0</v>
      </c>
      <c r="EJ299">
        <f>_xlfn.XLOOKUP(B299,'[10]december-2025'!$A:$A,'[10]december-2025'!$J:$J,0,0)</f>
        <v>0</v>
      </c>
      <c r="EK299">
        <f>_xlfn.XLOOKUP(B299,'[11]january-2026'!$A:$A,'[11]january-2026'!$J:$J,0,0)</f>
        <v>0</v>
      </c>
      <c r="EL299">
        <f>_xlfn.XLOOKUP(B299,'[12]february-2026'!$A:$A,'[12]february-2026'!$J:$J,0,0)</f>
        <v>0</v>
      </c>
      <c r="EM299">
        <f t="shared" si="628"/>
        <v>0</v>
      </c>
      <c r="EN299">
        <f t="shared" si="618"/>
        <v>544460</v>
      </c>
      <c r="EO299">
        <f t="shared" si="619"/>
        <v>2400</v>
      </c>
      <c r="EP299">
        <f t="shared" si="675"/>
        <v>50000</v>
      </c>
      <c r="EQ299">
        <v>0</v>
      </c>
      <c r="ER299">
        <f t="shared" si="629"/>
        <v>492060</v>
      </c>
      <c r="ES299">
        <f t="shared" si="620"/>
        <v>36000</v>
      </c>
      <c r="ET299">
        <f t="shared" si="621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676"/>
        <v>36000</v>
      </c>
      <c r="FF299">
        <f t="shared" si="677"/>
        <v>36000</v>
      </c>
      <c r="FG299">
        <f t="shared" si="678"/>
        <v>456060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622"/>
        <v>0</v>
      </c>
      <c r="FP299">
        <f t="shared" si="679"/>
        <v>456060</v>
      </c>
      <c r="FQ299">
        <f t="shared" si="680"/>
        <v>10303</v>
      </c>
      <c r="FR299">
        <f t="shared" si="681"/>
        <v>0</v>
      </c>
      <c r="FS299">
        <f t="shared" si="682"/>
        <v>10303</v>
      </c>
      <c r="FT299">
        <f t="shared" si="683"/>
        <v>0</v>
      </c>
      <c r="FU299">
        <f t="shared" si="684"/>
        <v>0</v>
      </c>
      <c r="FV299">
        <f t="shared" si="685"/>
        <v>0</v>
      </c>
      <c r="FW299">
        <v>0</v>
      </c>
      <c r="FX299">
        <f t="shared" si="686"/>
        <v>0</v>
      </c>
      <c r="FY299" t="b">
        <f t="shared" si="687"/>
        <v>1</v>
      </c>
      <c r="FZ299">
        <f t="shared" ca="1" si="688"/>
        <v>621</v>
      </c>
      <c r="GA299">
        <f t="shared" ca="1" si="689"/>
        <v>545081</v>
      </c>
      <c r="GB299">
        <f t="shared" si="690"/>
        <v>75000</v>
      </c>
      <c r="GC299">
        <f t="shared" ca="1" si="691"/>
        <v>470081</v>
      </c>
      <c r="GD299">
        <f t="shared" ca="1" si="692"/>
        <v>0</v>
      </c>
      <c r="GE299">
        <f t="shared" ca="1" si="693"/>
        <v>0</v>
      </c>
      <c r="GF299">
        <f t="shared" ca="1" si="694"/>
        <v>0</v>
      </c>
      <c r="GG299">
        <f t="shared" ca="1" si="695"/>
        <v>0</v>
      </c>
      <c r="GH299">
        <f t="shared" ca="1" si="696"/>
        <v>0</v>
      </c>
      <c r="GI299">
        <f t="shared" ca="1" si="697"/>
        <v>0</v>
      </c>
      <c r="GJ299">
        <f t="shared" ca="1" si="623"/>
        <v>0</v>
      </c>
      <c r="GK299">
        <f t="shared" ca="1" si="698"/>
        <v>0</v>
      </c>
      <c r="GL299">
        <f t="shared" ca="1" si="699"/>
        <v>0</v>
      </c>
      <c r="GM299">
        <f t="shared" ca="1" si="700"/>
        <v>0</v>
      </c>
      <c r="GN299">
        <f t="shared" ca="1" si="701"/>
        <v>70081</v>
      </c>
      <c r="GO299">
        <f t="shared" ca="1" si="702"/>
        <v>3504.05</v>
      </c>
      <c r="GP299">
        <f t="shared" ca="1" si="703"/>
        <v>3504</v>
      </c>
      <c r="GQ299">
        <f t="shared" ca="1" si="704"/>
        <v>0</v>
      </c>
      <c r="GR299">
        <f t="shared" ca="1" si="705"/>
        <v>0</v>
      </c>
      <c r="GS299">
        <f t="shared" ca="1" si="706"/>
        <v>3504</v>
      </c>
      <c r="GT299">
        <f t="shared" ca="1" si="707"/>
        <v>0</v>
      </c>
      <c r="GU299" t="b">
        <f t="shared" ca="1" si="708"/>
        <v>0</v>
      </c>
      <c r="GV299">
        <f t="shared" ca="1" si="709"/>
        <v>0</v>
      </c>
      <c r="GW299">
        <f t="shared" ca="1" si="710"/>
        <v>3504</v>
      </c>
      <c r="GX299">
        <f t="shared" ca="1" si="711"/>
        <v>0</v>
      </c>
      <c r="GY299">
        <f t="shared" ca="1" si="712"/>
        <v>0</v>
      </c>
      <c r="GZ299">
        <f t="shared" ca="1" si="713"/>
        <v>0</v>
      </c>
    </row>
    <row r="300" spans="1:208" x14ac:dyDescent="0.3">
      <c r="A300">
        <f>_xlfn.AGGREGATE(3,5,$B$2:B300)</f>
        <v>299</v>
      </c>
      <c r="B300" t="s">
        <v>696</v>
      </c>
      <c r="C300" t="s">
        <v>697</v>
      </c>
      <c r="D300" t="s">
        <v>827</v>
      </c>
      <c r="E300" t="s">
        <v>830</v>
      </c>
      <c r="F300" t="s">
        <v>956</v>
      </c>
      <c r="G300" t="s">
        <v>896</v>
      </c>
      <c r="H300">
        <f t="shared" si="716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630"/>
        <v>4690</v>
      </c>
      <c r="L300">
        <f t="shared" si="631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08"/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714"/>
        <v>200</v>
      </c>
      <c r="S300">
        <f t="shared" si="624"/>
        <v>37510</v>
      </c>
      <c r="T300">
        <f>_xlfn.XLOOKUP(B300,'[2]april-2025'!$A:$A,'[2]april-2025'!$C:$C,0,0)</f>
        <v>33500</v>
      </c>
      <c r="U300">
        <f t="shared" si="632"/>
        <v>6030</v>
      </c>
      <c r="V300">
        <f t="shared" si="633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625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634"/>
        <v>200</v>
      </c>
      <c r="AC300">
        <f t="shared" si="635"/>
        <v>38850</v>
      </c>
      <c r="AD300">
        <f>_xlfn.XLOOKUP(B300,'[3]may-2025'!$A:$A,'[3]may-2025'!$C:$C,0,0)</f>
        <v>33500</v>
      </c>
      <c r="AE300">
        <f t="shared" si="636"/>
        <v>6030</v>
      </c>
      <c r="AF300">
        <f t="shared" si="637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626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638"/>
        <v>200</v>
      </c>
      <c r="AM300">
        <f t="shared" si="639"/>
        <v>38850</v>
      </c>
      <c r="AN300">
        <f>_xlfn.XLOOKUP(B300,'[4]june-2025'!$A:$A,'[4]june-2025'!$C:$C,0,0)</f>
        <v>33500</v>
      </c>
      <c r="AO300">
        <f t="shared" si="640"/>
        <v>6030</v>
      </c>
      <c r="AP300">
        <f t="shared" si="64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627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642"/>
        <v>200</v>
      </c>
      <c r="AW300">
        <f t="shared" si="643"/>
        <v>38850</v>
      </c>
      <c r="AX300">
        <f>_xlfn.XLOOKUP(B300,'[5]july-2025'!$A:$A,'[5]july-2025'!$C:$C,0,0)</f>
        <v>34500</v>
      </c>
      <c r="AY300">
        <f t="shared" si="644"/>
        <v>6210</v>
      </c>
      <c r="AZ300">
        <v>0</v>
      </c>
      <c r="BA300">
        <f t="shared" si="645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609"/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646"/>
        <v>200</v>
      </c>
      <c r="BH300">
        <f t="shared" si="647"/>
        <v>40150</v>
      </c>
      <c r="BI300">
        <f>_xlfn.XLOOKUP(B300,'[6]august-2025'!$A:$A,'[6]august-2025'!$C:$C,0,0)</f>
        <v>34500</v>
      </c>
      <c r="BJ300">
        <f t="shared" si="648"/>
        <v>6210</v>
      </c>
      <c r="BK300">
        <f t="shared" si="649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650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 t="shared" si="610"/>
        <v>200</v>
      </c>
      <c r="BR300">
        <f t="shared" si="611"/>
        <v>40150</v>
      </c>
      <c r="BS300">
        <f>_xlfn.XLOOKUP(B300,'[7]september-2025'!$A:$A,'[7]september-2025'!$C:$C,0,0)</f>
        <v>34500</v>
      </c>
      <c r="BT300">
        <f t="shared" si="651"/>
        <v>6210</v>
      </c>
      <c r="BU300">
        <f t="shared" si="652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612"/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653"/>
        <v>200</v>
      </c>
      <c r="CB300">
        <f t="shared" si="654"/>
        <v>40150</v>
      </c>
      <c r="CC300">
        <f>_xlfn.XLOOKUP(B300,'[8]october-2025'!$A:$A,'[8]october-2025'!$C:$C,0,0)</f>
        <v>34500</v>
      </c>
      <c r="CD300">
        <f t="shared" si="655"/>
        <v>6210</v>
      </c>
      <c r="CE300">
        <f t="shared" si="656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613"/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657"/>
        <v>200</v>
      </c>
      <c r="CL300">
        <f t="shared" si="658"/>
        <v>40150</v>
      </c>
      <c r="CM300">
        <f>_xlfn.XLOOKUP(B300,'[9]november-2025'!$A:$A,'[9]november-2025'!$C:$C,0,0)</f>
        <v>34500</v>
      </c>
      <c r="CN300">
        <f t="shared" si="659"/>
        <v>6210</v>
      </c>
      <c r="CO300">
        <f t="shared" si="660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614"/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661"/>
        <v>200</v>
      </c>
      <c r="CV300">
        <f t="shared" si="662"/>
        <v>40150</v>
      </c>
      <c r="CW300">
        <f>_xlfn.XLOOKUP(B300,'[10]december-2025'!$A:$A,'[10]december-2025'!$C:$C,0,0)</f>
        <v>34500</v>
      </c>
      <c r="CX300">
        <f t="shared" si="663"/>
        <v>6210</v>
      </c>
      <c r="CY300">
        <f t="shared" si="664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615"/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665"/>
        <v>200</v>
      </c>
      <c r="DF300">
        <f t="shared" si="666"/>
        <v>40150</v>
      </c>
      <c r="DG300">
        <f>_xlfn.XLOOKUP(B300,'[11]january-2026'!$A:$A,'[11]january-2026'!$C:$C,0,0)</f>
        <v>34500</v>
      </c>
      <c r="DH300">
        <f t="shared" si="667"/>
        <v>6210</v>
      </c>
      <c r="DI300">
        <f t="shared" si="668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16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69"/>
        <v>200</v>
      </c>
      <c r="DP300">
        <f t="shared" si="670"/>
        <v>40150</v>
      </c>
      <c r="DQ300">
        <f>_xlfn.XLOOKUP(B300,'[12]february-2026'!$A:$A,'[12]february-2026'!$C:$C,0,0)</f>
        <v>34500</v>
      </c>
      <c r="DR300">
        <f t="shared" si="671"/>
        <v>6210</v>
      </c>
      <c r="DS300">
        <f t="shared" si="672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617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673"/>
        <v>200</v>
      </c>
      <c r="DZ300">
        <f t="shared" si="674"/>
        <v>40150</v>
      </c>
      <c r="EA300">
        <f>_xlfn.XLOOKUP(B300,'[1]march-2025'!$A:$A,'[1]march-2025'!$J:$J,0,0)</f>
        <v>0</v>
      </c>
      <c r="EB300">
        <f>_xlfn.XLOOKUP(B300,'[2]april-2025'!$A:$A,'[2]april-2025'!$J:$J,0,0)</f>
        <v>0</v>
      </c>
      <c r="EC300">
        <f>_xlfn.XLOOKUP(B300,'[3]may-2025'!$A:$A,'[3]may-2025'!$J:$J,0,0)</f>
        <v>0</v>
      </c>
      <c r="ED300">
        <f>_xlfn.XLOOKUP(B300,'[4]june-2025'!$A:$A,'[4]june-2025'!$J:$J,0,0)</f>
        <v>0</v>
      </c>
      <c r="EE300">
        <f>_xlfn.XLOOKUP(B300,'[5]july-2025'!$A:$A,'[5]july-2025'!$J:$J,0,0)</f>
        <v>0</v>
      </c>
      <c r="EF300">
        <f>_xlfn.XLOOKUP(B300,'[6]august-2025'!$A:$A,'[6]august-2025'!$J:$J,0,0)</f>
        <v>0</v>
      </c>
      <c r="EG300">
        <f>_xlfn.XLOOKUP(B300,'[7]september-2025'!$A:$A,'[7]september-2025'!$J:$J,0,0)</f>
        <v>0</v>
      </c>
      <c r="EH300">
        <f>_xlfn.XLOOKUP(B300,'[8]october-2025'!$A:$A,'[8]october-2025'!$J:$J,0,0)</f>
        <v>0</v>
      </c>
      <c r="EI300">
        <f>_xlfn.XLOOKUP(C300,'[9]november-2025'!$A:$A,'[9]november-2025'!$J:$J,0,0)</f>
        <v>0</v>
      </c>
      <c r="EJ300">
        <f>_xlfn.XLOOKUP(B300,'[10]december-2025'!$A:$A,'[10]december-2025'!$J:$J,0,0)</f>
        <v>0</v>
      </c>
      <c r="EK300">
        <f>_xlfn.XLOOKUP(B300,'[11]january-2026'!$A:$A,'[11]january-2026'!$J:$J,0,0)</f>
        <v>0</v>
      </c>
      <c r="EL300">
        <f>_xlfn.XLOOKUP(B300,'[12]february-2026'!$A:$A,'[12]february-2026'!$J:$J,0,0)</f>
        <v>0</v>
      </c>
      <c r="EM300">
        <f t="shared" si="628"/>
        <v>0</v>
      </c>
      <c r="EN300">
        <f t="shared" si="618"/>
        <v>544460</v>
      </c>
      <c r="EO300">
        <f t="shared" si="619"/>
        <v>2400</v>
      </c>
      <c r="EP300">
        <f t="shared" si="675"/>
        <v>50000</v>
      </c>
      <c r="EQ300">
        <v>0</v>
      </c>
      <c r="ER300">
        <f t="shared" si="629"/>
        <v>492060</v>
      </c>
      <c r="ES300">
        <f t="shared" si="620"/>
        <v>60000</v>
      </c>
      <c r="ET300">
        <f t="shared" si="621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676"/>
        <v>60000</v>
      </c>
      <c r="FF300">
        <f t="shared" si="677"/>
        <v>60000</v>
      </c>
      <c r="FG300">
        <f t="shared" si="678"/>
        <v>432060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622"/>
        <v>0</v>
      </c>
      <c r="FP300">
        <f t="shared" si="679"/>
        <v>432060</v>
      </c>
      <c r="FQ300">
        <f t="shared" si="680"/>
        <v>9103</v>
      </c>
      <c r="FR300">
        <f t="shared" si="681"/>
        <v>0</v>
      </c>
      <c r="FS300">
        <f t="shared" si="682"/>
        <v>9103</v>
      </c>
      <c r="FT300">
        <f t="shared" si="683"/>
        <v>0</v>
      </c>
      <c r="FU300">
        <f t="shared" si="684"/>
        <v>0</v>
      </c>
      <c r="FV300">
        <f t="shared" si="685"/>
        <v>0</v>
      </c>
      <c r="FW300">
        <v>0</v>
      </c>
      <c r="FX300">
        <f t="shared" si="686"/>
        <v>0</v>
      </c>
      <c r="FY300" t="b">
        <f t="shared" si="687"/>
        <v>1</v>
      </c>
      <c r="FZ300">
        <f t="shared" ca="1" si="688"/>
        <v>983</v>
      </c>
      <c r="GA300">
        <f t="shared" ca="1" si="689"/>
        <v>545443</v>
      </c>
      <c r="GB300">
        <f t="shared" si="690"/>
        <v>75000</v>
      </c>
      <c r="GC300">
        <f t="shared" ca="1" si="691"/>
        <v>470443</v>
      </c>
      <c r="GD300">
        <f t="shared" ca="1" si="692"/>
        <v>0</v>
      </c>
      <c r="GE300">
        <f t="shared" ca="1" si="693"/>
        <v>0</v>
      </c>
      <c r="GF300">
        <f t="shared" ca="1" si="694"/>
        <v>0</v>
      </c>
      <c r="GG300">
        <f t="shared" ca="1" si="695"/>
        <v>0</v>
      </c>
      <c r="GH300">
        <f t="shared" ca="1" si="696"/>
        <v>0</v>
      </c>
      <c r="GI300">
        <f t="shared" ca="1" si="697"/>
        <v>0</v>
      </c>
      <c r="GJ300">
        <f t="shared" ca="1" si="623"/>
        <v>0</v>
      </c>
      <c r="GK300">
        <f t="shared" ca="1" si="698"/>
        <v>0</v>
      </c>
      <c r="GL300">
        <f t="shared" ca="1" si="699"/>
        <v>0</v>
      </c>
      <c r="GM300">
        <f t="shared" ca="1" si="700"/>
        <v>0</v>
      </c>
      <c r="GN300">
        <f t="shared" ca="1" si="701"/>
        <v>70443</v>
      </c>
      <c r="GO300">
        <f t="shared" ca="1" si="702"/>
        <v>3522.15</v>
      </c>
      <c r="GP300">
        <f t="shared" ca="1" si="703"/>
        <v>3522</v>
      </c>
      <c r="GQ300">
        <f t="shared" ca="1" si="704"/>
        <v>0</v>
      </c>
      <c r="GR300">
        <f t="shared" ca="1" si="705"/>
        <v>0</v>
      </c>
      <c r="GS300">
        <f t="shared" ca="1" si="706"/>
        <v>3522</v>
      </c>
      <c r="GT300">
        <f t="shared" ca="1" si="707"/>
        <v>0</v>
      </c>
      <c r="GU300" t="b">
        <f t="shared" ca="1" si="708"/>
        <v>0</v>
      </c>
      <c r="GV300">
        <f t="shared" ca="1" si="709"/>
        <v>0</v>
      </c>
      <c r="GW300">
        <f t="shared" ca="1" si="710"/>
        <v>3522</v>
      </c>
      <c r="GX300">
        <f t="shared" ca="1" si="711"/>
        <v>0</v>
      </c>
      <c r="GY300">
        <f t="shared" ca="1" si="712"/>
        <v>0</v>
      </c>
      <c r="GZ300">
        <f t="shared" ca="1" si="713"/>
        <v>0</v>
      </c>
    </row>
    <row r="301" spans="1:208" x14ac:dyDescent="0.3">
      <c r="A301">
        <f>_xlfn.AGGREGATE(3,5,$B$2:B301)</f>
        <v>300</v>
      </c>
      <c r="B301" t="s">
        <v>698</v>
      </c>
      <c r="C301" t="s">
        <v>699</v>
      </c>
      <c r="D301" t="s">
        <v>828</v>
      </c>
      <c r="E301" t="s">
        <v>830</v>
      </c>
      <c r="F301" t="s">
        <v>956</v>
      </c>
      <c r="G301" t="s">
        <v>877</v>
      </c>
      <c r="H301">
        <f t="shared" si="716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630"/>
        <v>4830.0000000000009</v>
      </c>
      <c r="L301">
        <f t="shared" si="631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 t="shared" si="608"/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714"/>
        <v>200</v>
      </c>
      <c r="S301">
        <f t="shared" si="624"/>
        <v>41170</v>
      </c>
      <c r="T301">
        <f>_xlfn.XLOOKUP(B301,'[2]april-2025'!$A:$A,'[2]april-2025'!$C:$C,0,0)</f>
        <v>34500</v>
      </c>
      <c r="U301">
        <f t="shared" si="632"/>
        <v>6210</v>
      </c>
      <c r="V301">
        <f t="shared" si="633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625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634"/>
        <v>200</v>
      </c>
      <c r="AC301">
        <f t="shared" si="635"/>
        <v>42550</v>
      </c>
      <c r="AD301">
        <f>_xlfn.XLOOKUP(B301,'[3]may-2025'!$A:$A,'[3]may-2025'!$C:$C,0,0)</f>
        <v>34500</v>
      </c>
      <c r="AE301">
        <f t="shared" si="636"/>
        <v>6210</v>
      </c>
      <c r="AF301">
        <f t="shared" si="637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626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638"/>
        <v>200</v>
      </c>
      <c r="AM301">
        <f t="shared" si="639"/>
        <v>42550</v>
      </c>
      <c r="AN301">
        <f>_xlfn.XLOOKUP(B301,'[4]june-2025'!$A:$A,'[4]june-2025'!$C:$C,0,0)</f>
        <v>34500</v>
      </c>
      <c r="AO301">
        <f t="shared" si="640"/>
        <v>6210</v>
      </c>
      <c r="AP301">
        <f t="shared" si="64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627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642"/>
        <v>200</v>
      </c>
      <c r="AW301">
        <f t="shared" si="643"/>
        <v>42550</v>
      </c>
      <c r="AX301">
        <f>_xlfn.XLOOKUP(B301,'[5]july-2025'!$A:$A,'[5]july-2025'!$C:$C,0,0)</f>
        <v>35500</v>
      </c>
      <c r="AY301">
        <f t="shared" si="644"/>
        <v>6390</v>
      </c>
      <c r="AZ301">
        <v>0</v>
      </c>
      <c r="BA301">
        <f t="shared" si="645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 t="shared" si="609"/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646"/>
        <v>200</v>
      </c>
      <c r="BH301">
        <f t="shared" si="647"/>
        <v>43850</v>
      </c>
      <c r="BI301">
        <f>_xlfn.XLOOKUP(B301,'[6]august-2025'!$A:$A,'[6]august-2025'!$C:$C,0,0)</f>
        <v>35500</v>
      </c>
      <c r="BJ301">
        <f t="shared" si="648"/>
        <v>6390</v>
      </c>
      <c r="BK301">
        <f t="shared" si="649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650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610"/>
        <v>200</v>
      </c>
      <c r="BR301">
        <f t="shared" si="611"/>
        <v>43850</v>
      </c>
      <c r="BS301">
        <f>_xlfn.XLOOKUP(B301,'[7]september-2025'!$A:$A,'[7]september-2025'!$C:$C,0,0)</f>
        <v>35500</v>
      </c>
      <c r="BT301">
        <f t="shared" si="651"/>
        <v>6390</v>
      </c>
      <c r="BU301">
        <f t="shared" si="652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 t="shared" si="612"/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653"/>
        <v>200</v>
      </c>
      <c r="CB301">
        <f t="shared" si="654"/>
        <v>43850</v>
      </c>
      <c r="CC301">
        <f>_xlfn.XLOOKUP(B301,'[8]october-2025'!$A:$A,'[8]october-2025'!$C:$C,0,0)</f>
        <v>35500</v>
      </c>
      <c r="CD301">
        <f t="shared" si="655"/>
        <v>6390</v>
      </c>
      <c r="CE301">
        <f t="shared" si="656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 t="shared" si="613"/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657"/>
        <v>200</v>
      </c>
      <c r="CL301">
        <f t="shared" si="658"/>
        <v>43850</v>
      </c>
      <c r="CM301">
        <f>_xlfn.XLOOKUP(B301,'[9]november-2025'!$A:$A,'[9]november-2025'!$C:$C,0,0)</f>
        <v>35500</v>
      </c>
      <c r="CN301">
        <f t="shared" si="659"/>
        <v>6390</v>
      </c>
      <c r="CO301">
        <f t="shared" si="660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 t="shared" si="614"/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661"/>
        <v>200</v>
      </c>
      <c r="CV301">
        <f t="shared" si="662"/>
        <v>43850</v>
      </c>
      <c r="CW301">
        <f>_xlfn.XLOOKUP(B301,'[10]december-2025'!$A:$A,'[10]december-2025'!$C:$C,0,0)</f>
        <v>35500</v>
      </c>
      <c r="CX301">
        <f t="shared" si="663"/>
        <v>6390</v>
      </c>
      <c r="CY301">
        <f t="shared" si="664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 t="shared" si="615"/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665"/>
        <v>200</v>
      </c>
      <c r="DF301">
        <f t="shared" si="666"/>
        <v>43850</v>
      </c>
      <c r="DG301">
        <f>_xlfn.XLOOKUP(B301,'[11]january-2026'!$A:$A,'[11]january-2026'!$C:$C,0,0)</f>
        <v>35500</v>
      </c>
      <c r="DH301">
        <f t="shared" si="667"/>
        <v>6390</v>
      </c>
      <c r="DI301">
        <f t="shared" si="668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16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69"/>
        <v>200</v>
      </c>
      <c r="DP301">
        <f t="shared" si="670"/>
        <v>43850</v>
      </c>
      <c r="DQ301">
        <f>_xlfn.XLOOKUP(B301,'[12]february-2026'!$A:$A,'[12]february-2026'!$C:$C,0,0)</f>
        <v>35500</v>
      </c>
      <c r="DR301">
        <f t="shared" si="671"/>
        <v>6390</v>
      </c>
      <c r="DS301">
        <f t="shared" si="672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617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673"/>
        <v>200</v>
      </c>
      <c r="DZ301">
        <f t="shared" si="674"/>
        <v>43850</v>
      </c>
      <c r="EA301">
        <f>_xlfn.XLOOKUP(B301,'[1]march-2025'!$A:$A,'[1]march-2025'!$J:$J,0,0)</f>
        <v>0</v>
      </c>
      <c r="EB301">
        <f>_xlfn.XLOOKUP(B301,'[2]april-2025'!$A:$A,'[2]april-2025'!$J:$J,0,0)</f>
        <v>0</v>
      </c>
      <c r="EC301">
        <f>_xlfn.XLOOKUP(B301,'[3]may-2025'!$A:$A,'[3]may-2025'!$J:$J,0,0)</f>
        <v>0</v>
      </c>
      <c r="ED301">
        <f>_xlfn.XLOOKUP(B301,'[4]june-2025'!$A:$A,'[4]june-2025'!$J:$J,0,0)</f>
        <v>0</v>
      </c>
      <c r="EE301">
        <f>_xlfn.XLOOKUP(B301,'[5]july-2025'!$A:$A,'[5]july-2025'!$J:$J,0,0)</f>
        <v>0</v>
      </c>
      <c r="EF301">
        <f>_xlfn.XLOOKUP(B301,'[6]august-2025'!$A:$A,'[6]august-2025'!$J:$J,0,0)</f>
        <v>0</v>
      </c>
      <c r="EG301">
        <f>_xlfn.XLOOKUP(B301,'[7]september-2025'!$A:$A,'[7]september-2025'!$J:$J,0,0)</f>
        <v>0</v>
      </c>
      <c r="EH301">
        <f>_xlfn.XLOOKUP(B301,'[8]october-2025'!$A:$A,'[8]october-2025'!$J:$J,0,0)</f>
        <v>0</v>
      </c>
      <c r="EI301">
        <f>_xlfn.XLOOKUP(C301,'[9]november-2025'!$A:$A,'[9]november-2025'!$J:$J,0,0)</f>
        <v>0</v>
      </c>
      <c r="EJ301">
        <f>_xlfn.XLOOKUP(B301,'[10]december-2025'!$A:$A,'[10]december-2025'!$J:$J,0,0)</f>
        <v>0</v>
      </c>
      <c r="EK301">
        <f>_xlfn.XLOOKUP(B301,'[11]january-2026'!$A:$A,'[11]january-2026'!$J:$J,0,0)</f>
        <v>0</v>
      </c>
      <c r="EL301">
        <f>_xlfn.XLOOKUP(B301,'[12]february-2026'!$A:$A,'[12]february-2026'!$J:$J,0,0)</f>
        <v>0</v>
      </c>
      <c r="EM301">
        <f t="shared" si="628"/>
        <v>0</v>
      </c>
      <c r="EN301">
        <f t="shared" si="618"/>
        <v>558820</v>
      </c>
      <c r="EO301">
        <f t="shared" si="619"/>
        <v>2400</v>
      </c>
      <c r="EP301">
        <f t="shared" si="675"/>
        <v>50000</v>
      </c>
      <c r="EQ301">
        <v>0</v>
      </c>
      <c r="ER301">
        <f t="shared" si="629"/>
        <v>506420</v>
      </c>
      <c r="ES301">
        <f t="shared" si="620"/>
        <v>30000</v>
      </c>
      <c r="ET301">
        <f t="shared" si="621"/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676"/>
        <v>30000</v>
      </c>
      <c r="FF301">
        <f t="shared" si="677"/>
        <v>30000</v>
      </c>
      <c r="FG301">
        <f t="shared" si="678"/>
        <v>476420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622"/>
        <v>0</v>
      </c>
      <c r="FP301">
        <f t="shared" si="679"/>
        <v>476420</v>
      </c>
      <c r="FQ301">
        <f t="shared" si="680"/>
        <v>11321</v>
      </c>
      <c r="FR301">
        <f t="shared" si="681"/>
        <v>0</v>
      </c>
      <c r="FS301">
        <f t="shared" si="682"/>
        <v>11321</v>
      </c>
      <c r="FT301">
        <f t="shared" si="683"/>
        <v>0</v>
      </c>
      <c r="FU301">
        <f t="shared" si="684"/>
        <v>0</v>
      </c>
      <c r="FV301">
        <f t="shared" si="685"/>
        <v>0</v>
      </c>
      <c r="FW301">
        <v>0</v>
      </c>
      <c r="FX301">
        <f t="shared" si="686"/>
        <v>0</v>
      </c>
      <c r="FY301" t="b">
        <f t="shared" si="687"/>
        <v>1</v>
      </c>
      <c r="FZ301">
        <f t="shared" ca="1" si="688"/>
        <v>606</v>
      </c>
      <c r="GA301">
        <f t="shared" ca="1" si="689"/>
        <v>559426</v>
      </c>
      <c r="GB301">
        <f t="shared" si="690"/>
        <v>75000</v>
      </c>
      <c r="GC301">
        <f t="shared" ca="1" si="691"/>
        <v>484426</v>
      </c>
      <c r="GD301">
        <f t="shared" ca="1" si="692"/>
        <v>0</v>
      </c>
      <c r="GE301">
        <f t="shared" ca="1" si="693"/>
        <v>0</v>
      </c>
      <c r="GF301">
        <f t="shared" ca="1" si="694"/>
        <v>0</v>
      </c>
      <c r="GG301">
        <f t="shared" ca="1" si="695"/>
        <v>0</v>
      </c>
      <c r="GH301">
        <f t="shared" ca="1" si="696"/>
        <v>0</v>
      </c>
      <c r="GI301">
        <f t="shared" ca="1" si="697"/>
        <v>0</v>
      </c>
      <c r="GJ301">
        <f t="shared" ca="1" si="623"/>
        <v>0</v>
      </c>
      <c r="GK301">
        <f t="shared" ca="1" si="698"/>
        <v>0</v>
      </c>
      <c r="GL301">
        <f t="shared" ca="1" si="699"/>
        <v>0</v>
      </c>
      <c r="GM301">
        <f t="shared" ca="1" si="700"/>
        <v>0</v>
      </c>
      <c r="GN301">
        <f t="shared" ca="1" si="701"/>
        <v>84426</v>
      </c>
      <c r="GO301">
        <f t="shared" ca="1" si="702"/>
        <v>4221.3</v>
      </c>
      <c r="GP301">
        <f t="shared" ca="1" si="703"/>
        <v>4221</v>
      </c>
      <c r="GQ301">
        <f t="shared" ca="1" si="704"/>
        <v>0</v>
      </c>
      <c r="GR301">
        <f t="shared" ca="1" si="705"/>
        <v>0</v>
      </c>
      <c r="GS301">
        <f t="shared" ca="1" si="706"/>
        <v>4221</v>
      </c>
      <c r="GT301">
        <f t="shared" ca="1" si="707"/>
        <v>0</v>
      </c>
      <c r="GU301" t="b">
        <f t="shared" ca="1" si="708"/>
        <v>0</v>
      </c>
      <c r="GV301">
        <f t="shared" ca="1" si="709"/>
        <v>0</v>
      </c>
      <c r="GW301">
        <f t="shared" ca="1" si="710"/>
        <v>4221</v>
      </c>
      <c r="GX301">
        <f t="shared" ca="1" si="711"/>
        <v>0</v>
      </c>
      <c r="GY301">
        <f t="shared" ca="1" si="712"/>
        <v>0</v>
      </c>
      <c r="GZ301">
        <f t="shared" ca="1" si="713"/>
        <v>0</v>
      </c>
    </row>
    <row r="302" spans="1:208" x14ac:dyDescent="0.3">
      <c r="A302">
        <f>_xlfn.AGGREGATE(3,5,$B$2:B302)</f>
        <v>301</v>
      </c>
      <c r="B302" t="s">
        <v>700</v>
      </c>
      <c r="C302" t="s">
        <v>701</v>
      </c>
      <c r="D302" t="s">
        <v>828</v>
      </c>
      <c r="E302" t="s">
        <v>830</v>
      </c>
      <c r="F302" t="s">
        <v>956</v>
      </c>
      <c r="G302" t="s">
        <v>877</v>
      </c>
      <c r="H302">
        <f t="shared" si="716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630"/>
        <v>4830.0000000000009</v>
      </c>
      <c r="L302">
        <f t="shared" si="631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608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714"/>
        <v>200</v>
      </c>
      <c r="S302">
        <f t="shared" si="624"/>
        <v>41270</v>
      </c>
      <c r="T302">
        <f>_xlfn.XLOOKUP(B302,'[2]april-2025'!$A:$A,'[2]april-2025'!$C:$C,0,0)</f>
        <v>34500</v>
      </c>
      <c r="U302">
        <f t="shared" si="632"/>
        <v>6210</v>
      </c>
      <c r="V302">
        <f t="shared" si="633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625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634"/>
        <v>200</v>
      </c>
      <c r="AC302">
        <f t="shared" si="635"/>
        <v>42650</v>
      </c>
      <c r="AD302">
        <f>_xlfn.XLOOKUP(B302,'[3]may-2025'!$A:$A,'[3]may-2025'!$C:$C,0,0)</f>
        <v>34500</v>
      </c>
      <c r="AE302">
        <f t="shared" si="636"/>
        <v>6210</v>
      </c>
      <c r="AF302">
        <f t="shared" si="637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626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638"/>
        <v>200</v>
      </c>
      <c r="AM302">
        <f t="shared" si="639"/>
        <v>42650</v>
      </c>
      <c r="AN302">
        <f>_xlfn.XLOOKUP(B302,'[4]june-2025'!$A:$A,'[4]june-2025'!$C:$C,0,0)</f>
        <v>34500</v>
      </c>
      <c r="AO302">
        <f t="shared" si="640"/>
        <v>6210</v>
      </c>
      <c r="AP302">
        <f t="shared" si="64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627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642"/>
        <v>200</v>
      </c>
      <c r="AW302">
        <f t="shared" si="643"/>
        <v>42650</v>
      </c>
      <c r="AX302">
        <f>_xlfn.XLOOKUP(B302,'[5]july-2025'!$A:$A,'[5]july-2025'!$C:$C,0,0)</f>
        <v>35500</v>
      </c>
      <c r="AY302">
        <f t="shared" si="644"/>
        <v>6390</v>
      </c>
      <c r="AZ302">
        <v>0</v>
      </c>
      <c r="BA302">
        <f t="shared" si="645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609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646"/>
        <v>200</v>
      </c>
      <c r="BH302">
        <f t="shared" si="647"/>
        <v>43950</v>
      </c>
      <c r="BI302">
        <f>_xlfn.XLOOKUP(B302,'[6]august-2025'!$A:$A,'[6]august-2025'!$C:$C,0,0)</f>
        <v>35500</v>
      </c>
      <c r="BJ302">
        <f t="shared" si="648"/>
        <v>6390</v>
      </c>
      <c r="BK302">
        <f t="shared" si="649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650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610"/>
        <v>200</v>
      </c>
      <c r="BR302">
        <f t="shared" si="611"/>
        <v>43950</v>
      </c>
      <c r="BS302">
        <f>_xlfn.XLOOKUP(B302,'[7]september-2025'!$A:$A,'[7]september-2025'!$C:$C,0,0)</f>
        <v>35500</v>
      </c>
      <c r="BT302">
        <f t="shared" si="651"/>
        <v>6390</v>
      </c>
      <c r="BU302">
        <f t="shared" si="652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612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653"/>
        <v>200</v>
      </c>
      <c r="CB302">
        <f t="shared" si="654"/>
        <v>43950</v>
      </c>
      <c r="CC302">
        <f>_xlfn.XLOOKUP(B302,'[8]october-2025'!$A:$A,'[8]october-2025'!$C:$C,0,0)</f>
        <v>35500</v>
      </c>
      <c r="CD302">
        <f t="shared" si="655"/>
        <v>6390</v>
      </c>
      <c r="CE302">
        <f t="shared" si="656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613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657"/>
        <v>200</v>
      </c>
      <c r="CL302">
        <f t="shared" si="658"/>
        <v>43950</v>
      </c>
      <c r="CM302">
        <f>_xlfn.XLOOKUP(B302,'[9]november-2025'!$A:$A,'[9]november-2025'!$C:$C,0,0)</f>
        <v>35500</v>
      </c>
      <c r="CN302">
        <f t="shared" si="659"/>
        <v>6390</v>
      </c>
      <c r="CO302">
        <f t="shared" si="660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614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661"/>
        <v>200</v>
      </c>
      <c r="CV302">
        <f t="shared" si="662"/>
        <v>43950</v>
      </c>
      <c r="CW302">
        <f>_xlfn.XLOOKUP(B302,'[10]december-2025'!$A:$A,'[10]december-2025'!$C:$C,0,0)</f>
        <v>35500</v>
      </c>
      <c r="CX302">
        <f t="shared" si="663"/>
        <v>6390</v>
      </c>
      <c r="CY302">
        <f t="shared" si="664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615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665"/>
        <v>200</v>
      </c>
      <c r="DF302">
        <f t="shared" si="666"/>
        <v>43950</v>
      </c>
      <c r="DG302">
        <f>_xlfn.XLOOKUP(B302,'[11]january-2026'!$A:$A,'[11]january-2026'!$C:$C,0,0)</f>
        <v>35500</v>
      </c>
      <c r="DH302">
        <f t="shared" si="667"/>
        <v>6390</v>
      </c>
      <c r="DI302">
        <f t="shared" si="668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16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69"/>
        <v>200</v>
      </c>
      <c r="DP302">
        <f t="shared" si="670"/>
        <v>43950</v>
      </c>
      <c r="DQ302">
        <f>_xlfn.XLOOKUP(B302,'[12]february-2026'!$A:$A,'[12]february-2026'!$C:$C,0,0)</f>
        <v>35500</v>
      </c>
      <c r="DR302">
        <f t="shared" si="671"/>
        <v>6390</v>
      </c>
      <c r="DS302">
        <f t="shared" si="672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617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673"/>
        <v>200</v>
      </c>
      <c r="DZ302">
        <f t="shared" si="674"/>
        <v>43950</v>
      </c>
      <c r="EA302">
        <f>_xlfn.XLOOKUP(B302,'[1]march-2025'!$A:$A,'[1]march-2025'!$J:$J,0,0)</f>
        <v>0</v>
      </c>
      <c r="EB302">
        <f>_xlfn.XLOOKUP(B302,'[2]april-2025'!$A:$A,'[2]april-2025'!$J:$J,0,0)</f>
        <v>0</v>
      </c>
      <c r="EC302">
        <f>_xlfn.XLOOKUP(B302,'[3]may-2025'!$A:$A,'[3]may-2025'!$J:$J,0,0)</f>
        <v>0</v>
      </c>
      <c r="ED302">
        <f>_xlfn.XLOOKUP(B302,'[4]june-2025'!$A:$A,'[4]june-2025'!$J:$J,0,0)</f>
        <v>0</v>
      </c>
      <c r="EE302">
        <f>_xlfn.XLOOKUP(B302,'[5]july-2025'!$A:$A,'[5]july-2025'!$J:$J,0,0)</f>
        <v>0</v>
      </c>
      <c r="EF302">
        <f>_xlfn.XLOOKUP(B302,'[6]august-2025'!$A:$A,'[6]august-2025'!$J:$J,0,0)</f>
        <v>0</v>
      </c>
      <c r="EG302">
        <f>_xlfn.XLOOKUP(B302,'[7]september-2025'!$A:$A,'[7]september-2025'!$J:$J,0,0)</f>
        <v>0</v>
      </c>
      <c r="EH302">
        <f>_xlfn.XLOOKUP(B302,'[8]october-2025'!$A:$A,'[8]october-2025'!$J:$J,0,0)</f>
        <v>0</v>
      </c>
      <c r="EI302">
        <f>_xlfn.XLOOKUP(C302,'[9]november-2025'!$A:$A,'[9]november-2025'!$J:$J,0,0)</f>
        <v>0</v>
      </c>
      <c r="EJ302">
        <f>_xlfn.XLOOKUP(B302,'[10]december-2025'!$A:$A,'[10]december-2025'!$J:$J,0,0)</f>
        <v>0</v>
      </c>
      <c r="EK302">
        <f>_xlfn.XLOOKUP(B302,'[11]january-2026'!$A:$A,'[11]january-2026'!$J:$J,0,0)</f>
        <v>0</v>
      </c>
      <c r="EL302">
        <f>_xlfn.XLOOKUP(B302,'[12]february-2026'!$A:$A,'[12]february-2026'!$J:$J,0,0)</f>
        <v>0</v>
      </c>
      <c r="EM302">
        <f t="shared" si="628"/>
        <v>0</v>
      </c>
      <c r="EN302">
        <f t="shared" si="618"/>
        <v>560020</v>
      </c>
      <c r="EO302">
        <f t="shared" si="619"/>
        <v>2400</v>
      </c>
      <c r="EP302">
        <f t="shared" si="675"/>
        <v>50000</v>
      </c>
      <c r="EQ302">
        <v>0</v>
      </c>
      <c r="ER302">
        <f t="shared" si="629"/>
        <v>507620</v>
      </c>
      <c r="ES302">
        <f t="shared" si="620"/>
        <v>30000</v>
      </c>
      <c r="ET302">
        <f t="shared" si="621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676"/>
        <v>30000</v>
      </c>
      <c r="FF302">
        <f t="shared" si="677"/>
        <v>30000</v>
      </c>
      <c r="FG302">
        <f t="shared" si="678"/>
        <v>477620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622"/>
        <v>0</v>
      </c>
      <c r="FP302">
        <f t="shared" si="679"/>
        <v>477620</v>
      </c>
      <c r="FQ302">
        <f t="shared" si="680"/>
        <v>11381</v>
      </c>
      <c r="FR302">
        <f t="shared" si="681"/>
        <v>0</v>
      </c>
      <c r="FS302">
        <f t="shared" si="682"/>
        <v>11381</v>
      </c>
      <c r="FT302">
        <f t="shared" si="683"/>
        <v>0</v>
      </c>
      <c r="FU302">
        <f t="shared" si="684"/>
        <v>0</v>
      </c>
      <c r="FV302">
        <f t="shared" si="685"/>
        <v>0</v>
      </c>
      <c r="FW302">
        <v>0</v>
      </c>
      <c r="FX302">
        <f t="shared" si="686"/>
        <v>0</v>
      </c>
      <c r="FY302" t="b">
        <f t="shared" si="687"/>
        <v>1</v>
      </c>
      <c r="FZ302">
        <f t="shared" ca="1" si="688"/>
        <v>758</v>
      </c>
      <c r="GA302">
        <f t="shared" ca="1" si="689"/>
        <v>560778</v>
      </c>
      <c r="GB302">
        <f t="shared" si="690"/>
        <v>75000</v>
      </c>
      <c r="GC302">
        <f t="shared" ca="1" si="691"/>
        <v>485778</v>
      </c>
      <c r="GD302">
        <f t="shared" ca="1" si="692"/>
        <v>0</v>
      </c>
      <c r="GE302">
        <f t="shared" ca="1" si="693"/>
        <v>0</v>
      </c>
      <c r="GF302">
        <f t="shared" ca="1" si="694"/>
        <v>0</v>
      </c>
      <c r="GG302">
        <f t="shared" ca="1" si="695"/>
        <v>0</v>
      </c>
      <c r="GH302">
        <f t="shared" ca="1" si="696"/>
        <v>0</v>
      </c>
      <c r="GI302">
        <f t="shared" ca="1" si="697"/>
        <v>0</v>
      </c>
      <c r="GJ302">
        <f t="shared" ca="1" si="623"/>
        <v>0</v>
      </c>
      <c r="GK302">
        <f t="shared" ca="1" si="698"/>
        <v>0</v>
      </c>
      <c r="GL302">
        <f t="shared" ca="1" si="699"/>
        <v>0</v>
      </c>
      <c r="GM302">
        <f t="shared" ca="1" si="700"/>
        <v>0</v>
      </c>
      <c r="GN302">
        <f t="shared" ca="1" si="701"/>
        <v>85778</v>
      </c>
      <c r="GO302">
        <f t="shared" ca="1" si="702"/>
        <v>4288.9000000000005</v>
      </c>
      <c r="GP302">
        <f t="shared" ca="1" si="703"/>
        <v>4289</v>
      </c>
      <c r="GQ302">
        <f t="shared" ca="1" si="704"/>
        <v>0</v>
      </c>
      <c r="GR302">
        <f t="shared" ca="1" si="705"/>
        <v>0</v>
      </c>
      <c r="GS302">
        <f t="shared" ca="1" si="706"/>
        <v>4289</v>
      </c>
      <c r="GT302">
        <f t="shared" ca="1" si="707"/>
        <v>0</v>
      </c>
      <c r="GU302" t="b">
        <f t="shared" ca="1" si="708"/>
        <v>0</v>
      </c>
      <c r="GV302">
        <f t="shared" ca="1" si="709"/>
        <v>0</v>
      </c>
      <c r="GW302">
        <f t="shared" ca="1" si="710"/>
        <v>4289</v>
      </c>
      <c r="GX302">
        <f t="shared" ca="1" si="711"/>
        <v>0</v>
      </c>
      <c r="GY302">
        <f t="shared" ca="1" si="712"/>
        <v>0</v>
      </c>
      <c r="GZ302">
        <f t="shared" ca="1" si="713"/>
        <v>0</v>
      </c>
    </row>
    <row r="303" spans="1:208" x14ac:dyDescent="0.3">
      <c r="A303">
        <f>_xlfn.AGGREGATE(3,5,$B$2:B303)</f>
        <v>302</v>
      </c>
      <c r="B303" t="s">
        <v>702</v>
      </c>
      <c r="C303" t="s">
        <v>703</v>
      </c>
      <c r="D303" t="s">
        <v>828</v>
      </c>
      <c r="E303" t="s">
        <v>830</v>
      </c>
      <c r="F303" t="s">
        <v>956</v>
      </c>
      <c r="G303" t="s">
        <v>877</v>
      </c>
      <c r="H303">
        <f t="shared" si="716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630"/>
        <v>4830.0000000000009</v>
      </c>
      <c r="L303">
        <f t="shared" si="631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608"/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714"/>
        <v>200</v>
      </c>
      <c r="S303">
        <f t="shared" si="624"/>
        <v>41270</v>
      </c>
      <c r="T303">
        <f>_xlfn.XLOOKUP(B303,'[2]april-2025'!$A:$A,'[2]april-2025'!$C:$C,0,0)</f>
        <v>34500</v>
      </c>
      <c r="U303">
        <f t="shared" si="632"/>
        <v>6210</v>
      </c>
      <c r="V303">
        <f t="shared" si="633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625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634"/>
        <v>200</v>
      </c>
      <c r="AC303">
        <f t="shared" si="635"/>
        <v>42650</v>
      </c>
      <c r="AD303">
        <f>_xlfn.XLOOKUP(B303,'[3]may-2025'!$A:$A,'[3]may-2025'!$C:$C,0,0)</f>
        <v>34500</v>
      </c>
      <c r="AE303">
        <f t="shared" si="636"/>
        <v>6210</v>
      </c>
      <c r="AF303">
        <f t="shared" si="637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626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638"/>
        <v>200</v>
      </c>
      <c r="AM303">
        <f t="shared" si="639"/>
        <v>42650</v>
      </c>
      <c r="AN303">
        <f>_xlfn.XLOOKUP(B303,'[4]june-2025'!$A:$A,'[4]june-2025'!$C:$C,0,0)</f>
        <v>34500</v>
      </c>
      <c r="AO303">
        <f t="shared" si="640"/>
        <v>6210</v>
      </c>
      <c r="AP303">
        <f t="shared" si="64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627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642"/>
        <v>200</v>
      </c>
      <c r="AW303">
        <f t="shared" si="643"/>
        <v>42650</v>
      </c>
      <c r="AX303">
        <f>_xlfn.XLOOKUP(B303,'[5]july-2025'!$A:$A,'[5]july-2025'!$C:$C,0,0)</f>
        <v>35500</v>
      </c>
      <c r="AY303">
        <f t="shared" si="644"/>
        <v>6390</v>
      </c>
      <c r="AZ303">
        <v>0</v>
      </c>
      <c r="BA303">
        <f t="shared" si="645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609"/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646"/>
        <v>200</v>
      </c>
      <c r="BH303">
        <f t="shared" si="647"/>
        <v>43950</v>
      </c>
      <c r="BI303">
        <f>_xlfn.XLOOKUP(B303,'[6]august-2025'!$A:$A,'[6]august-2025'!$C:$C,0,0)</f>
        <v>35500</v>
      </c>
      <c r="BJ303">
        <f t="shared" si="648"/>
        <v>6390</v>
      </c>
      <c r="BK303">
        <f t="shared" si="649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650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 t="shared" si="610"/>
        <v>200</v>
      </c>
      <c r="BR303">
        <f t="shared" si="611"/>
        <v>43950</v>
      </c>
      <c r="BS303">
        <f>_xlfn.XLOOKUP(B303,'[7]september-2025'!$A:$A,'[7]september-2025'!$C:$C,0,0)</f>
        <v>35500</v>
      </c>
      <c r="BT303">
        <f t="shared" si="651"/>
        <v>6390</v>
      </c>
      <c r="BU303">
        <f t="shared" si="652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612"/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653"/>
        <v>200</v>
      </c>
      <c r="CB303">
        <f t="shared" si="654"/>
        <v>43950</v>
      </c>
      <c r="CC303">
        <f>_xlfn.XLOOKUP(B303,'[8]october-2025'!$A:$A,'[8]october-2025'!$C:$C,0,0)</f>
        <v>35500</v>
      </c>
      <c r="CD303">
        <f t="shared" si="655"/>
        <v>6390</v>
      </c>
      <c r="CE303">
        <f t="shared" si="656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613"/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657"/>
        <v>200</v>
      </c>
      <c r="CL303">
        <f t="shared" si="658"/>
        <v>43950</v>
      </c>
      <c r="CM303">
        <f>_xlfn.XLOOKUP(B303,'[9]november-2025'!$A:$A,'[9]november-2025'!$C:$C,0,0)</f>
        <v>35500</v>
      </c>
      <c r="CN303">
        <f t="shared" si="659"/>
        <v>6390</v>
      </c>
      <c r="CO303">
        <f t="shared" si="660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614"/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661"/>
        <v>200</v>
      </c>
      <c r="CV303">
        <f t="shared" si="662"/>
        <v>43950</v>
      </c>
      <c r="CW303">
        <f>_xlfn.XLOOKUP(B303,'[10]december-2025'!$A:$A,'[10]december-2025'!$C:$C,0,0)</f>
        <v>35500</v>
      </c>
      <c r="CX303">
        <f t="shared" si="663"/>
        <v>6390</v>
      </c>
      <c r="CY303">
        <f t="shared" si="664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615"/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665"/>
        <v>200</v>
      </c>
      <c r="DF303">
        <f t="shared" si="666"/>
        <v>43950</v>
      </c>
      <c r="DG303">
        <f>_xlfn.XLOOKUP(B303,'[11]january-2026'!$A:$A,'[11]january-2026'!$C:$C,0,0)</f>
        <v>35500</v>
      </c>
      <c r="DH303">
        <f t="shared" si="667"/>
        <v>6390</v>
      </c>
      <c r="DI303">
        <f t="shared" si="668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16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69"/>
        <v>200</v>
      </c>
      <c r="DP303">
        <f t="shared" si="670"/>
        <v>43950</v>
      </c>
      <c r="DQ303">
        <f>_xlfn.XLOOKUP(B303,'[12]february-2026'!$A:$A,'[12]february-2026'!$C:$C,0,0)</f>
        <v>35500</v>
      </c>
      <c r="DR303">
        <f t="shared" si="671"/>
        <v>6390</v>
      </c>
      <c r="DS303">
        <f t="shared" si="672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617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673"/>
        <v>200</v>
      </c>
      <c r="DZ303">
        <f t="shared" si="674"/>
        <v>43950</v>
      </c>
      <c r="EA303">
        <f>_xlfn.XLOOKUP(B303,'[1]march-2025'!$A:$A,'[1]march-2025'!$J:$J,0,0)</f>
        <v>0</v>
      </c>
      <c r="EB303">
        <f>_xlfn.XLOOKUP(B303,'[2]april-2025'!$A:$A,'[2]april-2025'!$J:$J,0,0)</f>
        <v>0</v>
      </c>
      <c r="EC303">
        <f>_xlfn.XLOOKUP(B303,'[3]may-2025'!$A:$A,'[3]may-2025'!$J:$J,0,0)</f>
        <v>0</v>
      </c>
      <c r="ED303">
        <f>_xlfn.XLOOKUP(B303,'[4]june-2025'!$A:$A,'[4]june-2025'!$J:$J,0,0)</f>
        <v>0</v>
      </c>
      <c r="EE303">
        <f>_xlfn.XLOOKUP(B303,'[5]july-2025'!$A:$A,'[5]july-2025'!$J:$J,0,0)</f>
        <v>0</v>
      </c>
      <c r="EF303">
        <f>_xlfn.XLOOKUP(B303,'[6]august-2025'!$A:$A,'[6]august-2025'!$J:$J,0,0)</f>
        <v>0</v>
      </c>
      <c r="EG303">
        <f>_xlfn.XLOOKUP(B303,'[7]september-2025'!$A:$A,'[7]september-2025'!$J:$J,0,0)</f>
        <v>0</v>
      </c>
      <c r="EH303">
        <f>_xlfn.XLOOKUP(B303,'[8]october-2025'!$A:$A,'[8]october-2025'!$J:$J,0,0)</f>
        <v>0</v>
      </c>
      <c r="EI303">
        <f>_xlfn.XLOOKUP(C303,'[9]november-2025'!$A:$A,'[9]november-2025'!$J:$J,0,0)</f>
        <v>0</v>
      </c>
      <c r="EJ303">
        <f>_xlfn.XLOOKUP(B303,'[10]december-2025'!$A:$A,'[10]december-2025'!$J:$J,0,0)</f>
        <v>0</v>
      </c>
      <c r="EK303">
        <f>_xlfn.XLOOKUP(B303,'[11]january-2026'!$A:$A,'[11]january-2026'!$J:$J,0,0)</f>
        <v>0</v>
      </c>
      <c r="EL303">
        <f>_xlfn.XLOOKUP(B303,'[12]february-2026'!$A:$A,'[12]february-2026'!$J:$J,0,0)</f>
        <v>0</v>
      </c>
      <c r="EM303">
        <f t="shared" si="628"/>
        <v>0</v>
      </c>
      <c r="EN303">
        <f t="shared" si="618"/>
        <v>560020</v>
      </c>
      <c r="EO303">
        <f t="shared" si="619"/>
        <v>2400</v>
      </c>
      <c r="EP303">
        <f t="shared" si="675"/>
        <v>50000</v>
      </c>
      <c r="EQ303">
        <v>0</v>
      </c>
      <c r="ER303">
        <f t="shared" si="629"/>
        <v>507620</v>
      </c>
      <c r="ES303">
        <f t="shared" si="620"/>
        <v>30000</v>
      </c>
      <c r="ET303">
        <f t="shared" si="621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676"/>
        <v>30000</v>
      </c>
      <c r="FF303">
        <f t="shared" si="677"/>
        <v>30000</v>
      </c>
      <c r="FG303">
        <f t="shared" si="678"/>
        <v>477620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622"/>
        <v>0</v>
      </c>
      <c r="FP303">
        <f t="shared" si="679"/>
        <v>477620</v>
      </c>
      <c r="FQ303">
        <f t="shared" si="680"/>
        <v>11381</v>
      </c>
      <c r="FR303">
        <f t="shared" si="681"/>
        <v>0</v>
      </c>
      <c r="FS303">
        <f t="shared" si="682"/>
        <v>11381</v>
      </c>
      <c r="FT303">
        <f t="shared" si="683"/>
        <v>0</v>
      </c>
      <c r="FU303">
        <f t="shared" si="684"/>
        <v>0</v>
      </c>
      <c r="FV303">
        <f t="shared" si="685"/>
        <v>0</v>
      </c>
      <c r="FW303">
        <v>0</v>
      </c>
      <c r="FX303">
        <f t="shared" si="686"/>
        <v>0</v>
      </c>
      <c r="FY303" t="b">
        <f t="shared" si="687"/>
        <v>1</v>
      </c>
      <c r="FZ303">
        <f t="shared" ca="1" si="688"/>
        <v>542</v>
      </c>
      <c r="GA303">
        <f t="shared" ca="1" si="689"/>
        <v>560562</v>
      </c>
      <c r="GB303">
        <f t="shared" si="690"/>
        <v>75000</v>
      </c>
      <c r="GC303">
        <f t="shared" ca="1" si="691"/>
        <v>485562</v>
      </c>
      <c r="GD303">
        <f t="shared" ca="1" si="692"/>
        <v>0</v>
      </c>
      <c r="GE303">
        <f t="shared" ca="1" si="693"/>
        <v>0</v>
      </c>
      <c r="GF303">
        <f t="shared" ca="1" si="694"/>
        <v>0</v>
      </c>
      <c r="GG303">
        <f t="shared" ca="1" si="695"/>
        <v>0</v>
      </c>
      <c r="GH303">
        <f t="shared" ca="1" si="696"/>
        <v>0</v>
      </c>
      <c r="GI303">
        <f t="shared" ca="1" si="697"/>
        <v>0</v>
      </c>
      <c r="GJ303">
        <f t="shared" ca="1" si="623"/>
        <v>0</v>
      </c>
      <c r="GK303">
        <f t="shared" ca="1" si="698"/>
        <v>0</v>
      </c>
      <c r="GL303">
        <f t="shared" ca="1" si="699"/>
        <v>0</v>
      </c>
      <c r="GM303">
        <f t="shared" ca="1" si="700"/>
        <v>0</v>
      </c>
      <c r="GN303">
        <f t="shared" ca="1" si="701"/>
        <v>85562</v>
      </c>
      <c r="GO303">
        <f t="shared" ca="1" si="702"/>
        <v>4278.1000000000004</v>
      </c>
      <c r="GP303">
        <f t="shared" ca="1" si="703"/>
        <v>4278</v>
      </c>
      <c r="GQ303">
        <f t="shared" ca="1" si="704"/>
        <v>0</v>
      </c>
      <c r="GR303">
        <f t="shared" ca="1" si="705"/>
        <v>0</v>
      </c>
      <c r="GS303">
        <f t="shared" ca="1" si="706"/>
        <v>4278</v>
      </c>
      <c r="GT303">
        <f t="shared" ca="1" si="707"/>
        <v>0</v>
      </c>
      <c r="GU303" t="b">
        <f t="shared" ca="1" si="708"/>
        <v>0</v>
      </c>
      <c r="GV303">
        <f t="shared" ca="1" si="709"/>
        <v>0</v>
      </c>
      <c r="GW303">
        <f t="shared" ca="1" si="710"/>
        <v>4278</v>
      </c>
      <c r="GX303">
        <f t="shared" ca="1" si="711"/>
        <v>0</v>
      </c>
      <c r="GY303">
        <f t="shared" ca="1" si="712"/>
        <v>0</v>
      </c>
      <c r="GZ303">
        <f t="shared" ca="1" si="713"/>
        <v>0</v>
      </c>
    </row>
    <row r="304" spans="1:208" x14ac:dyDescent="0.3">
      <c r="A304">
        <f>_xlfn.AGGREGATE(3,5,$B$2:B304)</f>
        <v>303</v>
      </c>
      <c r="B304" t="s">
        <v>704</v>
      </c>
      <c r="C304" t="s">
        <v>705</v>
      </c>
      <c r="D304" t="s">
        <v>828</v>
      </c>
      <c r="E304" t="s">
        <v>830</v>
      </c>
      <c r="F304" t="s">
        <v>956</v>
      </c>
      <c r="G304" t="s">
        <v>878</v>
      </c>
      <c r="H304">
        <f t="shared" si="716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630"/>
        <v>4424</v>
      </c>
      <c r="L304">
        <f t="shared" si="631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 t="shared" si="608"/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714"/>
        <v>150</v>
      </c>
      <c r="S304">
        <f t="shared" si="624"/>
        <v>37666</v>
      </c>
      <c r="T304">
        <f>_xlfn.XLOOKUP(B304,'[2]april-2025'!$A:$A,'[2]april-2025'!$C:$C,0,0)</f>
        <v>31600</v>
      </c>
      <c r="U304">
        <f t="shared" si="632"/>
        <v>5688</v>
      </c>
      <c r="V304">
        <f t="shared" si="633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625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634"/>
        <v>200</v>
      </c>
      <c r="AC304">
        <f t="shared" si="635"/>
        <v>38880</v>
      </c>
      <c r="AD304">
        <f>_xlfn.XLOOKUP(B304,'[3]may-2025'!$A:$A,'[3]may-2025'!$C:$C,0,0)</f>
        <v>31600</v>
      </c>
      <c r="AE304">
        <f t="shared" si="636"/>
        <v>5688</v>
      </c>
      <c r="AF304">
        <f t="shared" si="637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626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638"/>
        <v>200</v>
      </c>
      <c r="AM304">
        <f t="shared" si="639"/>
        <v>38880</v>
      </c>
      <c r="AN304">
        <f>_xlfn.XLOOKUP(B304,'[4]june-2025'!$A:$A,'[4]june-2025'!$C:$C,0,0)</f>
        <v>31600</v>
      </c>
      <c r="AO304">
        <f t="shared" si="640"/>
        <v>5688</v>
      </c>
      <c r="AP304">
        <f t="shared" si="64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627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642"/>
        <v>200</v>
      </c>
      <c r="AW304">
        <f t="shared" si="643"/>
        <v>38880</v>
      </c>
      <c r="AX304">
        <f>_xlfn.XLOOKUP(B304,'[5]july-2025'!$A:$A,'[5]july-2025'!$C:$C,0,0)</f>
        <v>32500</v>
      </c>
      <c r="AY304">
        <f t="shared" si="644"/>
        <v>5850</v>
      </c>
      <c r="AZ304">
        <v>0</v>
      </c>
      <c r="BA304">
        <f t="shared" si="645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 t="shared" si="609"/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646"/>
        <v>200</v>
      </c>
      <c r="BH304">
        <f t="shared" si="647"/>
        <v>40050</v>
      </c>
      <c r="BI304">
        <f>_xlfn.XLOOKUP(B304,'[6]august-2025'!$A:$A,'[6]august-2025'!$C:$C,0,0)</f>
        <v>32500</v>
      </c>
      <c r="BJ304">
        <f t="shared" si="648"/>
        <v>5850</v>
      </c>
      <c r="BK304">
        <f t="shared" si="649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650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610"/>
        <v>200</v>
      </c>
      <c r="BR304">
        <f t="shared" si="611"/>
        <v>40050</v>
      </c>
      <c r="BS304">
        <f>_xlfn.XLOOKUP(B304,'[7]september-2025'!$A:$A,'[7]september-2025'!$C:$C,0,0)</f>
        <v>32500</v>
      </c>
      <c r="BT304">
        <f t="shared" si="651"/>
        <v>5850</v>
      </c>
      <c r="BU304">
        <f t="shared" si="652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 t="shared" si="612"/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653"/>
        <v>200</v>
      </c>
      <c r="CB304">
        <f t="shared" si="654"/>
        <v>40050</v>
      </c>
      <c r="CC304">
        <f>_xlfn.XLOOKUP(B304,'[8]october-2025'!$A:$A,'[8]october-2025'!$C:$C,0,0)</f>
        <v>32500</v>
      </c>
      <c r="CD304">
        <f t="shared" si="655"/>
        <v>5850</v>
      </c>
      <c r="CE304">
        <f t="shared" si="656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 t="shared" si="613"/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657"/>
        <v>200</v>
      </c>
      <c r="CL304">
        <f t="shared" si="658"/>
        <v>40050</v>
      </c>
      <c r="CM304">
        <f>_xlfn.XLOOKUP(B304,'[9]november-2025'!$A:$A,'[9]november-2025'!$C:$C,0,0)</f>
        <v>32500</v>
      </c>
      <c r="CN304">
        <f t="shared" si="659"/>
        <v>5850</v>
      </c>
      <c r="CO304">
        <f t="shared" si="660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 t="shared" si="614"/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661"/>
        <v>200</v>
      </c>
      <c r="CV304">
        <f t="shared" si="662"/>
        <v>40050</v>
      </c>
      <c r="CW304">
        <f>_xlfn.XLOOKUP(B304,'[10]december-2025'!$A:$A,'[10]december-2025'!$C:$C,0,0)</f>
        <v>32500</v>
      </c>
      <c r="CX304">
        <f t="shared" si="663"/>
        <v>5850</v>
      </c>
      <c r="CY304">
        <f t="shared" si="664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 t="shared" si="615"/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665"/>
        <v>200</v>
      </c>
      <c r="DF304">
        <f t="shared" si="666"/>
        <v>40050</v>
      </c>
      <c r="DG304">
        <f>_xlfn.XLOOKUP(B304,'[11]january-2026'!$A:$A,'[11]january-2026'!$C:$C,0,0)</f>
        <v>32500</v>
      </c>
      <c r="DH304">
        <f t="shared" si="667"/>
        <v>5850</v>
      </c>
      <c r="DI304">
        <f t="shared" si="668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16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69"/>
        <v>200</v>
      </c>
      <c r="DP304">
        <f t="shared" si="670"/>
        <v>40050</v>
      </c>
      <c r="DQ304">
        <f>_xlfn.XLOOKUP(B304,'[12]february-2026'!$A:$A,'[12]february-2026'!$C:$C,0,0)</f>
        <v>32500</v>
      </c>
      <c r="DR304">
        <f t="shared" si="671"/>
        <v>5850</v>
      </c>
      <c r="DS304">
        <f t="shared" si="672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617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673"/>
        <v>200</v>
      </c>
      <c r="DZ304">
        <f t="shared" si="674"/>
        <v>40050</v>
      </c>
      <c r="EA304">
        <f>_xlfn.XLOOKUP(B304,'[1]march-2025'!$A:$A,'[1]march-2025'!$J:$J,0,0)</f>
        <v>0</v>
      </c>
      <c r="EB304">
        <f>_xlfn.XLOOKUP(B304,'[2]april-2025'!$A:$A,'[2]april-2025'!$J:$J,0,0)</f>
        <v>0</v>
      </c>
      <c r="EC304">
        <f>_xlfn.XLOOKUP(B304,'[3]may-2025'!$A:$A,'[3]may-2025'!$J:$J,0,0)</f>
        <v>0</v>
      </c>
      <c r="ED304">
        <f>_xlfn.XLOOKUP(B304,'[4]june-2025'!$A:$A,'[4]june-2025'!$J:$J,0,0)</f>
        <v>0</v>
      </c>
      <c r="EE304">
        <f>_xlfn.XLOOKUP(B304,'[5]july-2025'!$A:$A,'[5]july-2025'!$J:$J,0,0)</f>
        <v>0</v>
      </c>
      <c r="EF304">
        <f>_xlfn.XLOOKUP(B304,'[6]august-2025'!$A:$A,'[6]august-2025'!$J:$J,0,0)</f>
        <v>0</v>
      </c>
      <c r="EG304">
        <f>_xlfn.XLOOKUP(B304,'[7]september-2025'!$A:$A,'[7]september-2025'!$J:$J,0,0)</f>
        <v>0</v>
      </c>
      <c r="EH304">
        <f>_xlfn.XLOOKUP(B304,'[8]october-2025'!$A:$A,'[8]october-2025'!$J:$J,0,0)</f>
        <v>0</v>
      </c>
      <c r="EI304">
        <f>_xlfn.XLOOKUP(C304,'[9]november-2025'!$A:$A,'[9]november-2025'!$J:$J,0,0)</f>
        <v>0</v>
      </c>
      <c r="EJ304">
        <f>_xlfn.XLOOKUP(B304,'[10]december-2025'!$A:$A,'[10]december-2025'!$J:$J,0,0)</f>
        <v>0</v>
      </c>
      <c r="EK304">
        <f>_xlfn.XLOOKUP(B304,'[11]january-2026'!$A:$A,'[11]january-2026'!$J:$J,0,0)</f>
        <v>0</v>
      </c>
      <c r="EL304">
        <f>_xlfn.XLOOKUP(B304,'[12]february-2026'!$A:$A,'[12]february-2026'!$J:$J,0,0)</f>
        <v>0</v>
      </c>
      <c r="EM304">
        <f t="shared" si="628"/>
        <v>0</v>
      </c>
      <c r="EN304">
        <f t="shared" si="618"/>
        <v>507856</v>
      </c>
      <c r="EO304">
        <f t="shared" si="619"/>
        <v>2350</v>
      </c>
      <c r="EP304">
        <f t="shared" si="675"/>
        <v>50000</v>
      </c>
      <c r="EQ304">
        <v>0</v>
      </c>
      <c r="ER304">
        <f t="shared" si="629"/>
        <v>455506</v>
      </c>
      <c r="ES304">
        <f t="shared" si="620"/>
        <v>24000</v>
      </c>
      <c r="ET304">
        <f t="shared" si="621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676"/>
        <v>24000</v>
      </c>
      <c r="FF304">
        <f t="shared" si="677"/>
        <v>24000</v>
      </c>
      <c r="FG304">
        <f t="shared" si="678"/>
        <v>431506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622"/>
        <v>0</v>
      </c>
      <c r="FP304">
        <f t="shared" si="679"/>
        <v>431506</v>
      </c>
      <c r="FQ304">
        <f t="shared" si="680"/>
        <v>9075</v>
      </c>
      <c r="FR304">
        <f t="shared" si="681"/>
        <v>0</v>
      </c>
      <c r="FS304">
        <f t="shared" si="682"/>
        <v>9075</v>
      </c>
      <c r="FT304">
        <f t="shared" si="683"/>
        <v>0</v>
      </c>
      <c r="FU304">
        <f t="shared" si="684"/>
        <v>0</v>
      </c>
      <c r="FV304">
        <f t="shared" si="685"/>
        <v>0</v>
      </c>
      <c r="FW304">
        <v>0</v>
      </c>
      <c r="FX304">
        <f t="shared" si="686"/>
        <v>0</v>
      </c>
      <c r="FY304" t="b">
        <f t="shared" si="687"/>
        <v>1</v>
      </c>
      <c r="FZ304">
        <f t="shared" ca="1" si="688"/>
        <v>660</v>
      </c>
      <c r="GA304">
        <f t="shared" ca="1" si="689"/>
        <v>508516</v>
      </c>
      <c r="GB304">
        <f t="shared" si="690"/>
        <v>75000</v>
      </c>
      <c r="GC304">
        <f t="shared" ca="1" si="691"/>
        <v>433516</v>
      </c>
      <c r="GD304">
        <f t="shared" ca="1" si="692"/>
        <v>0</v>
      </c>
      <c r="GE304">
        <f t="shared" ca="1" si="693"/>
        <v>0</v>
      </c>
      <c r="GF304">
        <f t="shared" ca="1" si="694"/>
        <v>0</v>
      </c>
      <c r="GG304">
        <f t="shared" ca="1" si="695"/>
        <v>0</v>
      </c>
      <c r="GH304">
        <f t="shared" ca="1" si="696"/>
        <v>0</v>
      </c>
      <c r="GI304">
        <f t="shared" ca="1" si="697"/>
        <v>0</v>
      </c>
      <c r="GJ304">
        <f t="shared" ca="1" si="623"/>
        <v>0</v>
      </c>
      <c r="GK304">
        <f t="shared" ca="1" si="698"/>
        <v>0</v>
      </c>
      <c r="GL304">
        <f t="shared" ca="1" si="699"/>
        <v>0</v>
      </c>
      <c r="GM304">
        <f t="shared" ca="1" si="700"/>
        <v>0</v>
      </c>
      <c r="GN304">
        <f t="shared" ca="1" si="701"/>
        <v>33516</v>
      </c>
      <c r="GO304">
        <f t="shared" ca="1" si="702"/>
        <v>1675.8000000000002</v>
      </c>
      <c r="GP304">
        <f t="shared" ca="1" si="703"/>
        <v>1676</v>
      </c>
      <c r="GQ304">
        <f t="shared" ca="1" si="704"/>
        <v>0</v>
      </c>
      <c r="GR304">
        <f t="shared" ca="1" si="705"/>
        <v>0</v>
      </c>
      <c r="GS304">
        <f t="shared" ca="1" si="706"/>
        <v>1676</v>
      </c>
      <c r="GT304">
        <f t="shared" ca="1" si="707"/>
        <v>0</v>
      </c>
      <c r="GU304" t="b">
        <f t="shared" ca="1" si="708"/>
        <v>0</v>
      </c>
      <c r="GV304">
        <f t="shared" ca="1" si="709"/>
        <v>0</v>
      </c>
      <c r="GW304">
        <f t="shared" ca="1" si="710"/>
        <v>1676</v>
      </c>
      <c r="GX304">
        <f t="shared" ca="1" si="711"/>
        <v>0</v>
      </c>
      <c r="GY304">
        <f t="shared" ca="1" si="712"/>
        <v>0</v>
      </c>
      <c r="GZ304">
        <f t="shared" ca="1" si="713"/>
        <v>0</v>
      </c>
    </row>
    <row r="305" spans="1:208" x14ac:dyDescent="0.3">
      <c r="A305">
        <f>_xlfn.AGGREGATE(3,5,$B$2:B305)</f>
        <v>304</v>
      </c>
      <c r="B305" t="s">
        <v>966</v>
      </c>
      <c r="C305" t="s">
        <v>967</v>
      </c>
      <c r="D305" t="s">
        <v>828</v>
      </c>
      <c r="E305" t="s">
        <v>830</v>
      </c>
      <c r="F305" t="s">
        <v>956</v>
      </c>
      <c r="G305" s="1">
        <v>44529</v>
      </c>
      <c r="H305">
        <f t="shared" si="716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630"/>
        <v>4424</v>
      </c>
      <c r="L305">
        <f t="shared" si="631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 t="shared" si="608"/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714"/>
        <v>200</v>
      </c>
      <c r="S305">
        <f t="shared" si="624"/>
        <v>38116</v>
      </c>
      <c r="T305">
        <f>_xlfn.XLOOKUP(B305,'[2]april-2025'!$A:$A,'[2]april-2025'!$C:$C,0,0)</f>
        <v>31600</v>
      </c>
      <c r="U305">
        <f t="shared" si="632"/>
        <v>5688</v>
      </c>
      <c r="V305">
        <f t="shared" si="633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625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634"/>
        <v>200</v>
      </c>
      <c r="AC305">
        <f t="shared" si="635"/>
        <v>39380</v>
      </c>
      <c r="AD305">
        <f>_xlfn.XLOOKUP(B305,'[3]may-2025'!$A:$A,'[3]may-2025'!$C:$C,0,0)</f>
        <v>31600</v>
      </c>
      <c r="AE305">
        <f t="shared" si="636"/>
        <v>5688</v>
      </c>
      <c r="AF305">
        <f t="shared" si="637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626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638"/>
        <v>200</v>
      </c>
      <c r="AM305">
        <f t="shared" si="639"/>
        <v>39380</v>
      </c>
      <c r="AN305">
        <f>_xlfn.XLOOKUP(B305,'[4]june-2025'!$A:$A,'[4]june-2025'!$C:$C,0,0)</f>
        <v>31600</v>
      </c>
      <c r="AO305">
        <f t="shared" si="640"/>
        <v>5688</v>
      </c>
      <c r="AP305">
        <f t="shared" si="64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627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642"/>
        <v>200</v>
      </c>
      <c r="AW305">
        <f t="shared" si="643"/>
        <v>39380</v>
      </c>
      <c r="AX305">
        <f>_xlfn.XLOOKUP(B305,'[5]july-2025'!$A:$A,'[5]july-2025'!$C:$C,0,0)</f>
        <v>32500</v>
      </c>
      <c r="AY305">
        <f t="shared" si="644"/>
        <v>5850</v>
      </c>
      <c r="AZ305">
        <v>0</v>
      </c>
      <c r="BA305">
        <f t="shared" si="645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 t="shared" si="609"/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646"/>
        <v>200</v>
      </c>
      <c r="BH305">
        <f t="shared" si="647"/>
        <v>40550</v>
      </c>
      <c r="BI305">
        <f>_xlfn.XLOOKUP(B305,'[6]august-2025'!$A:$A,'[6]august-2025'!$C:$C,0,0)</f>
        <v>32500</v>
      </c>
      <c r="BJ305">
        <f t="shared" si="648"/>
        <v>5850</v>
      </c>
      <c r="BK305">
        <f t="shared" si="649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650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 t="shared" si="610"/>
        <v>200</v>
      </c>
      <c r="BR305">
        <f t="shared" si="611"/>
        <v>40550</v>
      </c>
      <c r="BS305">
        <f>_xlfn.XLOOKUP(B305,'[7]september-2025'!$A:$A,'[7]september-2025'!$C:$C,0,0)</f>
        <v>32500</v>
      </c>
      <c r="BT305">
        <f t="shared" si="651"/>
        <v>5850</v>
      </c>
      <c r="BU305">
        <f t="shared" si="652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 t="shared" si="612"/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653"/>
        <v>200</v>
      </c>
      <c r="CB305">
        <f t="shared" si="654"/>
        <v>40550</v>
      </c>
      <c r="CC305">
        <f>_xlfn.XLOOKUP(B305,'[8]october-2025'!$A:$A,'[8]october-2025'!$C:$C,0,0)</f>
        <v>32500</v>
      </c>
      <c r="CD305">
        <f t="shared" si="655"/>
        <v>5850</v>
      </c>
      <c r="CE305">
        <f t="shared" si="656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 t="shared" si="613"/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657"/>
        <v>200</v>
      </c>
      <c r="CL305">
        <f t="shared" si="658"/>
        <v>40550</v>
      </c>
      <c r="CM305">
        <f>_xlfn.XLOOKUP(B305,'[9]november-2025'!$A:$A,'[9]november-2025'!$C:$C,0,0)</f>
        <v>32500</v>
      </c>
      <c r="CN305">
        <f t="shared" si="659"/>
        <v>5850</v>
      </c>
      <c r="CO305">
        <f t="shared" si="660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 t="shared" si="614"/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661"/>
        <v>200</v>
      </c>
      <c r="CV305">
        <f t="shared" si="662"/>
        <v>40550</v>
      </c>
      <c r="CW305">
        <f>_xlfn.XLOOKUP(B305,'[10]december-2025'!$A:$A,'[10]december-2025'!$C:$C,0,0)</f>
        <v>32500</v>
      </c>
      <c r="CX305">
        <f t="shared" si="663"/>
        <v>5850</v>
      </c>
      <c r="CY305">
        <f t="shared" si="664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 t="shared" si="615"/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665"/>
        <v>200</v>
      </c>
      <c r="DF305">
        <f t="shared" si="666"/>
        <v>40550</v>
      </c>
      <c r="DG305">
        <f>_xlfn.XLOOKUP(B305,'[11]january-2026'!$A:$A,'[11]january-2026'!$C:$C,0,0)</f>
        <v>32500</v>
      </c>
      <c r="DH305">
        <f t="shared" si="667"/>
        <v>5850</v>
      </c>
      <c r="DI305">
        <f t="shared" si="668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16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69"/>
        <v>200</v>
      </c>
      <c r="DP305">
        <f t="shared" si="670"/>
        <v>40550</v>
      </c>
      <c r="DQ305">
        <f>_xlfn.XLOOKUP(B305,'[12]february-2026'!$A:$A,'[12]february-2026'!$C:$C,0,0)</f>
        <v>32500</v>
      </c>
      <c r="DR305">
        <f t="shared" si="671"/>
        <v>5850</v>
      </c>
      <c r="DS305">
        <f t="shared" si="672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617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673"/>
        <v>200</v>
      </c>
      <c r="DZ305">
        <f t="shared" si="674"/>
        <v>40550</v>
      </c>
      <c r="EA305">
        <f>_xlfn.XLOOKUP(B305,'[1]march-2025'!$A:$A,'[1]march-2025'!$J:$J,0,0)</f>
        <v>0</v>
      </c>
      <c r="EB305">
        <f>_xlfn.XLOOKUP(B305,'[2]april-2025'!$A:$A,'[2]april-2025'!$J:$J,0,0)</f>
        <v>0</v>
      </c>
      <c r="EC305">
        <f>_xlfn.XLOOKUP(B305,'[3]may-2025'!$A:$A,'[3]may-2025'!$J:$J,0,0)</f>
        <v>0</v>
      </c>
      <c r="ED305">
        <f>_xlfn.XLOOKUP(B305,'[4]june-2025'!$A:$A,'[4]june-2025'!$J:$J,0,0)</f>
        <v>0</v>
      </c>
      <c r="EE305">
        <f>_xlfn.XLOOKUP(B305,'[5]july-2025'!$A:$A,'[5]july-2025'!$J:$J,0,0)</f>
        <v>0</v>
      </c>
      <c r="EF305">
        <f>_xlfn.XLOOKUP(B305,'[6]august-2025'!$A:$A,'[6]august-2025'!$J:$J,0,0)</f>
        <v>0</v>
      </c>
      <c r="EG305">
        <f>_xlfn.XLOOKUP(B305,'[7]september-2025'!$A:$A,'[7]september-2025'!$J:$J,0,0)</f>
        <v>0</v>
      </c>
      <c r="EH305">
        <f>_xlfn.XLOOKUP(B305,'[8]october-2025'!$A:$A,'[8]october-2025'!$J:$J,0,0)</f>
        <v>0</v>
      </c>
      <c r="EI305">
        <f>_xlfn.XLOOKUP(C305,'[9]november-2025'!$A:$A,'[9]november-2025'!$J:$J,0,0)</f>
        <v>0</v>
      </c>
      <c r="EJ305">
        <f>_xlfn.XLOOKUP(B305,'[10]december-2025'!$A:$A,'[10]december-2025'!$J:$J,0,0)</f>
        <v>0</v>
      </c>
      <c r="EK305">
        <f>_xlfn.XLOOKUP(B305,'[11]january-2026'!$A:$A,'[11]january-2026'!$J:$J,0,0)</f>
        <v>0</v>
      </c>
      <c r="EL305">
        <f>_xlfn.XLOOKUP(B305,'[12]february-2026'!$A:$A,'[12]february-2026'!$J:$J,0,0)</f>
        <v>0</v>
      </c>
      <c r="EM305">
        <f t="shared" si="628"/>
        <v>0</v>
      </c>
      <c r="EN305">
        <f t="shared" si="618"/>
        <v>513856</v>
      </c>
      <c r="EO305">
        <f t="shared" si="619"/>
        <v>2400</v>
      </c>
      <c r="EP305">
        <f t="shared" si="675"/>
        <v>50000</v>
      </c>
      <c r="EQ305">
        <v>0</v>
      </c>
      <c r="ER305">
        <f t="shared" si="629"/>
        <v>461456</v>
      </c>
      <c r="ES305">
        <f t="shared" si="620"/>
        <v>24000</v>
      </c>
      <c r="ET305">
        <f t="shared" si="621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676"/>
        <v>24000</v>
      </c>
      <c r="FF305">
        <f t="shared" si="677"/>
        <v>24000</v>
      </c>
      <c r="FG305">
        <f t="shared" si="678"/>
        <v>437456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622"/>
        <v>0</v>
      </c>
      <c r="FP305">
        <f t="shared" si="679"/>
        <v>437456</v>
      </c>
      <c r="FQ305">
        <f t="shared" si="680"/>
        <v>9373</v>
      </c>
      <c r="FR305">
        <f t="shared" si="681"/>
        <v>0</v>
      </c>
      <c r="FS305">
        <f t="shared" si="682"/>
        <v>9373</v>
      </c>
      <c r="FT305">
        <f t="shared" si="683"/>
        <v>0</v>
      </c>
      <c r="FU305">
        <f t="shared" si="684"/>
        <v>0</v>
      </c>
      <c r="FV305">
        <f t="shared" si="685"/>
        <v>0</v>
      </c>
      <c r="FW305">
        <v>0</v>
      </c>
      <c r="FX305">
        <f t="shared" si="686"/>
        <v>0</v>
      </c>
      <c r="FY305" t="b">
        <f t="shared" si="687"/>
        <v>1</v>
      </c>
      <c r="FZ305">
        <f t="shared" ca="1" si="688"/>
        <v>976</v>
      </c>
      <c r="GA305">
        <f t="shared" ca="1" si="689"/>
        <v>514832</v>
      </c>
      <c r="GB305">
        <f t="shared" si="690"/>
        <v>75000</v>
      </c>
      <c r="GC305">
        <f t="shared" ca="1" si="691"/>
        <v>439832</v>
      </c>
      <c r="GD305">
        <f t="shared" ca="1" si="692"/>
        <v>0</v>
      </c>
      <c r="GE305">
        <f t="shared" ca="1" si="693"/>
        <v>0</v>
      </c>
      <c r="GF305">
        <f t="shared" ca="1" si="694"/>
        <v>0</v>
      </c>
      <c r="GG305">
        <f t="shared" ca="1" si="695"/>
        <v>0</v>
      </c>
      <c r="GH305">
        <f t="shared" ca="1" si="696"/>
        <v>0</v>
      </c>
      <c r="GI305">
        <f t="shared" ca="1" si="697"/>
        <v>0</v>
      </c>
      <c r="GJ305">
        <f t="shared" ca="1" si="623"/>
        <v>0</v>
      </c>
      <c r="GK305">
        <f t="shared" ca="1" si="698"/>
        <v>0</v>
      </c>
      <c r="GL305">
        <f t="shared" ca="1" si="699"/>
        <v>0</v>
      </c>
      <c r="GM305">
        <f t="shared" ca="1" si="700"/>
        <v>0</v>
      </c>
      <c r="GN305">
        <f t="shared" ca="1" si="701"/>
        <v>39832</v>
      </c>
      <c r="GO305">
        <f t="shared" ca="1" si="702"/>
        <v>1991.6000000000001</v>
      </c>
      <c r="GP305">
        <f t="shared" ca="1" si="703"/>
        <v>1992</v>
      </c>
      <c r="GQ305">
        <f t="shared" ca="1" si="704"/>
        <v>0</v>
      </c>
      <c r="GR305">
        <f t="shared" ca="1" si="705"/>
        <v>0</v>
      </c>
      <c r="GS305">
        <f t="shared" ca="1" si="706"/>
        <v>1992</v>
      </c>
      <c r="GT305">
        <f t="shared" ca="1" si="707"/>
        <v>0</v>
      </c>
      <c r="GU305" t="b">
        <f t="shared" ca="1" si="708"/>
        <v>0</v>
      </c>
      <c r="GV305">
        <f t="shared" ca="1" si="709"/>
        <v>0</v>
      </c>
      <c r="GW305">
        <f t="shared" ca="1" si="710"/>
        <v>1992</v>
      </c>
      <c r="GX305">
        <f t="shared" ca="1" si="711"/>
        <v>0</v>
      </c>
      <c r="GY305">
        <f t="shared" ca="1" si="712"/>
        <v>0</v>
      </c>
      <c r="GZ305">
        <f t="shared" ca="1" si="713"/>
        <v>0</v>
      </c>
    </row>
  </sheetData>
  <sortState xmlns:xlrd2="http://schemas.microsoft.com/office/spreadsheetml/2017/richdata2" ref="A2:GZ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2026-02-16T14:55:17Z</dcterms:modified>
</cp:coreProperties>
</file>